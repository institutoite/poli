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poli\archivos\"/>
    </mc:Choice>
  </mc:AlternateContent>
  <xr:revisionPtr revIDLastSave="0" documentId="13_ncr:1_{9E0EBA82-2B91-4123-92A0-4246EDD28D66}" xr6:coauthVersionLast="47" xr6:coauthVersionMax="47" xr10:uidLastSave="{00000000-0000-0000-0000-000000000000}"/>
  <bookViews>
    <workbookView xWindow="-120" yWindow="-120" windowWidth="29040" windowHeight="15840" tabRatio="954" activeTab="1" xr2:uid="{00000000-000D-0000-FFFF-FFFF00000000}"/>
  </bookViews>
  <sheets>
    <sheet name="FOR-001" sheetId="1" r:id="rId1"/>
    <sheet name="FOR-002" sheetId="2" r:id="rId2"/>
    <sheet name="FOR-003" sheetId="3" r:id="rId3"/>
    <sheet name="FOR-004" sheetId="4" r:id="rId4"/>
    <sheet name="FOR-005" sheetId="5" r:id="rId5"/>
    <sheet name="FOR-006" sheetId="6" r:id="rId6"/>
    <sheet name="FOR-007" sheetId="7" r:id="rId7"/>
    <sheet name="FOR-008" sheetId="8" r:id="rId8"/>
    <sheet name="FOR-009" sheetId="9" r:id="rId9"/>
    <sheet name="FOR-010" sheetId="11" r:id="rId10"/>
    <sheet name="FOR-011" sheetId="25" r:id="rId11"/>
    <sheet name="FOR-012" sheetId="13" r:id="rId12"/>
    <sheet name="FOR-013" sheetId="14" r:id="rId13"/>
    <sheet name="FOR-014" sheetId="24" r:id="rId14"/>
    <sheet name="FOR-015" sheetId="16" r:id="rId15"/>
    <sheet name="FOR-016" sheetId="17" r:id="rId16"/>
    <sheet name="FOR-017" sheetId="18" r:id="rId17"/>
    <sheet name="FOR-018" sheetId="26" r:id="rId18"/>
  </sheets>
  <definedNames>
    <definedName name="_xlnm._FilterDatabase" localSheetId="0" hidden="1">'FOR-001'!$AD$1:$AD$21</definedName>
    <definedName name="_xlnm._FilterDatabase" localSheetId="1" hidden="1">'FOR-002'!$A$20:$AE$20</definedName>
    <definedName name="_xlnm._FilterDatabase" localSheetId="4" hidden="1">'FOR-005'!$B$1:$B$15</definedName>
    <definedName name="_xlnm._FilterDatabase" localSheetId="5" hidden="1">'FOR-006'!$Q$2:$Q$84</definedName>
    <definedName name="_xlnm._FilterDatabase" localSheetId="7" hidden="1">'FOR-008'!$A$11:$K$12</definedName>
    <definedName name="_xlnm._FilterDatabase" localSheetId="11" hidden="1">'FOR-012'!$A$1:$A$65</definedName>
    <definedName name="_xlnm.Print_Area" localSheetId="2">'FOR-003'!$A$1:$R$35</definedName>
    <definedName name="_xlnm.Print_Area" localSheetId="3">'FOR-004'!$A$1:$Q$27</definedName>
    <definedName name="_xlnm.Print_Area" localSheetId="4">'FOR-005'!$A$1:$M$36</definedName>
    <definedName name="_xlnm.Print_Area" localSheetId="13">'FOR-014'!$A$1:$N$24</definedName>
    <definedName name="Print_Area" localSheetId="10">'FOR-011'!$A$1:$U$73</definedName>
    <definedName name="Print_Area" localSheetId="13">'FOR-014'!$A$1:$O$24</definedName>
    <definedName name="Print_Area" localSheetId="17">'FOR-018'!$A$1:$N$76</definedName>
    <definedName name="Print_Titles" localSheetId="10">'FOR-011'!$13:$13</definedName>
    <definedName name="Print_Titles" localSheetId="11">'FOR-012'!$14:$14</definedName>
    <definedName name="Print_Titles" localSheetId="17">'FOR-018'!$13:$13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6" i="13" l="1"/>
  <c r="L39" i="13"/>
  <c r="L43" i="13"/>
  <c r="L25" i="13"/>
  <c r="L44" i="13"/>
  <c r="L45" i="13"/>
  <c r="L42" i="13"/>
  <c r="L41" i="13"/>
  <c r="L55" i="13"/>
  <c r="L52" i="13"/>
  <c r="L31" i="13"/>
  <c r="L49" i="13"/>
  <c r="L48" i="13"/>
  <c r="L26" i="13"/>
  <c r="L47" i="13"/>
  <c r="L46" i="13"/>
  <c r="L53" i="13"/>
  <c r="L50" i="13"/>
  <c r="L54" i="13"/>
  <c r="L57" i="13"/>
  <c r="L58" i="13"/>
  <c r="L59" i="13"/>
  <c r="L60" i="13"/>
  <c r="L61" i="13"/>
  <c r="L62" i="13"/>
  <c r="L34" i="13"/>
  <c r="AE15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6" i="2"/>
  <c r="AE17" i="2"/>
  <c r="AE14" i="2"/>
  <c r="AE13" i="1"/>
  <c r="AE18" i="2"/>
  <c r="E24" i="3"/>
  <c r="F24" i="3"/>
  <c r="G24" i="3"/>
  <c r="H24" i="3"/>
  <c r="I24" i="3"/>
  <c r="J24" i="3"/>
  <c r="K24" i="3"/>
  <c r="L24" i="3"/>
  <c r="M24" i="3"/>
  <c r="N24" i="3"/>
  <c r="O24" i="3"/>
  <c r="P24" i="3"/>
  <c r="Q15" i="3"/>
  <c r="Q16" i="3"/>
  <c r="Q17" i="3"/>
  <c r="Q18" i="3"/>
  <c r="Q19" i="3"/>
  <c r="Q20" i="3"/>
  <c r="Q21" i="3"/>
  <c r="Q22" i="3"/>
  <c r="Q23" i="3"/>
  <c r="Q14" i="3"/>
  <c r="AE21" i="2"/>
  <c r="AE22" i="2"/>
  <c r="AE23" i="2"/>
  <c r="AE20" i="2"/>
  <c r="Q24" i="3"/>
  <c r="AE24" i="2"/>
  <c r="L29" i="13"/>
  <c r="AE26" i="2"/>
  <c r="L32" i="13"/>
  <c r="L30" i="13"/>
  <c r="L51" i="13"/>
  <c r="L17" i="13"/>
  <c r="L20" i="13"/>
  <c r="L16" i="13"/>
  <c r="L18" i="13"/>
  <c r="L21" i="13"/>
  <c r="L22" i="13"/>
  <c r="L23" i="13"/>
  <c r="L24" i="13"/>
  <c r="L27" i="13"/>
  <c r="L28" i="13"/>
  <c r="L33" i="13"/>
  <c r="L35" i="13"/>
  <c r="L37" i="13"/>
  <c r="L38" i="13"/>
  <c r="L40" i="13"/>
  <c r="L63" i="13"/>
  <c r="L65" i="13"/>
  <c r="C24" i="3"/>
  <c r="D24" i="3"/>
  <c r="B24" i="2"/>
  <c r="C24" i="2"/>
  <c r="D24" i="2"/>
  <c r="E24" i="2"/>
  <c r="F24" i="2"/>
  <c r="G24" i="2"/>
  <c r="H24" i="2"/>
  <c r="H26" i="2"/>
  <c r="I24" i="2"/>
  <c r="J24" i="2"/>
  <c r="K24" i="2"/>
  <c r="K26" i="2"/>
  <c r="L24" i="2"/>
  <c r="L26" i="2"/>
  <c r="M24" i="2"/>
  <c r="M26" i="2"/>
  <c r="N24" i="2"/>
  <c r="N26" i="2"/>
  <c r="O24" i="2"/>
  <c r="O26" i="2"/>
  <c r="P24" i="2"/>
  <c r="P26" i="2"/>
  <c r="Q24" i="2"/>
  <c r="Q26" i="2"/>
  <c r="R24" i="2"/>
  <c r="R26" i="2"/>
  <c r="S24" i="2"/>
  <c r="S26" i="2"/>
  <c r="T24" i="2"/>
  <c r="T26" i="2"/>
  <c r="U24" i="2"/>
  <c r="U26" i="2"/>
  <c r="V24" i="2"/>
  <c r="V26" i="2"/>
  <c r="W24" i="2"/>
  <c r="W26" i="2"/>
  <c r="X24" i="2"/>
  <c r="X26" i="2"/>
  <c r="Y24" i="2"/>
  <c r="Y26" i="2"/>
  <c r="Z24" i="2"/>
  <c r="Z26" i="2"/>
  <c r="AA24" i="2"/>
  <c r="AA26" i="2"/>
  <c r="AB24" i="2"/>
  <c r="AB26" i="2"/>
  <c r="AC24" i="2"/>
  <c r="AC26" i="2"/>
  <c r="AD24" i="2"/>
  <c r="AD26" i="2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</calcChain>
</file>

<file path=xl/sharedStrings.xml><?xml version="1.0" encoding="utf-8"?>
<sst xmlns="http://schemas.openxmlformats.org/spreadsheetml/2006/main" count="2258" uniqueCount="726">
  <si>
    <t xml:space="preserve">   </t>
  </si>
  <si>
    <t>POLICIA BOLIVIANA</t>
  </si>
  <si>
    <t>FORM - DNP - MP - MF - 001</t>
  </si>
  <si>
    <t>LISTA DE REVISTA</t>
  </si>
  <si>
    <t>CUADRO NUMERICO DEL PERSONAL POR UNIDADES (QUE CUMPLEN FUNCIONES)</t>
  </si>
  <si>
    <t>CNL.</t>
  </si>
  <si>
    <t>TCNL.</t>
  </si>
  <si>
    <t>MAYOR</t>
  </si>
  <si>
    <t>CAPITAN</t>
  </si>
  <si>
    <t>TENIENTE</t>
  </si>
  <si>
    <t>SBTTE.</t>
  </si>
  <si>
    <t>SOF. SUP.</t>
  </si>
  <si>
    <t>SOF. MY.</t>
  </si>
  <si>
    <t>SOF. 1RO.</t>
  </si>
  <si>
    <t>SOF. 2DO.</t>
  </si>
  <si>
    <t>SGTO. 1RO.</t>
  </si>
  <si>
    <t>SGTO. 2DO.</t>
  </si>
  <si>
    <t>T  O  T  A  L</t>
  </si>
  <si>
    <t>Santa Cruz - Bolivia</t>
  </si>
  <si>
    <t>TOTAL</t>
  </si>
  <si>
    <t xml:space="preserve">TOTAL NUMERICO DEL PERSONAL QUE CUMPLEN FUNCIONES </t>
  </si>
  <si>
    <t>Y QUE NO CUMPLEN FUNCIONES EN LA UNIDAD</t>
  </si>
  <si>
    <t>FORM - DNP - MP - MF - 002</t>
  </si>
  <si>
    <t>PERSONAL QUE NO CUMPLE FUNCIONES EN LA UNIDAD</t>
  </si>
  <si>
    <t>SUB TOTAL</t>
  </si>
  <si>
    <t>T O T A L</t>
  </si>
  <si>
    <t>COMISION EST.ESC.SUP.POL.DIPLOMADO SCZ</t>
  </si>
  <si>
    <t>LETRA DISPONIBILIDAD "A"Y"C"SCZ</t>
  </si>
  <si>
    <t>GRAL</t>
  </si>
  <si>
    <t>CUADRO NUMERICO DEL PERSONAL POR UNIDADES</t>
  </si>
  <si>
    <t>PERSONAL DE LINEA (QUE CUMPLEN FUNCIONES)</t>
  </si>
  <si>
    <t>FORM - DNP - MP - MF - 003</t>
  </si>
  <si>
    <t>CUADRO NUMERICO DEL PERSONAL  POR UNIDADES</t>
  </si>
  <si>
    <t>PERSONAL ADMINISTRATIVO (QUE CUMPLEN FUNCIONES)</t>
  </si>
  <si>
    <t>FORM - DNP - MP - MF - 004</t>
  </si>
  <si>
    <t xml:space="preserve">CUADRO DEMOSTRATIVO DEL PERSONAL EN PROVINCIAS Y FRONTERAS </t>
  </si>
  <si>
    <t>PERSONAL EN PROVINCIAS</t>
  </si>
  <si>
    <t>No.</t>
  </si>
  <si>
    <t>GRADO</t>
  </si>
  <si>
    <t>APELLIDO PATERNO</t>
  </si>
  <si>
    <t>APELLIDO MATERNO</t>
  </si>
  <si>
    <t>1ER. NOMBRE</t>
  </si>
  <si>
    <t>2DO. NOMBRE</t>
  </si>
  <si>
    <t>C.I.</t>
  </si>
  <si>
    <t>EXP.</t>
  </si>
  <si>
    <t xml:space="preserve">CARGO ACTUAL </t>
  </si>
  <si>
    <t>UNIDA DE DESTINO</t>
  </si>
  <si>
    <t>FORM - DNP - MP - MF - 005</t>
  </si>
  <si>
    <t xml:space="preserve"> CUADRO DEMOSTRATIVO DE ALTAS (POR CAMBIO DE DESTINO A LA UNIDAD) </t>
  </si>
  <si>
    <t xml:space="preserve">1ER. NOMBRE </t>
  </si>
  <si>
    <t>FECHA DE DESTINO</t>
  </si>
  <si>
    <t>DESTINO ANTERIOR</t>
  </si>
  <si>
    <t>DESTINO ACTUAL</t>
  </si>
  <si>
    <t>QUIEN ORDENA</t>
  </si>
  <si>
    <t>FORM - DNP - MP - MF - 007</t>
  </si>
  <si>
    <t>FORM - DNP - MP - MF - 006</t>
  </si>
  <si>
    <t xml:space="preserve">2DO. NOMBRE </t>
  </si>
  <si>
    <t>CUADRO DEMOSTRATIVO DE BAJAS (POR CAMBIO DE DESTINO DE LA UNIDAD)</t>
  </si>
  <si>
    <t>Nº</t>
  </si>
  <si>
    <t>C. I.</t>
  </si>
  <si>
    <t xml:space="preserve">FECHA DEL HECHO </t>
  </si>
  <si>
    <t xml:space="preserve">FECHA DE RETORNO </t>
  </si>
  <si>
    <t xml:space="preserve">DESTINO ACTUAL </t>
  </si>
  <si>
    <t>OBSERVACIONES</t>
  </si>
  <si>
    <t xml:space="preserve">PERSONAL QUE RETORNO A CUMPLIR FUNCIONES </t>
  </si>
  <si>
    <t xml:space="preserve">DESPUES DE HABER INCURRIDO EN DESERCION </t>
  </si>
  <si>
    <t>FORM - DNP - MP - MF - 009</t>
  </si>
  <si>
    <t>CAUSAL</t>
  </si>
  <si>
    <t>FECHA HECHO</t>
  </si>
  <si>
    <t xml:space="preserve">DESTINO O SITUACION ACTUAL </t>
  </si>
  <si>
    <t xml:space="preserve">OBS. </t>
  </si>
  <si>
    <t>FORM - DNP - MP - MF - 010</t>
  </si>
  <si>
    <t>N°</t>
  </si>
  <si>
    <t>C.  I.</t>
  </si>
  <si>
    <t>CARGO ACTUAL</t>
  </si>
  <si>
    <t xml:space="preserve">UNIDAD DE DESTINO </t>
  </si>
  <si>
    <t>FORM - DNP - MP - MF - 011</t>
  </si>
  <si>
    <t>ENC. DE ACTIVOS FIJOS</t>
  </si>
  <si>
    <t xml:space="preserve">PERSONAL QUE SE ENCUENTRA EN  </t>
  </si>
  <si>
    <t>DESERCION Y/O DETENIDOS PREVENTIVOS (NO TRABAJAN)</t>
  </si>
  <si>
    <t xml:space="preserve">LISTA DE REVISTA </t>
  </si>
  <si>
    <t>TIEMPO DE PERMANENCIA AÑO MES DIA</t>
  </si>
  <si>
    <t>CUADRO DEMOSTRATIVO DE BAJAS DE LA INSTITUCION</t>
  </si>
  <si>
    <t xml:space="preserve">Y FALLECIDOS </t>
  </si>
  <si>
    <t>BAJA DEFINITIVA DE LA INSTITUCION, RETIRO TEMPORAL Y LICENCIA INDEFINIDA</t>
  </si>
  <si>
    <t>RESOLUCION</t>
  </si>
  <si>
    <t>OBS.</t>
  </si>
  <si>
    <t>AP. MATERNO</t>
  </si>
  <si>
    <t>NOMBRE1</t>
  </si>
  <si>
    <t>NOMBRE2</t>
  </si>
  <si>
    <t>EXP</t>
  </si>
  <si>
    <t>FECHA RETIRO TEMP.</t>
  </si>
  <si>
    <t>MOTIVO DE LA BAJA</t>
  </si>
  <si>
    <t>N. MEMO</t>
  </si>
  <si>
    <t>AUT.QUE FIRMA</t>
  </si>
  <si>
    <t>CARGO AUT.FIRMA</t>
  </si>
  <si>
    <t>AP. PATERNO</t>
  </si>
  <si>
    <t>FALLECIDOS</t>
  </si>
  <si>
    <t>FECHA BAJA</t>
  </si>
  <si>
    <t>N°. CERTIFICADO DEFUNCION</t>
  </si>
  <si>
    <t>DESDE</t>
  </si>
  <si>
    <t>HASTA</t>
  </si>
  <si>
    <t>AUTORIDAD QUE FIRMA</t>
  </si>
  <si>
    <t>FORM - DNP - MP - MF - 014</t>
  </si>
  <si>
    <t xml:space="preserve">CUADRO DEMOSTRATIVO DE PERSONAL DE LA UNIDAD EN COMISION </t>
  </si>
  <si>
    <t>FECHA COMISION</t>
  </si>
  <si>
    <t>ANTERIOR DESTINO</t>
  </si>
  <si>
    <t>COMISION EN LA UNIDAD</t>
  </si>
  <si>
    <t>AUTORIDAD QUE ORDENA</t>
  </si>
  <si>
    <t>FECHA DE RETIRO INDEF.</t>
  </si>
  <si>
    <t>DESCRIPCION DE LA RESOLUCION CON GOCE - SIN GOCE DE HABERES</t>
  </si>
  <si>
    <t xml:space="preserve">Nº MEMO.
</t>
  </si>
  <si>
    <t>DPTO. O UNIDAD</t>
  </si>
  <si>
    <t>SUSPENCION INDEFINIDA (CON LA LEY EN ACTUAL VIGENCIA)</t>
  </si>
  <si>
    <t>FECHA
DE SUSP. IND</t>
  </si>
  <si>
    <t>N° RESOLUCION ADM.</t>
  </si>
  <si>
    <t xml:space="preserve">CUADRO DEMOSTRATIVO DEL PERSONAL  </t>
  </si>
  <si>
    <t xml:space="preserve">CON SUSPENSION INDEFINIDA Y/O RETIRO INDEFINIDO </t>
  </si>
  <si>
    <t>FORM - DNP - MP - MF - 016</t>
  </si>
  <si>
    <t>FORM - DNP - MP - MF - 012</t>
  </si>
  <si>
    <t>FORM - DNP - MP - MF - 013</t>
  </si>
  <si>
    <t>FORM - DNP - MP - MF - 015</t>
  </si>
  <si>
    <t xml:space="preserve">FECHA DE DISPONIBILIDAD </t>
  </si>
  <si>
    <t xml:space="preserve">RESOLUCION </t>
  </si>
  <si>
    <t>MEMO</t>
  </si>
  <si>
    <t xml:space="preserve">CUADRO DEMOSTRATIVO DE DISPONIBILIDAD A LA LETRA "A" , "B"  y  "C"  </t>
  </si>
  <si>
    <t>FORM - DNP - MP - MF - 017</t>
  </si>
  <si>
    <t>SUB DIRECTOR DE LA BANDA DE MUSICA</t>
  </si>
  <si>
    <t>SUBOFICIAL DE PLANA MAYOR</t>
  </si>
  <si>
    <t>SECRETARÍA GENERAL</t>
  </si>
  <si>
    <t>SERVICIO INTERNO (GUARDIA CUARTEL)</t>
  </si>
  <si>
    <t>OTROS</t>
  </si>
  <si>
    <t>FORM - DNP - MP - MF - 008</t>
  </si>
  <si>
    <t>ENC. DE PERSONAL</t>
  </si>
  <si>
    <t>CHOFER</t>
  </si>
  <si>
    <t>ASESOR</t>
  </si>
  <si>
    <r>
      <rPr>
        <sz val="8"/>
        <rFont val="Arial"/>
        <family val="2"/>
      </rPr>
      <t xml:space="preserve">                               </t>
    </r>
    <r>
      <rPr>
        <u/>
        <sz val="8"/>
        <rFont val="Arial"/>
        <family val="2"/>
      </rPr>
      <t>Santa Cruz - Bolivia</t>
    </r>
  </si>
  <si>
    <t>FORMULARIO 10-DESERCION</t>
  </si>
  <si>
    <t>DESTINO</t>
  </si>
  <si>
    <t xml:space="preserve">SGTO. </t>
  </si>
  <si>
    <t>SGTO.MY.</t>
  </si>
  <si>
    <t>SGTO. MY. ADM.</t>
  </si>
  <si>
    <t>SU</t>
  </si>
  <si>
    <t>NRO.DE MEMO.</t>
  </si>
  <si>
    <t>CUADRO DEMOSTRATIVO DEL  PERSONAL POR GRADO GERARQUICO</t>
  </si>
  <si>
    <t>UNIDAD DE DESTINO</t>
  </si>
  <si>
    <t>NRO. CELULAR</t>
  </si>
  <si>
    <t xml:space="preserve">CUADRO DEMOSTRATIVO DEL PERSONAL EN VACACION </t>
  </si>
  <si>
    <t>CORREO ELECTRONICO</t>
  </si>
  <si>
    <t>FORM - DNP - MP - MF - 018</t>
  </si>
  <si>
    <t>NUMERO DE LIBRETA MILITAR</t>
  </si>
  <si>
    <t>GRUPO SANGUINIO</t>
  </si>
  <si>
    <t>DEPARTAMENTO DE NACIMIENTO</t>
  </si>
  <si>
    <t>CUADRO DEMOSTRATIVO CON NUM. DE SERVICIO MILITAR Y CORREO ELLECTRONICO</t>
  </si>
  <si>
    <t>CNL. SERV.</t>
  </si>
  <si>
    <t>TCNL. SERV.</t>
  </si>
  <si>
    <t>MY. SERV.</t>
  </si>
  <si>
    <t>CAP. SERV.</t>
  </si>
  <si>
    <t>TTE. SERV.</t>
  </si>
  <si>
    <t>SBTTE. SERV.</t>
  </si>
  <si>
    <t>SOF.SUP.SERV.</t>
  </si>
  <si>
    <t>SOF. MY. SERV.</t>
  </si>
  <si>
    <t>SOF. 1RO. SERV.</t>
  </si>
  <si>
    <t>SOF. 2DO. SERV.</t>
  </si>
  <si>
    <t>SGTO. 1RO. SERV.</t>
  </si>
  <si>
    <t>SGTO. 2DO. SERV.</t>
  </si>
  <si>
    <t>SGTO. SERV.</t>
  </si>
  <si>
    <t xml:space="preserve">  ENCARGADO DEL PERSONAL</t>
  </si>
  <si>
    <t>PERSONAL EN FRONTERAS</t>
  </si>
  <si>
    <r>
      <t xml:space="preserve">                                           </t>
    </r>
    <r>
      <rPr>
        <b/>
        <sz val="11"/>
        <rFont val="Arial"/>
        <family val="2"/>
      </rPr>
      <t xml:space="preserve"> LISTA DE REVISTA </t>
    </r>
  </si>
  <si>
    <t>CUADRO DEMOSTRATIVO DEL PERSONAL</t>
  </si>
  <si>
    <r>
      <rPr>
        <b/>
        <sz val="12"/>
        <color theme="1"/>
        <rFont val="Arial"/>
        <family val="2"/>
      </rPr>
      <t xml:space="preserve">                  </t>
    </r>
    <r>
      <rPr>
        <b/>
        <u/>
        <sz val="12"/>
        <color theme="1"/>
        <rFont val="Arial"/>
        <family val="2"/>
      </rPr>
      <t xml:space="preserve"> DESGLOSADO POR UNIDADES Y/O ORGANISMOS </t>
    </r>
  </si>
  <si>
    <t>DOMICILIO</t>
  </si>
  <si>
    <t>LICENCIATURA-TECNICO</t>
  </si>
  <si>
    <t>NRO. ESCALAFON</t>
  </si>
  <si>
    <t>AÑOS DE ANTIGUIDAD EN GRADO ACTUAL</t>
  </si>
  <si>
    <t>SEXO</t>
  </si>
  <si>
    <t>FECHA DE NACIMIENTO</t>
  </si>
  <si>
    <t>NRO DE CUENTA BANCARIA</t>
  </si>
  <si>
    <t>COMISION CURSO NACIONALES &amp; INTERN</t>
  </si>
  <si>
    <t>COMANDO FRONTERIZO</t>
  </si>
  <si>
    <t>RURAL</t>
  </si>
  <si>
    <t>D E T A L L E DE LA UNIDAD Y PROVINCIA</t>
  </si>
  <si>
    <t xml:space="preserve">OPERACIONES AEREAS </t>
  </si>
  <si>
    <t>SEGURIDAD AEROPORTUARIA</t>
  </si>
  <si>
    <t>AIRCOP</t>
  </si>
  <si>
    <t xml:space="preserve">DIRECTOR DEPARTAMENTAL </t>
  </si>
  <si>
    <t xml:space="preserve">DIRECCION DEPARTAMENTAL </t>
  </si>
  <si>
    <t>DIRECCION DEPARTAMENTAL</t>
  </si>
  <si>
    <t xml:space="preserve">MAIDA </t>
  </si>
  <si>
    <t>LOPEZ</t>
  </si>
  <si>
    <t>RUBEN</t>
  </si>
  <si>
    <t>CBBA</t>
  </si>
  <si>
    <t xml:space="preserve">DISP. CMDO. DPTAL  </t>
  </si>
  <si>
    <t xml:space="preserve">FLORES </t>
  </si>
  <si>
    <t>FLORES</t>
  </si>
  <si>
    <t>JONHNY</t>
  </si>
  <si>
    <t>LP</t>
  </si>
  <si>
    <t>MY.</t>
  </si>
  <si>
    <t>TORREZ</t>
  </si>
  <si>
    <t>ZAMBRANA</t>
  </si>
  <si>
    <t>CARLOS</t>
  </si>
  <si>
    <t>TUPAC</t>
  </si>
  <si>
    <t>LP.</t>
  </si>
  <si>
    <t>CAP.</t>
  </si>
  <si>
    <t xml:space="preserve">COLQUE </t>
  </si>
  <si>
    <t>LIMACHI</t>
  </si>
  <si>
    <t xml:space="preserve">BORIS </t>
  </si>
  <si>
    <t>ARNOLDO</t>
  </si>
  <si>
    <t xml:space="preserve">TTE. </t>
  </si>
  <si>
    <t>VALERO</t>
  </si>
  <si>
    <t>RAFAEL</t>
  </si>
  <si>
    <t>ERICK</t>
  </si>
  <si>
    <t>CORDOVA</t>
  </si>
  <si>
    <t>ALEJO</t>
  </si>
  <si>
    <t xml:space="preserve">PERCY </t>
  </si>
  <si>
    <t>PASTOR</t>
  </si>
  <si>
    <t>TTE.</t>
  </si>
  <si>
    <t>JAIMES</t>
  </si>
  <si>
    <t>TERCEROS</t>
  </si>
  <si>
    <t>JASMANI</t>
  </si>
  <si>
    <t>QUISPE</t>
  </si>
  <si>
    <t>JUAN</t>
  </si>
  <si>
    <t>JORGE</t>
  </si>
  <si>
    <t>SOF 1RO</t>
  </si>
  <si>
    <t xml:space="preserve">MONZON </t>
  </si>
  <si>
    <t>CALLLISAYA</t>
  </si>
  <si>
    <t xml:space="preserve">FRANKLIN </t>
  </si>
  <si>
    <t>FLAVIO</t>
  </si>
  <si>
    <t>SOF. 2DO</t>
  </si>
  <si>
    <t>CONDORI</t>
  </si>
  <si>
    <t>ACHO</t>
  </si>
  <si>
    <t>PONCIANO</t>
  </si>
  <si>
    <t>ELIAN</t>
  </si>
  <si>
    <t>SOF 2DO</t>
  </si>
  <si>
    <t>PACHECO</t>
  </si>
  <si>
    <t>FABIAN</t>
  </si>
  <si>
    <t xml:space="preserve">WILLIAM </t>
  </si>
  <si>
    <t>SC</t>
  </si>
  <si>
    <t>SOF2DO</t>
  </si>
  <si>
    <t>PANTOJA</t>
  </si>
  <si>
    <t>HURTADO</t>
  </si>
  <si>
    <t>RICHARD</t>
  </si>
  <si>
    <t>ROBERTO</t>
  </si>
  <si>
    <t>SGTO. MY.</t>
  </si>
  <si>
    <t xml:space="preserve">JAVIER </t>
  </si>
  <si>
    <t>MHILAN</t>
  </si>
  <si>
    <t>ALVAREZ</t>
  </si>
  <si>
    <t>ESPEJO</t>
  </si>
  <si>
    <t>FABIOLA</t>
  </si>
  <si>
    <t>VIVIANA</t>
  </si>
  <si>
    <t>SOTO</t>
  </si>
  <si>
    <t>TADEO</t>
  </si>
  <si>
    <t>OR.</t>
  </si>
  <si>
    <t>MAMANI</t>
  </si>
  <si>
    <t>APAZA</t>
  </si>
  <si>
    <t>REYNALDO</t>
  </si>
  <si>
    <t>SGTO MY</t>
  </si>
  <si>
    <t>VILLEGAS</t>
  </si>
  <si>
    <t>GIMENA</t>
  </si>
  <si>
    <t xml:space="preserve">AGUILAR </t>
  </si>
  <si>
    <t>CRUZ</t>
  </si>
  <si>
    <t xml:space="preserve">MIGUEL </t>
  </si>
  <si>
    <t>ANGEL</t>
  </si>
  <si>
    <t>VLADIMIR</t>
  </si>
  <si>
    <t>BLADE</t>
  </si>
  <si>
    <t>GUTIERREZ</t>
  </si>
  <si>
    <t>MORALES</t>
  </si>
  <si>
    <t>ISIDORO</t>
  </si>
  <si>
    <t>BARRIDO</t>
  </si>
  <si>
    <t>ARANO</t>
  </si>
  <si>
    <t>RENE</t>
  </si>
  <si>
    <t>DEHEZA</t>
  </si>
  <si>
    <t>MATIAS</t>
  </si>
  <si>
    <t>FROILAN</t>
  </si>
  <si>
    <t>MARIO</t>
  </si>
  <si>
    <t>CALLISAYA</t>
  </si>
  <si>
    <t>GROVER</t>
  </si>
  <si>
    <t>SGTO 1RO</t>
  </si>
  <si>
    <t>TICONA</t>
  </si>
  <si>
    <t>NINA</t>
  </si>
  <si>
    <t>FEDERICO</t>
  </si>
  <si>
    <t xml:space="preserve">SGTO 1RO </t>
  </si>
  <si>
    <t>PEREZ</t>
  </si>
  <si>
    <t>CHAVEZ</t>
  </si>
  <si>
    <t>RONALD</t>
  </si>
  <si>
    <t>PTS</t>
  </si>
  <si>
    <t>ARELLANO</t>
  </si>
  <si>
    <t>HUAYLLA</t>
  </si>
  <si>
    <t>ELICEO</t>
  </si>
  <si>
    <t>SC.</t>
  </si>
  <si>
    <t>ARUNI</t>
  </si>
  <si>
    <t xml:space="preserve">CAMARGO </t>
  </si>
  <si>
    <t>JHONNY</t>
  </si>
  <si>
    <t>BLANCO</t>
  </si>
  <si>
    <t xml:space="preserve">YUJRA </t>
  </si>
  <si>
    <t>HENRRY</t>
  </si>
  <si>
    <t>CHINO</t>
  </si>
  <si>
    <t>ORUÑO</t>
  </si>
  <si>
    <t xml:space="preserve">MARCOS </t>
  </si>
  <si>
    <t>TEJERINA</t>
  </si>
  <si>
    <t xml:space="preserve">ROJAS </t>
  </si>
  <si>
    <t xml:space="preserve">CINTIA </t>
  </si>
  <si>
    <t>ROSARIO</t>
  </si>
  <si>
    <t xml:space="preserve">SGTO. 2DO </t>
  </si>
  <si>
    <t>MENDOZA</t>
  </si>
  <si>
    <t>ARTOVAR</t>
  </si>
  <si>
    <t>ALEXANDER</t>
  </si>
  <si>
    <t>SGTO. 2DO</t>
  </si>
  <si>
    <t>ALANOCA</t>
  </si>
  <si>
    <t xml:space="preserve">JOSE </t>
  </si>
  <si>
    <t>LUIS</t>
  </si>
  <si>
    <t>CAYO</t>
  </si>
  <si>
    <t>GOMEZ</t>
  </si>
  <si>
    <t>DIEGO</t>
  </si>
  <si>
    <t>ARMANDO</t>
  </si>
  <si>
    <t>SGTO.2DO</t>
  </si>
  <si>
    <t>FERNANDO</t>
  </si>
  <si>
    <t>SGTO 2DO</t>
  </si>
  <si>
    <t>QUINTANILLA</t>
  </si>
  <si>
    <t>EVER</t>
  </si>
  <si>
    <t xml:space="preserve">ALMENDRAS </t>
  </si>
  <si>
    <t>CRISTIAN</t>
  </si>
  <si>
    <t>VIDAURRE</t>
  </si>
  <si>
    <t>MIGUEL</t>
  </si>
  <si>
    <t>BERNABE</t>
  </si>
  <si>
    <t>HUALLPA</t>
  </si>
  <si>
    <t>NELSON</t>
  </si>
  <si>
    <t>FREDDY</t>
  </si>
  <si>
    <t>GUSTAVO</t>
  </si>
  <si>
    <t>TOLA</t>
  </si>
  <si>
    <t>COLQUE</t>
  </si>
  <si>
    <t>SGTO</t>
  </si>
  <si>
    <t>MIRANDA</t>
  </si>
  <si>
    <t>ALCOSER</t>
  </si>
  <si>
    <t>MIRIAM</t>
  </si>
  <si>
    <t>MAQUERA</t>
  </si>
  <si>
    <t>LARICO</t>
  </si>
  <si>
    <t>SAMUEL</t>
  </si>
  <si>
    <t>TITO</t>
  </si>
  <si>
    <t>LENIZ</t>
  </si>
  <si>
    <t>JHASMANY</t>
  </si>
  <si>
    <t>AGUIRRE</t>
  </si>
  <si>
    <t>DAVILA</t>
  </si>
  <si>
    <t>ELVIN</t>
  </si>
  <si>
    <t>JHONATAN</t>
  </si>
  <si>
    <t>KAPA</t>
  </si>
  <si>
    <t>PINTO</t>
  </si>
  <si>
    <t>MARY</t>
  </si>
  <si>
    <t>ISABEL</t>
  </si>
  <si>
    <t>SGTO.</t>
  </si>
  <si>
    <t>CALLIZAYA</t>
  </si>
  <si>
    <t>PAZ</t>
  </si>
  <si>
    <t>ALBERTO</t>
  </si>
  <si>
    <t>SCZ</t>
  </si>
  <si>
    <t>ALBA</t>
  </si>
  <si>
    <t>VERONICA</t>
  </si>
  <si>
    <t xml:space="preserve">MITA </t>
  </si>
  <si>
    <t>MAGNE</t>
  </si>
  <si>
    <t>WILBER</t>
  </si>
  <si>
    <t>TNCL. SERV.</t>
  </si>
  <si>
    <t xml:space="preserve">SARDAN </t>
  </si>
  <si>
    <t>DIAZ</t>
  </si>
  <si>
    <t xml:space="preserve">MARCO </t>
  </si>
  <si>
    <t>ANTONIO</t>
  </si>
  <si>
    <t>CH.</t>
  </si>
  <si>
    <t xml:space="preserve">OFICIAL ENC. SEG. AEROPUERTO VIRU VIRU </t>
  </si>
  <si>
    <t>AUX.  DE OPERACIONES AEREAS</t>
  </si>
  <si>
    <t>SEG. AEROPORTUARIA JESPA VIRU VIRU</t>
  </si>
  <si>
    <t>AVSEC BOA AEROPUERTO VIRU VIRU</t>
  </si>
  <si>
    <t xml:space="preserve">OPERADOR DE VUELO TACTICO </t>
  </si>
  <si>
    <t>TECNICO AERONAUTICO</t>
  </si>
  <si>
    <t xml:space="preserve">ENC. DE TRANSPORTE </t>
  </si>
  <si>
    <t>ENC. LISTA DE REVISTA AUX. DIV. PERSONAL</t>
  </si>
  <si>
    <t>JEFE OPERACIONES AEREAS</t>
  </si>
  <si>
    <r>
      <t>ENC. ESTADISTICA</t>
    </r>
    <r>
      <rPr>
        <sz val="9"/>
        <color rgb="FFFF0000"/>
        <rFont val="Arial"/>
        <family val="2"/>
      </rPr>
      <t xml:space="preserve"> (ART. 57)</t>
    </r>
  </si>
  <si>
    <r>
      <t>SEG. AEROPORTUARIA JESPA VIRU VIRU</t>
    </r>
    <r>
      <rPr>
        <sz val="9"/>
        <color rgb="FFFF0000"/>
        <rFont val="Arial"/>
        <family val="2"/>
      </rPr>
      <t>(ART. 57)</t>
    </r>
  </si>
  <si>
    <r>
      <t>SEG. AEROPORTUARIA JESPA VIRU VIRU</t>
    </r>
    <r>
      <rPr>
        <sz val="8"/>
        <color rgb="FFFF0000"/>
        <rFont val="Arial"/>
        <family val="2"/>
      </rPr>
      <t>(ART. 57)</t>
    </r>
  </si>
  <si>
    <t>DIR.NACIONAL SAP</t>
  </si>
  <si>
    <t>B. SEG. FISICA. EST.</t>
  </si>
  <si>
    <t>DIR. DPTAL. EST. PENT.</t>
  </si>
  <si>
    <t>E.P.I. N°3 PLAN 3000</t>
  </si>
  <si>
    <t>E.P.I. N°6 EL BAJIO</t>
  </si>
  <si>
    <t>RADIO PATRULLAS 110</t>
  </si>
  <si>
    <t>PROV. VALLEGRANDE</t>
  </si>
  <si>
    <t>DIR. DPTAL. SEG. PUBLICA</t>
  </si>
  <si>
    <t>INTELIGENCIA</t>
  </si>
  <si>
    <t>E.P.I. N°8 LOS TUSEQUIS</t>
  </si>
  <si>
    <t>E.P.I. N° 9 LOS LOTES</t>
  </si>
  <si>
    <t>DPTO PERSONAL SC</t>
  </si>
  <si>
    <t>DP  1 SC</t>
  </si>
  <si>
    <t>POST. GRADO</t>
  </si>
  <si>
    <t>E.P.I. N° 7 PAMPA DE LA ISLA</t>
  </si>
  <si>
    <t xml:space="preserve">CMDO. GRAL. </t>
  </si>
  <si>
    <t>torrezzito@gmail.com</t>
  </si>
  <si>
    <t>boriscolquelimachy@gmail.com</t>
  </si>
  <si>
    <t>Foxporte007@gmail.com</t>
  </si>
  <si>
    <t>Osinhoosinio@gmail.com</t>
  </si>
  <si>
    <t>Fenix261187@gmail.com</t>
  </si>
  <si>
    <t>juan01Sep92@gmail.com</t>
  </si>
  <si>
    <t>JONHNY1509@GMAIL.COM</t>
  </si>
  <si>
    <t>monzon1974franklin@gmail.com</t>
  </si>
  <si>
    <t>eliancondoriacho@gmail.com</t>
  </si>
  <si>
    <t>Milanjav2511@gmail.com</t>
  </si>
  <si>
    <t>alvarezespejof@gmail.com</t>
  </si>
  <si>
    <t>nicolasqui@hotmail.com</t>
  </si>
  <si>
    <t>gimenavillegasmamani@gmail.com</t>
  </si>
  <si>
    <t>Mikiaguilarcruz@hotmail.com</t>
  </si>
  <si>
    <t>blade.vbmq@gmail.com</t>
  </si>
  <si>
    <t>ISIDOROGUTIERREZMORALES@gmail.com</t>
  </si>
  <si>
    <t>reclutacali19855@gmail.com</t>
  </si>
  <si>
    <t>freddyticonanina@gmail.com</t>
  </si>
  <si>
    <t>perezchavez76669414@gmail.com</t>
  </si>
  <si>
    <t>eliceoarellano1234@gmail.com</t>
  </si>
  <si>
    <t>jhonnyarunicamargo@gmail.com</t>
  </si>
  <si>
    <t>henrry.blac.20160y@gmail.com</t>
  </si>
  <si>
    <t>marcoschino2020@gmail.com</t>
  </si>
  <si>
    <t>cintiatejerinarojas123@gmail.com</t>
  </si>
  <si>
    <t>mendoza7277293@gmail.com</t>
  </si>
  <si>
    <t>joseluisalanocaapaza910@gmail.com</t>
  </si>
  <si>
    <t>almagrodiego50@gmail.com</t>
  </si>
  <si>
    <t>samuelqintanillaFlores936@gmail.com</t>
  </si>
  <si>
    <t>Cristianalmendras96@@gmail.com</t>
  </si>
  <si>
    <t>MiguelVidaurreMendoza@gmail.com</t>
  </si>
  <si>
    <t>nelber78540898@gmail.com</t>
  </si>
  <si>
    <t>DominicSadirmorales123@gmail.com</t>
  </si>
  <si>
    <t>Me109cito.jlt@gmail.com</t>
  </si>
  <si>
    <t>mirandaallcoserangel@gmail.com</t>
  </si>
  <si>
    <t>mtorreznina39@gmail.com</t>
  </si>
  <si>
    <t>samuelmaqueralarico@gmail.com</t>
  </si>
  <si>
    <t>titoleniz2406@gmail.com</t>
  </si>
  <si>
    <t>el_ad_bueno98@hotmail.com</t>
  </si>
  <si>
    <t>marymar1998rosas15@gmail.com</t>
  </si>
  <si>
    <t>josealberto1912paz@gmail.com</t>
  </si>
  <si>
    <t>v,c,alba3@gmail.com</t>
  </si>
  <si>
    <t>wilmer2019mita2020@gmail.com</t>
  </si>
  <si>
    <t>crnlmax1@gmail.com</t>
  </si>
  <si>
    <t>Av. Centinelas del Chaco, Calle Carnaval Nro. 106</t>
  </si>
  <si>
    <t>Av. 4to Anilllo Radial 19 N°32</t>
  </si>
  <si>
    <t>Z/Urubo Cond. Lomas del Urubo C/2 N° 21</t>
  </si>
  <si>
    <t>Z/Norte 7no anillo  B/Tusequis C/Walt Hittman s/n</t>
  </si>
  <si>
    <t>Z/ El fuerte B/ 4 de Octubre</t>
  </si>
  <si>
    <t>Av. Luis Espinal S/N</t>
  </si>
  <si>
    <t>Zona Plan 3000 Barrio Mechero Calle 10</t>
  </si>
  <si>
    <t xml:space="preserve">Andres Ibañez C/ Miguel de Cervantes </t>
  </si>
  <si>
    <t>Av/ Santos Dumont 8vo anillo S/N</t>
  </si>
  <si>
    <t>Z/ Plan 3000 B/Copacabana  s/n</t>
  </si>
  <si>
    <t>Z/El Fuerte B/4 de Octubre C/los Pimines N°7193</t>
  </si>
  <si>
    <t xml:space="preserve">Z/Plan 3000 Av. Paurito B/Paraiso </t>
  </si>
  <si>
    <t xml:space="preserve">Z/ Plan 3000  Ciudad de la Alegria </t>
  </si>
  <si>
    <t>Z/ Plan 3000 8vo anillo</t>
  </si>
  <si>
    <t xml:space="preserve">Prov/Warnes Distrito 3 </t>
  </si>
  <si>
    <t>Distrito N 8 Z/ Arroyito S/N</t>
  </si>
  <si>
    <t>Av/ Bolivia C/ Mariana N°3040</t>
  </si>
  <si>
    <t xml:space="preserve">Z/ Plan 3000 B/ Las Brisas </t>
  </si>
  <si>
    <t>B/ Guaracal C/6 N°30900</t>
  </si>
  <si>
    <t>Z/ Plan 3000 B/San Luisito C/Pando N° 37</t>
  </si>
  <si>
    <t>Doble Via la Guardia N100</t>
  </si>
  <si>
    <t>Distrito N12 C/ Sucre B/ El fuerte N°123</t>
  </si>
  <si>
    <t>Distrito 13 B/Carolina UV-242</t>
  </si>
  <si>
    <t>Z/La Colorada 5to anillo Av.San Silvestre s/n</t>
  </si>
  <si>
    <t>Z/Lujan B/San Cayetano C/San Valentin N°25</t>
  </si>
  <si>
    <t>Z/Villa 1ro. De Mayo B/Moliendita C/6 N°51</t>
  </si>
  <si>
    <t>Av/ Marcelo Quiroja Santa Cruz 7 Anillo</t>
  </si>
  <si>
    <t>Z/ Plan 3000 B/ Santa Elena C/ Gatemala N°23</t>
  </si>
  <si>
    <t>Z/ Plan 3000 Av/ Mechero N°14</t>
  </si>
  <si>
    <t>Av/ Moscu C/ 11 N°55</t>
  </si>
  <si>
    <t>Distrito N7 Av/ Cheguevara N°20</t>
  </si>
  <si>
    <t>B/ Palmira C/ Pando N°154</t>
  </si>
  <si>
    <t>Av/ La Colorada N°380</t>
  </si>
  <si>
    <t xml:space="preserve">Z/ Plan 3000 Av/ Los Pocitos </t>
  </si>
  <si>
    <t>3er y 4to Av/ Mutualista</t>
  </si>
  <si>
    <t>3er Anillo Externo Av/ Centenario N°3075</t>
  </si>
  <si>
    <t xml:space="preserve">Distrito N5 Canal Guapilo C/5 </t>
  </si>
  <si>
    <t>Z/Los Lotes B/Roca y Coronada C/ Edmundo Roca</t>
  </si>
  <si>
    <t>Z/Km 9 Doble Via la Guardia b/Balcon II C/Totai</t>
  </si>
  <si>
    <t>Av. Pompeya 7mo Anillo Cambodromo</t>
  </si>
  <si>
    <t>3er. Anillo Roca Coronado, C/Mario Gutierrez Nro.3225</t>
  </si>
  <si>
    <t>4283-OF</t>
  </si>
  <si>
    <t>4927-OF</t>
  </si>
  <si>
    <t>5863-OF</t>
  </si>
  <si>
    <t>5919-OF</t>
  </si>
  <si>
    <t>6618-OF</t>
  </si>
  <si>
    <t>18105-OF</t>
  </si>
  <si>
    <t>5392-CB</t>
  </si>
  <si>
    <t>9940-CB</t>
  </si>
  <si>
    <t>13085-CB</t>
  </si>
  <si>
    <t>1918-BF</t>
  </si>
  <si>
    <t>13496-CB</t>
  </si>
  <si>
    <t>13410-CB</t>
  </si>
  <si>
    <t>14756-CB</t>
  </si>
  <si>
    <t>11584-CB</t>
  </si>
  <si>
    <t>15668-CB</t>
  </si>
  <si>
    <t>9179-CB</t>
  </si>
  <si>
    <t>9974-CB</t>
  </si>
  <si>
    <t>16945-CB</t>
  </si>
  <si>
    <t>16922-CB</t>
  </si>
  <si>
    <t>16929-CB</t>
  </si>
  <si>
    <t>3759-BF</t>
  </si>
  <si>
    <t>19180-CB</t>
  </si>
  <si>
    <t>20737-CB</t>
  </si>
  <si>
    <t>21026-CB</t>
  </si>
  <si>
    <t>17920-PP</t>
  </si>
  <si>
    <t>171056-PP</t>
  </si>
  <si>
    <t>19420-PC</t>
  </si>
  <si>
    <t>19441-PC</t>
  </si>
  <si>
    <t>19418-PC</t>
  </si>
  <si>
    <t>19897-CB</t>
  </si>
  <si>
    <t>181022-PP</t>
  </si>
  <si>
    <t>181062-PP</t>
  </si>
  <si>
    <t>191229-PP</t>
  </si>
  <si>
    <t>191254-PP</t>
  </si>
  <si>
    <t>191180-PP</t>
  </si>
  <si>
    <t>191217-PP</t>
  </si>
  <si>
    <t>21983-SS</t>
  </si>
  <si>
    <t>22488-SSF</t>
  </si>
  <si>
    <t>17428-CP</t>
  </si>
  <si>
    <t>1691-OSERV</t>
  </si>
  <si>
    <t>14/061988</t>
  </si>
  <si>
    <t>24//6/1995</t>
  </si>
  <si>
    <t>1-18111407</t>
  </si>
  <si>
    <t>1-13885518</t>
  </si>
  <si>
    <t>1-11262304</t>
  </si>
  <si>
    <t>1-11649122</t>
  </si>
  <si>
    <t>1-20980640</t>
  </si>
  <si>
    <t>1-3265043</t>
  </si>
  <si>
    <t>1-8950491</t>
  </si>
  <si>
    <t>1-14653310</t>
  </si>
  <si>
    <t>1-3551674</t>
  </si>
  <si>
    <t>1-3611692</t>
  </si>
  <si>
    <t>1-15525667</t>
  </si>
  <si>
    <t>1-3555006</t>
  </si>
  <si>
    <t>1-4569460</t>
  </si>
  <si>
    <t>1-13617012</t>
  </si>
  <si>
    <t>1-3564114</t>
  </si>
  <si>
    <t>1-3585384</t>
  </si>
  <si>
    <t>1-3564429</t>
  </si>
  <si>
    <t>1-6821230</t>
  </si>
  <si>
    <t>1-9381348</t>
  </si>
  <si>
    <t>1-6243773</t>
  </si>
  <si>
    <t>1-11098254</t>
  </si>
  <si>
    <t>1-13736894</t>
  </si>
  <si>
    <t>1-11488851</t>
  </si>
  <si>
    <t>1-23180479</t>
  </si>
  <si>
    <t>1-44766315</t>
  </si>
  <si>
    <t>1-26326260</t>
  </si>
  <si>
    <t>1-27773874</t>
  </si>
  <si>
    <t>1-3572373</t>
  </si>
  <si>
    <t>1-20461749</t>
  </si>
  <si>
    <t>1-10811467</t>
  </si>
  <si>
    <t>1-47555195</t>
  </si>
  <si>
    <t>1-30993964</t>
  </si>
  <si>
    <t>1-29905649</t>
  </si>
  <si>
    <t>1-32659176</t>
  </si>
  <si>
    <t>1-32689280</t>
  </si>
  <si>
    <t>1-32654134</t>
  </si>
  <si>
    <t>1-32702842</t>
  </si>
  <si>
    <t>1-41869857</t>
  </si>
  <si>
    <t>1-41870581</t>
  </si>
  <si>
    <t>1-13894329</t>
  </si>
  <si>
    <t>1-8515568</t>
  </si>
  <si>
    <t>1-6997403</t>
  </si>
  <si>
    <t>5926-OF</t>
  </si>
  <si>
    <t xml:space="preserve">SEGURIDAD AEROPORTUARIA </t>
  </si>
  <si>
    <t>OPERACIONES AEREAS</t>
  </si>
  <si>
    <t>DIR. DPTAL. S.A.P.</t>
  </si>
  <si>
    <t xml:space="preserve">ALVAREZ </t>
  </si>
  <si>
    <t xml:space="preserve">FABIOLA </t>
  </si>
  <si>
    <t>SECRETARIA DE LA DD. SAP.</t>
  </si>
  <si>
    <t xml:space="preserve">MAMANI </t>
  </si>
  <si>
    <t>INVESTIGADOR AIRCOP</t>
  </si>
  <si>
    <t>OPERACIONES AEREAS DD.SAP</t>
  </si>
  <si>
    <t>OPERADOR DE VUELO TACTICO</t>
  </si>
  <si>
    <t xml:space="preserve">SGTO. MY. </t>
  </si>
  <si>
    <t xml:space="preserve">ENCARGADO DE TRANSPORTE </t>
  </si>
  <si>
    <t>JOSE</t>
  </si>
  <si>
    <t>JEFE DE OPERACIONES AEREAS</t>
  </si>
  <si>
    <r>
      <t xml:space="preserve">ENC. DE ESTADISTICAS </t>
    </r>
    <r>
      <rPr>
        <sz val="8"/>
        <color rgb="FFFF0000"/>
        <rFont val="Arial"/>
        <family val="2"/>
      </rPr>
      <t>(ART. 57)</t>
    </r>
  </si>
  <si>
    <t>AIRCOP. AEROPUERTO VIRU VIRU</t>
  </si>
  <si>
    <t>UNIDAD AIRCOP</t>
  </si>
  <si>
    <t>UNIDAD DE SEGURIDAD AEROPORTUARIA</t>
  </si>
  <si>
    <t xml:space="preserve">UNIDAD DE OPERACIONES AEREAS </t>
  </si>
  <si>
    <t>DIRECCION DEPARTAMENTAL DEL S.A.P.</t>
  </si>
  <si>
    <t>EXTRAVIADO</t>
  </si>
  <si>
    <t>ORH(+)</t>
  </si>
  <si>
    <t>COCHABAMBA</t>
  </si>
  <si>
    <t>4TO AÑO</t>
  </si>
  <si>
    <t>ORURO</t>
  </si>
  <si>
    <t>3ER AÑO</t>
  </si>
  <si>
    <t>LA PAZ</t>
  </si>
  <si>
    <t>5TO AÑO</t>
  </si>
  <si>
    <t>1ER AÑO</t>
  </si>
  <si>
    <t>1 ER AÑO</t>
  </si>
  <si>
    <t>ARH(+)</t>
  </si>
  <si>
    <t>2DO AÑO</t>
  </si>
  <si>
    <t>SANTA CRUZ</t>
  </si>
  <si>
    <t>NO TIENE</t>
  </si>
  <si>
    <t>448752-99</t>
  </si>
  <si>
    <t>POTOSI</t>
  </si>
  <si>
    <t>7MO AÑO</t>
  </si>
  <si>
    <t>10 AÑO</t>
  </si>
  <si>
    <t>FILEMON</t>
  </si>
  <si>
    <t>01E113863212</t>
  </si>
  <si>
    <t>5 TO AÑO</t>
  </si>
  <si>
    <t>6288269-15</t>
  </si>
  <si>
    <t>9734078-17</t>
  </si>
  <si>
    <t>MITA</t>
  </si>
  <si>
    <t>23 AÑOS</t>
  </si>
  <si>
    <t>A(+)</t>
  </si>
  <si>
    <t>SUCRE</t>
  </si>
  <si>
    <t>Tte. Percy Pastor Cordova Alejo</t>
  </si>
  <si>
    <r>
      <rPr>
        <b/>
        <sz val="9"/>
        <rFont val="Arial"/>
        <family val="2"/>
      </rPr>
      <t>ELABORADO POR: Sgto. Jose Alberto Callizaya Paz</t>
    </r>
    <r>
      <rPr>
        <sz val="9"/>
        <rFont val="Arial"/>
        <family val="2"/>
      </rPr>
      <t xml:space="preserve">                </t>
    </r>
    <r>
      <rPr>
        <b/>
        <sz val="9"/>
        <rFont val="Arial"/>
        <family val="2"/>
      </rPr>
      <t>CEL:</t>
    </r>
    <r>
      <rPr>
        <sz val="9"/>
        <rFont val="Arial"/>
        <family val="2"/>
      </rPr>
      <t xml:space="preserve"> 77309877           </t>
    </r>
    <r>
      <rPr>
        <b/>
        <sz val="9"/>
        <rFont val="Arial"/>
        <family val="2"/>
      </rPr>
      <t xml:space="preserve">    CARGO:</t>
    </r>
    <r>
      <rPr>
        <sz val="9"/>
        <rFont val="Arial"/>
        <family val="2"/>
      </rPr>
      <t xml:space="preserve">  Enc. De Lista de Revista                          </t>
    </r>
    <r>
      <rPr>
        <b/>
        <sz val="9"/>
        <rFont val="Arial"/>
        <family val="2"/>
      </rPr>
      <t>FIRMA</t>
    </r>
    <r>
      <rPr>
        <sz val="9"/>
        <rFont val="Arial"/>
        <family val="2"/>
      </rPr>
      <t>………..……………….</t>
    </r>
  </si>
  <si>
    <t xml:space="preserve">Tte. Percy Cordova Alejo </t>
  </si>
  <si>
    <t xml:space="preserve">Tte. Percy Pastor Cordova Alejo </t>
  </si>
  <si>
    <r>
      <rPr>
        <b/>
        <sz val="11"/>
        <rFont val="Arial"/>
        <family val="2"/>
      </rPr>
      <t xml:space="preserve">UNIDAD: </t>
    </r>
    <r>
      <rPr>
        <sz val="11"/>
        <rFont val="Arial"/>
        <family val="2"/>
      </rPr>
      <t>DIRECCION DEPARTAMENTAL DEL SERVICIO AEREO POLICIAL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 xml:space="preserve">Correo Electronico de la Unidad : </t>
    </r>
    <r>
      <rPr>
        <sz val="11"/>
        <rFont val="Arial"/>
        <family val="2"/>
      </rPr>
      <t>dirdepsap1@gmail.com</t>
    </r>
  </si>
  <si>
    <r>
      <rPr>
        <b/>
        <sz val="11"/>
        <rFont val="Arial"/>
        <family val="2"/>
      </rPr>
      <t xml:space="preserve">UNIDAD: </t>
    </r>
    <r>
      <rPr>
        <sz val="11"/>
        <rFont val="Arial"/>
        <family val="2"/>
      </rPr>
      <t xml:space="preserve">DIRECCION DEPARTAMENTAL DEL SERVICIO AEREO POLICIAL     </t>
    </r>
    <r>
      <rPr>
        <b/>
        <sz val="11"/>
        <rFont val="Arial"/>
        <family val="2"/>
      </rPr>
      <t>Correo Electronico de la Unidad:</t>
    </r>
    <r>
      <rPr>
        <sz val="11"/>
        <rFont val="Arial"/>
        <family val="2"/>
      </rPr>
      <t xml:space="preserve"> dirdepsap1@gmail.com</t>
    </r>
  </si>
  <si>
    <r>
      <rPr>
        <b/>
        <sz val="11"/>
        <rFont val="Arial"/>
        <family val="2"/>
      </rPr>
      <t xml:space="preserve">UNIDAD: </t>
    </r>
    <r>
      <rPr>
        <sz val="11"/>
        <rFont val="Arial"/>
        <family val="2"/>
      </rPr>
      <t xml:space="preserve">DIRECCION DEPARTAMENTAL DEL SERVICIO AEREO POLICIAL      </t>
    </r>
    <r>
      <rPr>
        <b/>
        <sz val="11"/>
        <rFont val="Arial"/>
        <family val="2"/>
      </rPr>
      <t>Correo Electronico de la Unidad:</t>
    </r>
    <r>
      <rPr>
        <sz val="11"/>
        <rFont val="Arial"/>
        <family val="2"/>
      </rPr>
      <t xml:space="preserve">  dirdepsap1@gmail.com</t>
    </r>
  </si>
  <si>
    <r>
      <rPr>
        <b/>
        <sz val="11"/>
        <rFont val="Arial"/>
        <family val="2"/>
      </rPr>
      <t xml:space="preserve">UNIDAD: </t>
    </r>
    <r>
      <rPr>
        <sz val="11"/>
        <rFont val="Arial"/>
        <family val="2"/>
      </rPr>
      <t xml:space="preserve">DIRECCION DEPARTAMENTAL DEL SERVICIO AEREO POLICIAL                           </t>
    </r>
    <r>
      <rPr>
        <b/>
        <sz val="11"/>
        <rFont val="Arial"/>
        <family val="2"/>
      </rPr>
      <t>Correo Electronico de la Unidad:</t>
    </r>
    <r>
      <rPr>
        <sz val="11"/>
        <rFont val="Arial"/>
        <family val="2"/>
      </rPr>
      <t xml:space="preserve"> dirdepsap1@gmail.com</t>
    </r>
  </si>
  <si>
    <r>
      <rPr>
        <b/>
        <sz val="10"/>
        <rFont val="Arial"/>
        <family val="2"/>
      </rPr>
      <t xml:space="preserve">UNIDAD: </t>
    </r>
    <r>
      <rPr>
        <sz val="10"/>
        <rFont val="Arial"/>
        <family val="2"/>
      </rPr>
      <t xml:space="preserve">DIRECCION DEPARTAMENTAL DEL SERVICIO AEREO POLICIAL         </t>
    </r>
    <r>
      <rPr>
        <b/>
        <sz val="10"/>
        <rFont val="Arial"/>
        <family val="2"/>
      </rPr>
      <t>Correo Electronico de la Unidad:</t>
    </r>
    <r>
      <rPr>
        <sz val="10"/>
        <rFont val="Arial"/>
        <family val="2"/>
      </rPr>
      <t xml:space="preserve"> dirdepsap1@gmail.com</t>
    </r>
  </si>
  <si>
    <r>
      <rPr>
        <b/>
        <sz val="11"/>
        <rFont val="Arial"/>
        <family val="2"/>
      </rPr>
      <t xml:space="preserve">UNIDAD: </t>
    </r>
    <r>
      <rPr>
        <sz val="11"/>
        <rFont val="Arial"/>
        <family val="2"/>
      </rPr>
      <t xml:space="preserve">DIRECCION DEPARTAMENTAL DEL SERVICIO AEREO POLICIAL </t>
    </r>
    <r>
      <rPr>
        <b/>
        <sz val="11"/>
        <rFont val="Arial"/>
        <family val="2"/>
      </rPr>
      <t>Correo Electronico de la Unidad:</t>
    </r>
    <r>
      <rPr>
        <sz val="11"/>
        <rFont val="Arial"/>
        <family val="2"/>
      </rPr>
      <t xml:space="preserve"> dirdepsap1@gmail.com</t>
    </r>
  </si>
  <si>
    <r>
      <rPr>
        <b/>
        <sz val="11"/>
        <rFont val="Arial"/>
        <family val="2"/>
      </rPr>
      <t>UNIDAD:</t>
    </r>
    <r>
      <rPr>
        <sz val="11"/>
        <rFont val="Arial"/>
        <family val="2"/>
      </rPr>
      <t xml:space="preserve"> DIRECCION DEPARTAMENTAL DEL SERVICIO AEREO POLICIAL            C</t>
    </r>
    <r>
      <rPr>
        <b/>
        <sz val="11"/>
        <rFont val="Arial"/>
        <family val="2"/>
      </rPr>
      <t xml:space="preserve">orreo Electronico  de  la  Unidad: </t>
    </r>
    <r>
      <rPr>
        <sz val="11"/>
        <rFont val="Arial"/>
        <family val="2"/>
      </rPr>
      <t>dirdepsap1@gmail.com</t>
    </r>
  </si>
  <si>
    <r>
      <rPr>
        <b/>
        <sz val="11"/>
        <rFont val="Arial"/>
        <family val="2"/>
      </rPr>
      <t>UNIDAD:</t>
    </r>
    <r>
      <rPr>
        <sz val="11"/>
        <rFont val="Arial"/>
        <family val="2"/>
      </rPr>
      <t xml:space="preserve"> DIRECCION DEPARTAMENTAL DEL SERVICIO AEREO POLICIAL          </t>
    </r>
    <r>
      <rPr>
        <b/>
        <sz val="11"/>
        <rFont val="Arial"/>
        <family val="2"/>
      </rPr>
      <t xml:space="preserve">Correo Electronico de la Unidad: </t>
    </r>
    <r>
      <rPr>
        <sz val="11"/>
        <rFont val="Arial"/>
        <family val="2"/>
      </rPr>
      <t>dirdepsap1@gmail.com</t>
    </r>
  </si>
  <si>
    <r>
      <rPr>
        <b/>
        <sz val="11"/>
        <rFont val="Arial"/>
        <family val="2"/>
      </rPr>
      <t xml:space="preserve">UNIDAD: </t>
    </r>
    <r>
      <rPr>
        <sz val="11"/>
        <rFont val="Arial"/>
        <family val="2"/>
      </rPr>
      <t xml:space="preserve">DIRECCION DEPARTAMENTAL DEL SERVICIO AEREO POLICIAL           </t>
    </r>
    <r>
      <rPr>
        <b/>
        <sz val="11"/>
        <rFont val="Arial"/>
        <family val="2"/>
      </rPr>
      <t>Correo Electronico de la Unidad:</t>
    </r>
    <r>
      <rPr>
        <sz val="11"/>
        <rFont val="Arial"/>
        <family val="2"/>
      </rPr>
      <t xml:space="preserve"> dirdepsap1@gmail.com</t>
    </r>
  </si>
  <si>
    <r>
      <rPr>
        <b/>
        <sz val="14"/>
        <rFont val="Arial"/>
        <family val="2"/>
      </rPr>
      <t xml:space="preserve">UNIDAD: </t>
    </r>
    <r>
      <rPr>
        <sz val="14"/>
        <rFont val="Arial"/>
        <family val="2"/>
      </rPr>
      <t xml:space="preserve">DIRECCION DEPARTAMENTAL DEL SERVICIO AEREO POLICIAL                        </t>
    </r>
    <r>
      <rPr>
        <b/>
        <sz val="14"/>
        <rFont val="Arial"/>
        <family val="2"/>
      </rPr>
      <t>Correo Electronico de la Unidad:</t>
    </r>
    <r>
      <rPr>
        <sz val="14"/>
        <rFont val="Arial"/>
        <family val="2"/>
      </rPr>
      <t xml:space="preserve"> dirdepsap1@gmail.com</t>
    </r>
  </si>
  <si>
    <r>
      <rPr>
        <b/>
        <sz val="11"/>
        <rFont val="Arial"/>
        <family val="2"/>
      </rPr>
      <t xml:space="preserve">UNIDAD: </t>
    </r>
    <r>
      <rPr>
        <sz val="11"/>
        <rFont val="Arial"/>
        <family val="2"/>
      </rPr>
      <t xml:space="preserve">DIRECCION DEPARTAMENTAL DEL SERVICIO AEREO POLICIAL                           </t>
    </r>
    <r>
      <rPr>
        <b/>
        <sz val="11"/>
        <rFont val="Arial"/>
        <family val="2"/>
      </rPr>
      <t xml:space="preserve">Correo Electronico de la Unidad: </t>
    </r>
    <r>
      <rPr>
        <sz val="11"/>
        <rFont val="Arial"/>
        <family val="2"/>
      </rPr>
      <t>dirdepsap1@gmail.com</t>
    </r>
  </si>
  <si>
    <r>
      <rPr>
        <b/>
        <sz val="11"/>
        <rFont val="Arial"/>
        <family val="2"/>
      </rPr>
      <t xml:space="preserve">UNIDAD: </t>
    </r>
    <r>
      <rPr>
        <sz val="11"/>
        <rFont val="Arial"/>
        <family val="2"/>
      </rPr>
      <t xml:space="preserve">DIRECCION DEPARTAMENTAL DEL SERVICIO AEREO POLICIAL             </t>
    </r>
    <r>
      <rPr>
        <b/>
        <sz val="11"/>
        <rFont val="Arial"/>
        <family val="2"/>
      </rPr>
      <t xml:space="preserve"> Correo Electronico de la Unidad:</t>
    </r>
    <r>
      <rPr>
        <sz val="11"/>
        <rFont val="Arial"/>
        <family val="2"/>
      </rPr>
      <t xml:space="preserve"> dirdepsap1@gmail.com</t>
    </r>
  </si>
  <si>
    <r>
      <rPr>
        <b/>
        <sz val="10"/>
        <rFont val="Arial"/>
        <family val="2"/>
      </rPr>
      <t>UNIDAD:</t>
    </r>
    <r>
      <rPr>
        <sz val="10"/>
        <rFont val="Arial"/>
        <family val="2"/>
      </rPr>
      <t xml:space="preserve"> DIRECCION DEPARTAMENTAL DEL SERVICIO AEREO POLICIAL                             </t>
    </r>
    <r>
      <rPr>
        <b/>
        <sz val="10"/>
        <rFont val="Arial"/>
        <family val="2"/>
      </rPr>
      <t>Correo Electronico de la Unidad:</t>
    </r>
    <r>
      <rPr>
        <sz val="10"/>
        <rFont val="Arial"/>
        <family val="2"/>
      </rPr>
      <t xml:space="preserve"> dirdepsap1@gmail.com</t>
    </r>
  </si>
  <si>
    <r>
      <rPr>
        <b/>
        <sz val="11"/>
        <rFont val="Arial"/>
        <family val="2"/>
      </rPr>
      <t xml:space="preserve">UNIDAD: </t>
    </r>
    <r>
      <rPr>
        <sz val="11"/>
        <rFont val="Arial"/>
        <family val="2"/>
      </rPr>
      <t xml:space="preserve">DIRECCION DEPARTAMENTAL DEL SERVICIO AEREO POLICIAL                                      </t>
    </r>
    <r>
      <rPr>
        <b/>
        <sz val="11"/>
        <rFont val="Arial"/>
        <family val="2"/>
      </rPr>
      <t xml:space="preserve"> Correo Electronico de la Unidad:</t>
    </r>
    <r>
      <rPr>
        <sz val="11"/>
        <rFont val="Arial"/>
        <family val="2"/>
      </rPr>
      <t xml:space="preserve"> dirdepsap1@gmail.com</t>
    </r>
  </si>
  <si>
    <r>
      <rPr>
        <b/>
        <sz val="11"/>
        <rFont val="Arial"/>
        <family val="2"/>
      </rPr>
      <t>UNIDAD:</t>
    </r>
    <r>
      <rPr>
        <sz val="11"/>
        <rFont val="Arial"/>
        <family val="2"/>
      </rPr>
      <t xml:space="preserve"> DIRECCION DEPARTAMENTAL DEL SERVICIO AEREO POLICIAL                  </t>
    </r>
    <r>
      <rPr>
        <b/>
        <sz val="11"/>
        <rFont val="Arial"/>
        <family val="2"/>
      </rPr>
      <t>Correo Electronico de la Unidad:</t>
    </r>
    <r>
      <rPr>
        <sz val="11"/>
        <rFont val="Arial"/>
        <family val="2"/>
      </rPr>
      <t xml:space="preserve"> dirdepsap1@gmail.com</t>
    </r>
  </si>
  <si>
    <r>
      <rPr>
        <b/>
        <sz val="11"/>
        <rFont val="Arial"/>
        <family val="2"/>
      </rPr>
      <t xml:space="preserve">UNIDAD: </t>
    </r>
    <r>
      <rPr>
        <sz val="11"/>
        <rFont val="Arial"/>
        <family val="2"/>
      </rPr>
      <t xml:space="preserve">DIRECCION DEPARTAMENTAL DEL SERVICIO AEREO POLICIAL    </t>
    </r>
    <r>
      <rPr>
        <b/>
        <sz val="11"/>
        <rFont val="Arial"/>
        <family val="2"/>
      </rPr>
      <t xml:space="preserve">Correo Electronico de la Unidad: </t>
    </r>
    <r>
      <rPr>
        <sz val="11"/>
        <rFont val="Arial"/>
        <family val="2"/>
      </rPr>
      <t>dirdepsap1@gmail.com</t>
    </r>
  </si>
  <si>
    <r>
      <rPr>
        <b/>
        <sz val="11"/>
        <rFont val="Arial"/>
        <family val="2"/>
      </rPr>
      <t xml:space="preserve">UNIDAD: </t>
    </r>
    <r>
      <rPr>
        <sz val="11"/>
        <rFont val="Arial"/>
        <family val="2"/>
      </rPr>
      <t xml:space="preserve">DIRECCION DEPARTAMENTAL DEL SERVICIO AEREO POLICIAL               </t>
    </r>
    <r>
      <rPr>
        <b/>
        <sz val="11"/>
        <rFont val="Arial"/>
        <family val="2"/>
      </rPr>
      <t xml:space="preserve">Correo Electronico de la Unidad: </t>
    </r>
    <r>
      <rPr>
        <sz val="11"/>
        <rFont val="Arial"/>
        <family val="2"/>
      </rPr>
      <t>dirdepsap1@gmail.com</t>
    </r>
  </si>
  <si>
    <t xml:space="preserve">DIRECION DEPARTAMENTAL DEL SERVICIO A EREO POLICAL </t>
  </si>
  <si>
    <t>DIRECCION DEPARTAMENTA L</t>
  </si>
  <si>
    <t>DEL SERVICIO AEREO POLICIAL</t>
  </si>
  <si>
    <t>ENCARGADO DEL PERSONAL</t>
  </si>
  <si>
    <t>1-25806245</t>
  </si>
  <si>
    <t>TEC. AERONAUTICO</t>
  </si>
  <si>
    <t>PILOTO DE LINEA AEREA</t>
  </si>
  <si>
    <t xml:space="preserve">INVESTIGADOR AIRCOP </t>
  </si>
  <si>
    <t xml:space="preserve">AVSEC BOA AEROPUERTO VIRU VIRU </t>
  </si>
  <si>
    <t xml:space="preserve">TECNICO AERONAUTICO </t>
  </si>
  <si>
    <t xml:space="preserve">AUX. DE PLANEAMIENTO Y OPERACIONES </t>
  </si>
  <si>
    <t>JEFE DE SEGURIDAD AEROPORTUARIA VIRU VIRU</t>
  </si>
  <si>
    <t>AUX.PP.OO.</t>
  </si>
  <si>
    <t>SECRETARIA DIR. DPTAL. SAP.</t>
  </si>
  <si>
    <t xml:space="preserve">ILLA </t>
  </si>
  <si>
    <t>ESPINOZA</t>
  </si>
  <si>
    <t>IVAN</t>
  </si>
  <si>
    <t xml:space="preserve">ESPINOZA </t>
  </si>
  <si>
    <t>garrasdelvalor11@gmail.com</t>
  </si>
  <si>
    <t>Z/Pampa de la Isla B/los Chacos Av.16 de Julio</t>
  </si>
  <si>
    <t>11247-CB</t>
  </si>
  <si>
    <t>1-3584120</t>
  </si>
  <si>
    <t>1957-BF</t>
  </si>
  <si>
    <t>ILLA</t>
  </si>
  <si>
    <t>IVAJN</t>
  </si>
  <si>
    <r>
      <rPr>
        <b/>
        <sz val="9"/>
        <rFont val="Arial"/>
        <family val="2"/>
      </rPr>
      <t>DIRECCION DE LA UNIDAD:</t>
    </r>
    <r>
      <rPr>
        <sz val="9"/>
        <rFont val="Arial"/>
        <family val="2"/>
      </rPr>
      <t xml:space="preserve"> Z/ El trompillo  Av.Centinelas del Chaco  C/ Carnaval Hangar 106                                   </t>
    </r>
    <r>
      <rPr>
        <b/>
        <sz val="9"/>
        <rFont val="Arial"/>
        <family val="2"/>
      </rPr>
      <t>Telefono:</t>
    </r>
    <r>
      <rPr>
        <sz val="9"/>
        <rFont val="Arial"/>
        <family val="2"/>
      </rPr>
      <t xml:space="preserve"> 67195384</t>
    </r>
  </si>
  <si>
    <t xml:space="preserve">RAMOS </t>
  </si>
  <si>
    <t>EDWIN</t>
  </si>
  <si>
    <t>AURELIO</t>
  </si>
  <si>
    <r>
      <t xml:space="preserve">JEFE DE SEGURIDAD AEROPORTUARIA </t>
    </r>
    <r>
      <rPr>
        <sz val="8"/>
        <color rgb="FFFF0000"/>
        <rFont val="Arial"/>
        <family val="2"/>
      </rPr>
      <t xml:space="preserve"> </t>
    </r>
  </si>
  <si>
    <t>RAMOS</t>
  </si>
  <si>
    <t xml:space="preserve">EDWIN </t>
  </si>
  <si>
    <t>ramosmaisman.er@gmail.com</t>
  </si>
  <si>
    <t>Tres pasos al frente Nª5125</t>
  </si>
  <si>
    <t>1-4611790</t>
  </si>
  <si>
    <t>11733-CB</t>
  </si>
  <si>
    <t>OFICIAL ENC. SEG. AEROPUERTO VIRU VIRU</t>
  </si>
  <si>
    <t>MY. CARLOS TUPAC TORREZ ZAMBRANA</t>
  </si>
  <si>
    <t>MASCULINO</t>
  </si>
  <si>
    <t>FEMENINO</t>
  </si>
  <si>
    <r>
      <t>AVSEC BOA AEROPUERTO VIRU VIRU</t>
    </r>
    <r>
      <rPr>
        <sz val="9"/>
        <color rgb="FFFF0000"/>
        <rFont val="Arial"/>
        <family val="2"/>
      </rPr>
      <t xml:space="preserve"> </t>
    </r>
  </si>
  <si>
    <r>
      <t>ENC. ACTIVOS FIJOS</t>
    </r>
    <r>
      <rPr>
        <sz val="9"/>
        <color rgb="FFFF0000"/>
        <rFont val="Arial"/>
        <family val="2"/>
      </rPr>
      <t xml:space="preserve"> </t>
    </r>
  </si>
  <si>
    <r>
      <t>ENCARGADA DE ACTIVOS FIJOS</t>
    </r>
    <r>
      <rPr>
        <sz val="8"/>
        <color rgb="FFFF0000"/>
        <rFont val="Arial"/>
        <family val="2"/>
      </rPr>
      <t xml:space="preserve"> </t>
    </r>
  </si>
  <si>
    <t>CNL. DESP ERICK ENRIQUE HOLGUIN DOYNEL</t>
  </si>
  <si>
    <t xml:space="preserve">PRE Y POST GRADO </t>
  </si>
  <si>
    <t xml:space="preserve">SEG. AEROPUERTO VIRU VIRU </t>
  </si>
  <si>
    <t xml:space="preserve">GARRAS DEL VALOR </t>
  </si>
  <si>
    <t>18675-CB</t>
  </si>
  <si>
    <t xml:space="preserve">ENCARGADA DE DOCUMENTACION </t>
  </si>
  <si>
    <t>ENCARGADA DE DOCUMENTACION</t>
  </si>
  <si>
    <r>
      <t>AVSEC BOA AEROPUERTO VIRU VIRU</t>
    </r>
    <r>
      <rPr>
        <sz val="9"/>
        <color rgb="FFFF0000"/>
        <rFont val="Arial"/>
        <family val="2"/>
      </rPr>
      <t>(VACACION)</t>
    </r>
  </si>
  <si>
    <t>JEFE DIV PERSONAL DE LA DD. SAP.</t>
  </si>
  <si>
    <t>SEGURIDAD AERÓDROMO LA CRUCEÑA</t>
  </si>
  <si>
    <r>
      <t>SEGURIDAD AERÓDROMO LA CRUCEÑA</t>
    </r>
    <r>
      <rPr>
        <sz val="9"/>
        <color rgb="FFFF0000"/>
        <rFont val="Arial"/>
        <family val="2"/>
      </rPr>
      <t>(ART. 57)</t>
    </r>
  </si>
  <si>
    <r>
      <t>SEGURIDAD AERÓDROMO LA CRUCEÑA(</t>
    </r>
    <r>
      <rPr>
        <sz val="8"/>
        <color rgb="FFFF0000"/>
        <rFont val="Arial"/>
        <family val="2"/>
      </rPr>
      <t>ART. 57)</t>
    </r>
  </si>
  <si>
    <r>
      <t>AVSEC BOA AEROPUERTO VIRU VIRU</t>
    </r>
    <r>
      <rPr>
        <sz val="8"/>
        <color rgb="FFFF0000"/>
        <rFont val="Arial"/>
        <family val="2"/>
      </rPr>
      <t>(VACACION)</t>
    </r>
  </si>
  <si>
    <t>JEFE DE P.P.  O.O.</t>
  </si>
  <si>
    <t>JEFE DE P.P. O.O.</t>
  </si>
  <si>
    <t>FECHA: 23/04/2024</t>
  </si>
  <si>
    <t>Tte. Rafael Erick Lopez Valero</t>
  </si>
  <si>
    <t>DIRECTOR DPTAL. DEL SERVICIO AEREO POLICIAL a.i.</t>
  </si>
  <si>
    <t xml:space="preserve">QUISPE </t>
  </si>
  <si>
    <t>RODRIGUEZ</t>
  </si>
  <si>
    <t>ROGER</t>
  </si>
  <si>
    <t>rogerq835@gmail.com</t>
  </si>
  <si>
    <t>Av. Paurito Plan tres mil</t>
  </si>
  <si>
    <t>20063-CB</t>
  </si>
  <si>
    <t>1-22151413</t>
  </si>
  <si>
    <t>1-5291137</t>
  </si>
  <si>
    <t>4463-CB</t>
  </si>
  <si>
    <t>Av. Monte Cristo</t>
  </si>
  <si>
    <t>marcovicentemamani632@gmail.com</t>
  </si>
  <si>
    <t>VICENTE</t>
  </si>
  <si>
    <r>
      <t>DIRECTOR DEPARTAMENTAL S.A.P.</t>
    </r>
    <r>
      <rPr>
        <sz val="9"/>
        <color rgb="FFFF0000"/>
        <rFont val="Arial"/>
        <family val="2"/>
      </rPr>
      <t>(VACACION)</t>
    </r>
  </si>
  <si>
    <r>
      <t>AUX. ENC. ACTIVOS FIJOS</t>
    </r>
    <r>
      <rPr>
        <sz val="9"/>
        <color rgb="FFFF0000"/>
        <rFont val="Arial"/>
        <family val="2"/>
      </rPr>
      <t>(VACACION)</t>
    </r>
  </si>
  <si>
    <t>003/2024</t>
  </si>
  <si>
    <t>098/2024</t>
  </si>
  <si>
    <t>109/2024</t>
  </si>
  <si>
    <t>111/2024</t>
  </si>
  <si>
    <t>8VO AÑO</t>
  </si>
  <si>
    <t>FISCALIA DPTAL. POLCIAL BENI</t>
  </si>
  <si>
    <t xml:space="preserve">COMANDO POLICIAL CHIQUITANIA </t>
  </si>
  <si>
    <t>F.E,L,C.V. SANTA CRUZ</t>
  </si>
  <si>
    <t>SOF. 1RO</t>
  </si>
  <si>
    <t>OR</t>
  </si>
  <si>
    <t xml:space="preserve"> RADIO PATRULLA 110</t>
  </si>
  <si>
    <t>E.P.I. 9 LOS LOTES</t>
  </si>
  <si>
    <t>VIOLACION</t>
  </si>
  <si>
    <t xml:space="preserve">DETENIDO PREVENTIVAMENTE </t>
  </si>
  <si>
    <t>PALMASOLA</t>
  </si>
  <si>
    <t>DIRECTOR DEPARTAMENTAL S.A.P. a.i.JEFE DE ADMINISTRATIVA-PILOTO ALA ROTATORIA, ENLACE DIPREVCON</t>
  </si>
  <si>
    <r>
      <t>DIRECTOR DEPARTAMENTAL S.A.P.</t>
    </r>
    <r>
      <rPr>
        <sz val="8"/>
        <color rgb="FFFF0000"/>
        <rFont val="Arial"/>
        <family val="2"/>
      </rPr>
      <t xml:space="preserve"> (VACACION)</t>
    </r>
  </si>
  <si>
    <r>
      <t xml:space="preserve">AUX. DE ACTIVOS FIJOS </t>
    </r>
    <r>
      <rPr>
        <sz val="8"/>
        <color rgb="FFFF0000"/>
        <rFont val="Arial"/>
        <family val="2"/>
      </rPr>
      <t>(VACACION)</t>
    </r>
  </si>
  <si>
    <r>
      <rPr>
        <b/>
        <sz val="11"/>
        <rFont val="Arial"/>
        <family val="2"/>
      </rPr>
      <t>PERIODO</t>
    </r>
    <r>
      <rPr>
        <sz val="11"/>
        <rFont val="Arial"/>
        <family val="2"/>
      </rPr>
      <t xml:space="preserve">: DEL 23 DE MARZO AL 26 DE ABRIL  DEL 2024  </t>
    </r>
  </si>
  <si>
    <t xml:space="preserve">DIRECTOR DEPARTAMENTAL S.A.P a.i.JEFE DE ADMINISTRATIVA-PILOTO ALA ROTATORIA- ENLACE DIPREVCON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</si>
</sst>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€&quot;_-;\-* #,##0.00\ &quot;€&quot;_-;_-* &quot;-&quot;??\ &quot;€&quot;_-;_-@_-"/>
    <numFmt numFmtId="165" formatCode="_(&quot;$b&quot;\ * #,##0.00_);_(&quot;$b&quot;\ * \(#,##0.00\);_(&quot;$b&quot;\ * &quot;-&quot;??_);_(@_)"/>
    <numFmt numFmtId="166" formatCode="dd/mm/yyyy;@"/>
    <numFmt numFmtId="167" formatCode="dd/mm/yyyy"/>
    <numFmt numFmtId="168" formatCode="dd/mm/yy;@"/>
  </numFmts>
  <fonts count="8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sto MT"/>
      <family val="1"/>
    </font>
    <font>
      <b/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10"/>
      <name val="Calisto MT"/>
      <family val="1"/>
    </font>
    <font>
      <u/>
      <sz val="8"/>
      <name val="Arial"/>
      <family val="2"/>
    </font>
    <font>
      <u/>
      <sz val="14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11"/>
      <color indexed="8"/>
      <name val="Arial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name val="Arial Narrow"/>
      <family val="2"/>
    </font>
    <font>
      <b/>
      <sz val="9"/>
      <name val="Arial Narrow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8"/>
      <name val="Calisto MT"/>
      <family val="1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9"/>
      <color theme="1"/>
      <name val="Times New Roman"/>
      <family val="1"/>
    </font>
    <font>
      <b/>
      <u/>
      <sz val="11"/>
      <name val="Arial"/>
      <family val="2"/>
    </font>
    <font>
      <b/>
      <u/>
      <sz val="10"/>
      <name val="Arial"/>
      <family val="2"/>
    </font>
    <font>
      <sz val="8"/>
      <color indexed="8"/>
      <name val="Calibri"/>
      <family val="2"/>
      <scheme val="minor"/>
    </font>
    <font>
      <sz val="8"/>
      <color indexed="8"/>
      <name val="Arial"/>
      <family val="2"/>
    </font>
    <font>
      <i/>
      <sz val="8"/>
      <name val="Arial"/>
      <family val="2"/>
    </font>
    <font>
      <i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Arial Narrow"/>
      <family val="2"/>
    </font>
    <font>
      <sz val="10"/>
      <name val="Arial Narrow"/>
      <family val="2"/>
    </font>
    <font>
      <b/>
      <sz val="10"/>
      <color theme="1"/>
      <name val="Arial Narrow"/>
      <family val="2"/>
    </font>
    <font>
      <sz val="10"/>
      <color indexed="8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sz val="11"/>
      <color theme="1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sz val="14"/>
      <name val="Arial"/>
      <family val="2"/>
    </font>
    <font>
      <b/>
      <sz val="14"/>
      <name val="Arial"/>
      <family val="2"/>
    </font>
    <font>
      <b/>
      <u/>
      <sz val="11"/>
      <color theme="1"/>
      <name val="Arial"/>
      <family val="2"/>
    </font>
    <font>
      <sz val="11"/>
      <name val="Arial Narrow"/>
      <family val="2"/>
    </font>
    <font>
      <sz val="9"/>
      <color rgb="FFFF0000"/>
      <name val="Arial"/>
      <family val="2"/>
    </font>
    <font>
      <sz val="8"/>
      <color rgb="FFFF0000"/>
      <name val="Arial"/>
      <family val="2"/>
    </font>
    <font>
      <i/>
      <sz val="9"/>
      <color theme="1"/>
      <name val="Arial Narrow"/>
      <family val="2"/>
    </font>
    <font>
      <sz val="9"/>
      <color theme="1" tint="0.34998626667073579"/>
      <name val="Calibri"/>
      <family val="2"/>
      <scheme val="minor"/>
    </font>
    <font>
      <sz val="9"/>
      <name val="Calibri"/>
      <family val="2"/>
      <scheme val="minor"/>
    </font>
    <font>
      <u/>
      <sz val="9"/>
      <color theme="1"/>
      <name val="Calibri"/>
      <family val="2"/>
      <scheme val="minor"/>
    </font>
    <font>
      <u/>
      <sz val="9"/>
      <name val="Calibri"/>
      <family val="2"/>
      <scheme val="minor"/>
    </font>
    <font>
      <u/>
      <sz val="8"/>
      <color theme="1"/>
      <name val="Calibri"/>
      <family val="2"/>
      <scheme val="minor"/>
    </font>
    <font>
      <u/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</cellStyleXfs>
  <cellXfs count="486">
    <xf numFmtId="0" fontId="0" fillId="0" borderId="0" xfId="0"/>
    <xf numFmtId="0" fontId="4" fillId="0" borderId="0" xfId="1" applyFont="1"/>
    <xf numFmtId="0" fontId="3" fillId="0" borderId="0" xfId="1"/>
    <xf numFmtId="0" fontId="5" fillId="0" borderId="0" xfId="1" applyFont="1" applyAlignment="1">
      <alignment horizontal="center"/>
    </xf>
    <xf numFmtId="0" fontId="9" fillId="0" borderId="0" xfId="0" applyFont="1"/>
    <xf numFmtId="0" fontId="3" fillId="0" borderId="0" xfId="1" applyAlignment="1">
      <alignment horizontal="center"/>
    </xf>
    <xf numFmtId="0" fontId="11" fillId="0" borderId="0" xfId="1" applyFont="1"/>
    <xf numFmtId="0" fontId="13" fillId="0" borderId="0" xfId="1" applyFont="1" applyAlignment="1">
      <alignment horizontal="center"/>
    </xf>
    <xf numFmtId="0" fontId="12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0" xfId="1" applyFont="1" applyAlignment="1">
      <alignment horizontal="center"/>
    </xf>
    <xf numFmtId="0" fontId="5" fillId="0" borderId="0" xfId="1" applyFont="1"/>
    <xf numFmtId="0" fontId="3" fillId="0" borderId="0" xfId="1" applyAlignment="1">
      <alignment horizontal="justify"/>
    </xf>
    <xf numFmtId="0" fontId="9" fillId="0" borderId="0" xfId="0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1" fontId="18" fillId="0" borderId="1" xfId="1" applyNumberFormat="1" applyFont="1" applyBorder="1" applyAlignment="1">
      <alignment horizontal="center" vertical="center"/>
    </xf>
    <xf numFmtId="0" fontId="3" fillId="0" borderId="0" xfId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22" fillId="0" borderId="1" xfId="0" applyFont="1" applyBorder="1"/>
    <xf numFmtId="0" fontId="0" fillId="0" borderId="0" xfId="0" applyAlignment="1">
      <alignment horizontal="right"/>
    </xf>
    <xf numFmtId="0" fontId="5" fillId="0" borderId="0" xfId="1" applyFont="1" applyAlignment="1">
      <alignment horizontal="right" vertical="center"/>
    </xf>
    <xf numFmtId="0" fontId="21" fillId="0" borderId="20" xfId="0" applyFont="1" applyBorder="1"/>
    <xf numFmtId="0" fontId="18" fillId="0" borderId="16" xfId="1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3" fillId="0" borderId="0" xfId="1" applyAlignment="1">
      <alignment horizontal="right"/>
    </xf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5" xfId="0" applyBorder="1"/>
    <xf numFmtId="0" fontId="0" fillId="0" borderId="11" xfId="0" applyBorder="1"/>
    <xf numFmtId="0" fontId="0" fillId="0" borderId="21" xfId="0" applyBorder="1"/>
    <xf numFmtId="0" fontId="3" fillId="0" borderId="0" xfId="1" applyAlignment="1">
      <alignment horizontal="left"/>
    </xf>
    <xf numFmtId="0" fontId="5" fillId="0" borderId="0" xfId="1" applyFont="1" applyAlignment="1">
      <alignment horizontal="left" vertical="center"/>
    </xf>
    <xf numFmtId="0" fontId="0" fillId="0" borderId="0" xfId="0" applyAlignment="1">
      <alignment horizontal="left"/>
    </xf>
    <xf numFmtId="0" fontId="16" fillId="0" borderId="20" xfId="0" applyFont="1" applyBorder="1"/>
    <xf numFmtId="0" fontId="27" fillId="0" borderId="20" xfId="0" applyFont="1" applyBorder="1"/>
    <xf numFmtId="0" fontId="27" fillId="0" borderId="20" xfId="0" applyFont="1" applyBorder="1" applyAlignment="1">
      <alignment wrapText="1"/>
    </xf>
    <xf numFmtId="0" fontId="32" fillId="0" borderId="0" xfId="1" applyFont="1" applyAlignment="1">
      <alignment horizontal="justify"/>
    </xf>
    <xf numFmtId="0" fontId="32" fillId="0" borderId="0" xfId="1" applyFont="1"/>
    <xf numFmtId="0" fontId="32" fillId="0" borderId="0" xfId="1" applyFont="1" applyAlignment="1">
      <alignment horizontal="center"/>
    </xf>
    <xf numFmtId="0" fontId="32" fillId="0" borderId="0" xfId="0" applyFont="1" applyAlignment="1">
      <alignment vertical="center"/>
    </xf>
    <xf numFmtId="0" fontId="31" fillId="0" borderId="0" xfId="0" applyFont="1"/>
    <xf numFmtId="0" fontId="14" fillId="0" borderId="0" xfId="0" applyFont="1"/>
    <xf numFmtId="1" fontId="10" fillId="2" borderId="0" xfId="1" applyNumberFormat="1" applyFont="1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6" fillId="0" borderId="13" xfId="0" applyFont="1" applyBorder="1"/>
    <xf numFmtId="0" fontId="16" fillId="0" borderId="14" xfId="0" applyFont="1" applyBorder="1"/>
    <xf numFmtId="0" fontId="16" fillId="0" borderId="23" xfId="0" applyFont="1" applyBorder="1"/>
    <xf numFmtId="0" fontId="30" fillId="0" borderId="20" xfId="0" applyFont="1" applyBorder="1"/>
    <xf numFmtId="14" fontId="30" fillId="0" borderId="20" xfId="0" applyNumberFormat="1" applyFont="1" applyBorder="1" applyAlignment="1">
      <alignment vertical="center"/>
    </xf>
    <xf numFmtId="0" fontId="10" fillId="0" borderId="20" xfId="0" applyFont="1" applyBorder="1"/>
    <xf numFmtId="1" fontId="10" fillId="0" borderId="20" xfId="0" applyNumberFormat="1" applyFont="1" applyBorder="1" applyAlignment="1">
      <alignment vertical="center"/>
    </xf>
    <xf numFmtId="1" fontId="18" fillId="0" borderId="4" xfId="1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27" fillId="0" borderId="12" xfId="0" applyFont="1" applyBorder="1"/>
    <xf numFmtId="0" fontId="27" fillId="0" borderId="13" xfId="0" applyFont="1" applyBorder="1"/>
    <xf numFmtId="0" fontId="27" fillId="0" borderId="13" xfId="0" applyFont="1" applyBorder="1" applyAlignment="1">
      <alignment wrapText="1"/>
    </xf>
    <xf numFmtId="0" fontId="27" fillId="0" borderId="14" xfId="0" applyFont="1" applyBorder="1"/>
    <xf numFmtId="0" fontId="27" fillId="0" borderId="22" xfId="0" applyFont="1" applyBorder="1"/>
    <xf numFmtId="0" fontId="27" fillId="0" borderId="23" xfId="0" applyFont="1" applyBorder="1"/>
    <xf numFmtId="0" fontId="27" fillId="0" borderId="24" xfId="0" applyFont="1" applyBorder="1"/>
    <xf numFmtId="0" fontId="27" fillId="0" borderId="25" xfId="0" applyFont="1" applyBorder="1"/>
    <xf numFmtId="0" fontId="27" fillId="0" borderId="26" xfId="0" applyFont="1" applyBorder="1"/>
    <xf numFmtId="1" fontId="10" fillId="0" borderId="12" xfId="0" applyNumberFormat="1" applyFont="1" applyBorder="1" applyAlignment="1">
      <alignment horizontal="center"/>
    </xf>
    <xf numFmtId="0" fontId="30" fillId="0" borderId="13" xfId="0" applyFont="1" applyBorder="1"/>
    <xf numFmtId="14" fontId="30" fillId="0" borderId="13" xfId="0" applyNumberFormat="1" applyFont="1" applyBorder="1" applyAlignment="1">
      <alignment vertical="center"/>
    </xf>
    <xf numFmtId="0" fontId="10" fillId="0" borderId="13" xfId="0" applyFont="1" applyBorder="1"/>
    <xf numFmtId="1" fontId="10" fillId="0" borderId="13" xfId="0" applyNumberFormat="1" applyFont="1" applyBorder="1" applyAlignment="1">
      <alignment vertical="center"/>
    </xf>
    <xf numFmtId="1" fontId="10" fillId="0" borderId="22" xfId="0" applyNumberFormat="1" applyFont="1" applyBorder="1" applyAlignment="1">
      <alignment horizontal="center"/>
    </xf>
    <xf numFmtId="0" fontId="21" fillId="0" borderId="0" xfId="0" applyFont="1"/>
    <xf numFmtId="0" fontId="0" fillId="0" borderId="0" xfId="0" applyAlignment="1">
      <alignment vertical="center"/>
    </xf>
    <xf numFmtId="0" fontId="22" fillId="0" borderId="4" xfId="0" applyFont="1" applyBorder="1"/>
    <xf numFmtId="0" fontId="32" fillId="0" borderId="0" xfId="1" applyFont="1" applyAlignment="1">
      <alignment vertical="center"/>
    </xf>
    <xf numFmtId="166" fontId="21" fillId="0" borderId="20" xfId="0" applyNumberFormat="1" applyFont="1" applyBorder="1"/>
    <xf numFmtId="0" fontId="21" fillId="0" borderId="12" xfId="0" applyFont="1" applyBorder="1"/>
    <xf numFmtId="0" fontId="21" fillId="0" borderId="13" xfId="0" applyFont="1" applyBorder="1"/>
    <xf numFmtId="166" fontId="21" fillId="0" borderId="13" xfId="0" applyNumberFormat="1" applyFont="1" applyBorder="1"/>
    <xf numFmtId="0" fontId="21" fillId="0" borderId="14" xfId="0" applyFont="1" applyBorder="1"/>
    <xf numFmtId="0" fontId="21" fillId="0" borderId="22" xfId="0" applyFont="1" applyBorder="1"/>
    <xf numFmtId="0" fontId="21" fillId="0" borderId="23" xfId="0" applyFont="1" applyBorder="1"/>
    <xf numFmtId="14" fontId="21" fillId="0" borderId="0" xfId="0" applyNumberFormat="1" applyFont="1" applyAlignment="1">
      <alignment vertical="center"/>
    </xf>
    <xf numFmtId="0" fontId="16" fillId="0" borderId="0" xfId="0" applyFont="1"/>
    <xf numFmtId="0" fontId="21" fillId="2" borderId="0" xfId="0" applyFont="1" applyFill="1"/>
    <xf numFmtId="0" fontId="0" fillId="0" borderId="39" xfId="0" applyBorder="1"/>
    <xf numFmtId="0" fontId="0" fillId="0" borderId="34" xfId="0" applyBorder="1"/>
    <xf numFmtId="0" fontId="0" fillId="0" borderId="35" xfId="0" applyBorder="1"/>
    <xf numFmtId="0" fontId="30" fillId="0" borderId="0" xfId="0" applyFont="1" applyAlignment="1">
      <alignment horizontal="center" vertical="center"/>
    </xf>
    <xf numFmtId="0" fontId="1" fillId="0" borderId="0" xfId="0" applyFont="1"/>
    <xf numFmtId="0" fontId="15" fillId="3" borderId="5" xfId="1" applyFont="1" applyFill="1" applyBorder="1" applyAlignment="1">
      <alignment vertical="center"/>
    </xf>
    <xf numFmtId="0" fontId="15" fillId="3" borderId="17" xfId="1" applyFont="1" applyFill="1" applyBorder="1" applyAlignment="1">
      <alignment horizontal="left" textRotation="90"/>
    </xf>
    <xf numFmtId="0" fontId="15" fillId="3" borderId="19" xfId="1" applyFont="1" applyFill="1" applyBorder="1" applyAlignment="1">
      <alignment textRotation="90"/>
    </xf>
    <xf numFmtId="0" fontId="15" fillId="3" borderId="19" xfId="1" applyFont="1" applyFill="1" applyBorder="1" applyAlignment="1">
      <alignment horizontal="center" textRotation="90"/>
    </xf>
    <xf numFmtId="0" fontId="15" fillId="3" borderId="18" xfId="1" applyFont="1" applyFill="1" applyBorder="1" applyAlignment="1">
      <alignment horizontal="center" textRotation="90"/>
    </xf>
    <xf numFmtId="0" fontId="15" fillId="3" borderId="5" xfId="1" applyFont="1" applyFill="1" applyBorder="1" applyAlignment="1">
      <alignment horizontal="center" textRotation="90"/>
    </xf>
    <xf numFmtId="0" fontId="10" fillId="2" borderId="41" xfId="1" applyFont="1" applyFill="1" applyBorder="1" applyAlignment="1">
      <alignment vertical="center"/>
    </xf>
    <xf numFmtId="0" fontId="5" fillId="2" borderId="41" xfId="1" applyFont="1" applyFill="1" applyBorder="1" applyAlignment="1">
      <alignment horizontal="center" vertical="center"/>
    </xf>
    <xf numFmtId="0" fontId="33" fillId="4" borderId="29" xfId="0" applyFont="1" applyFill="1" applyBorder="1" applyAlignment="1">
      <alignment horizontal="left" vertical="center"/>
    </xf>
    <xf numFmtId="0" fontId="8" fillId="4" borderId="29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/>
    </xf>
    <xf numFmtId="1" fontId="18" fillId="4" borderId="1" xfId="1" applyNumberFormat="1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left" textRotation="90"/>
    </xf>
    <xf numFmtId="0" fontId="15" fillId="3" borderId="2" xfId="1" applyFont="1" applyFill="1" applyBorder="1" applyAlignment="1">
      <alignment textRotation="90"/>
    </xf>
    <xf numFmtId="0" fontId="15" fillId="3" borderId="2" xfId="1" applyFont="1" applyFill="1" applyBorder="1" applyAlignment="1">
      <alignment horizontal="center" textRotation="90"/>
    </xf>
    <xf numFmtId="0" fontId="36" fillId="0" borderId="0" xfId="1" applyFont="1"/>
    <xf numFmtId="0" fontId="36" fillId="0" borderId="0" xfId="1" applyFont="1" applyAlignment="1">
      <alignment horizontal="center"/>
    </xf>
    <xf numFmtId="0" fontId="0" fillId="0" borderId="38" xfId="0" applyBorder="1"/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3" fillId="2" borderId="41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3" borderId="5" xfId="0" applyFont="1" applyFill="1" applyBorder="1" applyAlignment="1">
      <alignment horizontal="center" vertical="center" wrapText="1"/>
    </xf>
    <xf numFmtId="0" fontId="27" fillId="3" borderId="27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0" fillId="0" borderId="45" xfId="0" applyBorder="1"/>
    <xf numFmtId="0" fontId="22" fillId="0" borderId="21" xfId="0" applyFont="1" applyBorder="1" applyAlignment="1">
      <alignment vertical="center"/>
    </xf>
    <xf numFmtId="0" fontId="34" fillId="0" borderId="0" xfId="1" applyFont="1" applyAlignment="1">
      <alignment vertical="center"/>
    </xf>
    <xf numFmtId="0" fontId="3" fillId="2" borderId="42" xfId="1" applyFill="1" applyBorder="1" applyAlignment="1">
      <alignment horizontal="center" vertical="center"/>
    </xf>
    <xf numFmtId="0" fontId="17" fillId="2" borderId="47" xfId="1" applyFont="1" applyFill="1" applyBorder="1" applyAlignment="1">
      <alignment horizontal="center" vertical="center"/>
    </xf>
    <xf numFmtId="0" fontId="5" fillId="2" borderId="48" xfId="1" applyFont="1" applyFill="1" applyBorder="1" applyAlignment="1">
      <alignment horizontal="center" vertical="center"/>
    </xf>
    <xf numFmtId="0" fontId="3" fillId="2" borderId="48" xfId="1" applyFill="1" applyBorder="1" applyAlignment="1">
      <alignment horizontal="center" vertical="center"/>
    </xf>
    <xf numFmtId="0" fontId="3" fillId="2" borderId="49" xfId="1" applyFill="1" applyBorder="1" applyAlignment="1">
      <alignment horizontal="center" vertical="center"/>
    </xf>
    <xf numFmtId="0" fontId="10" fillId="2" borderId="50" xfId="1" applyFont="1" applyFill="1" applyBorder="1" applyAlignment="1">
      <alignment vertical="center"/>
    </xf>
    <xf numFmtId="0" fontId="16" fillId="2" borderId="31" xfId="0" applyFont="1" applyFill="1" applyBorder="1"/>
    <xf numFmtId="0" fontId="10" fillId="2" borderId="51" xfId="1" applyFont="1" applyFill="1" applyBorder="1" applyAlignment="1">
      <alignment vertical="center"/>
    </xf>
    <xf numFmtId="0" fontId="10" fillId="0" borderId="51" xfId="1" applyFont="1" applyBorder="1" applyAlignment="1">
      <alignment vertical="center"/>
    </xf>
    <xf numFmtId="0" fontId="5" fillId="4" borderId="53" xfId="1" applyFont="1" applyFill="1" applyBorder="1" applyAlignment="1">
      <alignment horizontal="center" vertical="center"/>
    </xf>
    <xf numFmtId="0" fontId="10" fillId="2" borderId="54" xfId="1" applyFont="1" applyFill="1" applyBorder="1" applyAlignment="1">
      <alignment vertical="center"/>
    </xf>
    <xf numFmtId="0" fontId="10" fillId="2" borderId="16" xfId="1" applyFont="1" applyFill="1" applyBorder="1" applyAlignment="1">
      <alignment vertical="center"/>
    </xf>
    <xf numFmtId="0" fontId="0" fillId="0" borderId="46" xfId="0" applyBorder="1"/>
    <xf numFmtId="0" fontId="22" fillId="7" borderId="25" xfId="0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56" xfId="0" applyBorder="1"/>
    <xf numFmtId="0" fontId="0" fillId="0" borderId="31" xfId="0" applyBorder="1"/>
    <xf numFmtId="0" fontId="25" fillId="7" borderId="52" xfId="0" applyFont="1" applyFill="1" applyBorder="1" applyAlignment="1">
      <alignment horizontal="center" vertical="center"/>
    </xf>
    <xf numFmtId="0" fontId="0" fillId="0" borderId="55" xfId="0" applyBorder="1"/>
    <xf numFmtId="0" fontId="0" fillId="0" borderId="30" xfId="0" applyBorder="1"/>
    <xf numFmtId="0" fontId="22" fillId="7" borderId="24" xfId="0" applyFont="1" applyFill="1" applyBorder="1" applyAlignment="1">
      <alignment vertical="center"/>
    </xf>
    <xf numFmtId="0" fontId="22" fillId="7" borderId="26" xfId="0" applyFont="1" applyFill="1" applyBorder="1" applyAlignment="1">
      <alignment vertical="center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0" fontId="5" fillId="2" borderId="43" xfId="1" applyFont="1" applyFill="1" applyBorder="1" applyAlignment="1">
      <alignment horizontal="center" vertical="center"/>
    </xf>
    <xf numFmtId="0" fontId="17" fillId="2" borderId="57" xfId="1" applyFont="1" applyFill="1" applyBorder="1" applyAlignment="1">
      <alignment horizontal="center" vertical="center"/>
    </xf>
    <xf numFmtId="0" fontId="17" fillId="2" borderId="20" xfId="1" applyFont="1" applyFill="1" applyBorder="1" applyAlignment="1">
      <alignment horizontal="center" vertical="center"/>
    </xf>
    <xf numFmtId="0" fontId="17" fillId="2" borderId="22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10" fillId="2" borderId="58" xfId="1" applyFont="1" applyFill="1" applyBorder="1" applyAlignment="1">
      <alignment vertical="center"/>
    </xf>
    <xf numFmtId="0" fontId="10" fillId="2" borderId="59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6" fillId="3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left" vertical="center" wrapText="1"/>
    </xf>
    <xf numFmtId="0" fontId="0" fillId="2" borderId="15" xfId="0" applyFill="1" applyBorder="1"/>
    <xf numFmtId="1" fontId="18" fillId="4" borderId="28" xfId="1" applyNumberFormat="1" applyFont="1" applyFill="1" applyBorder="1" applyAlignment="1">
      <alignment horizontal="center" vertical="center"/>
    </xf>
    <xf numFmtId="0" fontId="38" fillId="0" borderId="0" xfId="0" applyFont="1"/>
    <xf numFmtId="0" fontId="37" fillId="0" borderId="0" xfId="0" applyFont="1"/>
    <xf numFmtId="0" fontId="0" fillId="0" borderId="40" xfId="0" applyBorder="1"/>
    <xf numFmtId="0" fontId="39" fillId="4" borderId="4" xfId="0" applyFont="1" applyFill="1" applyBorder="1" applyAlignment="1">
      <alignment horizontal="center"/>
    </xf>
    <xf numFmtId="0" fontId="41" fillId="0" borderId="0" xfId="1" applyFont="1"/>
    <xf numFmtId="0" fontId="41" fillId="0" borderId="0" xfId="1" applyFont="1" applyAlignment="1">
      <alignment horizontal="left"/>
    </xf>
    <xf numFmtId="0" fontId="41" fillId="0" borderId="0" xfId="1" applyFont="1" applyAlignment="1">
      <alignment horizontal="right"/>
    </xf>
    <xf numFmtId="0" fontId="42" fillId="0" borderId="0" xfId="0" applyFont="1"/>
    <xf numFmtId="0" fontId="43" fillId="0" borderId="0" xfId="0" applyFont="1"/>
    <xf numFmtId="0" fontId="43" fillId="0" borderId="0" xfId="0" applyFont="1" applyAlignment="1">
      <alignment horizontal="left"/>
    </xf>
    <xf numFmtId="0" fontId="43" fillId="0" borderId="0" xfId="0" applyFont="1" applyAlignment="1">
      <alignment horizontal="right"/>
    </xf>
    <xf numFmtId="0" fontId="3" fillId="0" borderId="0" xfId="1" applyAlignment="1">
      <alignment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41" fillId="0" borderId="0" xfId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41" fillId="0" borderId="0" xfId="1" applyFont="1" applyAlignment="1">
      <alignment horizontal="center"/>
    </xf>
    <xf numFmtId="0" fontId="43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32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4" fillId="0" borderId="0" xfId="1" applyFont="1" applyAlignment="1">
      <alignment horizontal="left" vertical="center"/>
    </xf>
    <xf numFmtId="0" fontId="34" fillId="0" borderId="3" xfId="1" applyFont="1" applyBorder="1" applyAlignment="1">
      <alignment vertical="center"/>
    </xf>
    <xf numFmtId="0" fontId="44" fillId="0" borderId="0" xfId="0" applyFont="1"/>
    <xf numFmtId="0" fontId="44" fillId="0" borderId="11" xfId="0" applyFont="1" applyBorder="1" applyAlignment="1">
      <alignment vertical="center"/>
    </xf>
    <xf numFmtId="0" fontId="44" fillId="0" borderId="20" xfId="0" applyFont="1" applyBorder="1"/>
    <xf numFmtId="0" fontId="45" fillId="2" borderId="11" xfId="0" applyFont="1" applyFill="1" applyBorder="1" applyAlignment="1">
      <alignment vertical="center" wrapText="1"/>
    </xf>
    <xf numFmtId="0" fontId="44" fillId="2" borderId="11" xfId="0" applyFont="1" applyFill="1" applyBorder="1" applyAlignment="1">
      <alignment vertical="center" wrapText="1"/>
    </xf>
    <xf numFmtId="0" fontId="45" fillId="0" borderId="11" xfId="0" applyFont="1" applyBorder="1" applyAlignment="1">
      <alignment vertical="center" wrapText="1"/>
    </xf>
    <xf numFmtId="0" fontId="45" fillId="0" borderId="20" xfId="0" applyFont="1" applyBorder="1" applyAlignment="1">
      <alignment horizontal="center" vertical="center" wrapText="1"/>
    </xf>
    <xf numFmtId="0" fontId="44" fillId="0" borderId="20" xfId="0" applyFont="1" applyBorder="1" applyAlignment="1">
      <alignment horizontal="center"/>
    </xf>
    <xf numFmtId="0" fontId="44" fillId="0" borderId="20" xfId="0" applyFont="1" applyBorder="1" applyAlignment="1">
      <alignment vertical="center"/>
    </xf>
    <xf numFmtId="14" fontId="44" fillId="0" borderId="20" xfId="0" applyNumberFormat="1" applyFont="1" applyBorder="1" applyAlignment="1">
      <alignment vertical="center"/>
    </xf>
    <xf numFmtId="0" fontId="46" fillId="0" borderId="0" xfId="1" applyFont="1" applyAlignment="1">
      <alignment horizontal="left"/>
    </xf>
    <xf numFmtId="0" fontId="47" fillId="0" borderId="0" xfId="1" applyFont="1" applyAlignment="1">
      <alignment horizontal="left" vertical="center"/>
    </xf>
    <xf numFmtId="0" fontId="46" fillId="0" borderId="0" xfId="0" applyFont="1" applyAlignment="1">
      <alignment horizontal="left"/>
    </xf>
    <xf numFmtId="1" fontId="0" fillId="0" borderId="0" xfId="0" applyNumberFormat="1"/>
    <xf numFmtId="0" fontId="8" fillId="2" borderId="0" xfId="1" applyFont="1" applyFill="1" applyAlignment="1">
      <alignment horizontal="center" vertical="center"/>
    </xf>
    <xf numFmtId="1" fontId="18" fillId="2" borderId="0" xfId="1" applyNumberFormat="1" applyFont="1" applyFill="1" applyAlignment="1">
      <alignment horizontal="center" vertical="center"/>
    </xf>
    <xf numFmtId="1" fontId="0" fillId="2" borderId="0" xfId="0" applyNumberFormat="1" applyFill="1"/>
    <xf numFmtId="0" fontId="0" fillId="2" borderId="0" xfId="0" applyFill="1"/>
    <xf numFmtId="0" fontId="49" fillId="3" borderId="4" xfId="0" applyFont="1" applyFill="1" applyBorder="1" applyAlignment="1">
      <alignment horizontal="left" vertical="center" wrapText="1"/>
    </xf>
    <xf numFmtId="0" fontId="49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textRotation="90"/>
    </xf>
    <xf numFmtId="0" fontId="50" fillId="0" borderId="0" xfId="1" applyFont="1" applyAlignment="1">
      <alignment vertical="center"/>
    </xf>
    <xf numFmtId="0" fontId="51" fillId="0" borderId="0" xfId="1" applyFont="1" applyAlignment="1">
      <alignment vertical="center"/>
    </xf>
    <xf numFmtId="0" fontId="32" fillId="0" borderId="0" xfId="1" applyFont="1" applyAlignment="1">
      <alignment horizontal="left"/>
    </xf>
    <xf numFmtId="0" fontId="16" fillId="2" borderId="20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3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55" fillId="0" borderId="0" xfId="0" applyFont="1" applyAlignment="1">
      <alignment horizontal="left"/>
    </xf>
    <xf numFmtId="0" fontId="16" fillId="0" borderId="20" xfId="0" applyFont="1" applyBorder="1" applyAlignment="1">
      <alignment horizontal="left"/>
    </xf>
    <xf numFmtId="0" fontId="16" fillId="0" borderId="20" xfId="0" applyFont="1" applyBorder="1" applyAlignment="1">
      <alignment horizontal="center" vertical="center"/>
    </xf>
    <xf numFmtId="0" fontId="18" fillId="3" borderId="4" xfId="0" applyFont="1" applyFill="1" applyBorder="1" applyAlignment="1">
      <alignment horizontal="left" vertical="center" wrapText="1"/>
    </xf>
    <xf numFmtId="0" fontId="21" fillId="0" borderId="0" xfId="0" applyFont="1" applyAlignment="1">
      <alignment vertical="center"/>
    </xf>
    <xf numFmtId="0" fontId="17" fillId="0" borderId="0" xfId="1" applyFont="1" applyAlignment="1">
      <alignment horizontal="right" vertical="center"/>
    </xf>
    <xf numFmtId="0" fontId="17" fillId="0" borderId="0" xfId="1" applyFont="1" applyAlignment="1">
      <alignment vertical="center"/>
    </xf>
    <xf numFmtId="0" fontId="10" fillId="0" borderId="3" xfId="1" applyFont="1" applyBorder="1" applyAlignment="1">
      <alignment vertical="center"/>
    </xf>
    <xf numFmtId="0" fontId="10" fillId="0" borderId="0" xfId="1" applyFont="1" applyAlignment="1">
      <alignment horizontal="left"/>
    </xf>
    <xf numFmtId="0" fontId="10" fillId="0" borderId="0" xfId="1" applyFont="1"/>
    <xf numFmtId="0" fontId="10" fillId="0" borderId="0" xfId="1" applyFont="1" applyAlignment="1">
      <alignment horizontal="right"/>
    </xf>
    <xf numFmtId="0" fontId="55" fillId="0" borderId="0" xfId="1" applyFont="1" applyAlignment="1">
      <alignment horizontal="left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horizontal="left" vertical="center"/>
    </xf>
    <xf numFmtId="0" fontId="56" fillId="0" borderId="0" xfId="1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0" fillId="0" borderId="3" xfId="1" applyFont="1" applyBorder="1" applyAlignment="1">
      <alignment horizontal="left" vertical="center"/>
    </xf>
    <xf numFmtId="0" fontId="42" fillId="0" borderId="0" xfId="0" applyFont="1" applyAlignment="1">
      <alignment horizontal="center"/>
    </xf>
    <xf numFmtId="0" fontId="3" fillId="2" borderId="60" xfId="1" applyFill="1" applyBorder="1" applyAlignment="1">
      <alignment horizontal="center" vertical="center"/>
    </xf>
    <xf numFmtId="0" fontId="27" fillId="3" borderId="20" xfId="0" applyFont="1" applyFill="1" applyBorder="1" applyAlignment="1">
      <alignment horizontal="center" vertical="center" wrapText="1"/>
    </xf>
    <xf numFmtId="0" fontId="27" fillId="3" borderId="20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left" vertical="center"/>
    </xf>
    <xf numFmtId="0" fontId="16" fillId="0" borderId="11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59" fillId="3" borderId="4" xfId="0" applyFont="1" applyFill="1" applyBorder="1" applyAlignment="1">
      <alignment horizontal="center" vertical="center" wrapText="1"/>
    </xf>
    <xf numFmtId="0" fontId="59" fillId="3" borderId="4" xfId="0" applyFont="1" applyFill="1" applyBorder="1" applyAlignment="1">
      <alignment horizontal="left" vertical="center" wrapText="1"/>
    </xf>
    <xf numFmtId="0" fontId="57" fillId="0" borderId="0" xfId="0" applyFont="1" applyAlignment="1">
      <alignment horizontal="center" vertical="center"/>
    </xf>
    <xf numFmtId="166" fontId="45" fillId="0" borderId="20" xfId="0" applyNumberFormat="1" applyFont="1" applyBorder="1" applyAlignment="1">
      <alignment horizontal="center" vertical="center" wrapText="1"/>
    </xf>
    <xf numFmtId="0" fontId="3" fillId="2" borderId="61" xfId="1" applyFill="1" applyBorder="1" applyAlignment="1">
      <alignment horizontal="center" vertical="center"/>
    </xf>
    <xf numFmtId="0" fontId="18" fillId="0" borderId="16" xfId="1" applyFont="1" applyBorder="1" applyAlignment="1">
      <alignment vertical="center"/>
    </xf>
    <xf numFmtId="0" fontId="0" fillId="0" borderId="62" xfId="0" applyBorder="1"/>
    <xf numFmtId="1" fontId="18" fillId="0" borderId="25" xfId="1" applyNumberFormat="1" applyFont="1" applyBorder="1" applyAlignment="1">
      <alignment horizontal="center" vertical="center"/>
    </xf>
    <xf numFmtId="1" fontId="18" fillId="0" borderId="40" xfId="1" applyNumberFormat="1" applyFont="1" applyBorder="1" applyAlignment="1">
      <alignment horizontal="center" vertical="center"/>
    </xf>
    <xf numFmtId="0" fontId="61" fillId="0" borderId="0" xfId="1" applyFont="1" applyAlignment="1">
      <alignment horizontal="center" vertical="center"/>
    </xf>
    <xf numFmtId="0" fontId="62" fillId="0" borderId="0" xfId="1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0" borderId="0" xfId="1" applyFont="1" applyAlignment="1">
      <alignment vertical="center"/>
    </xf>
    <xf numFmtId="0" fontId="64" fillId="0" borderId="20" xfId="0" applyFont="1" applyBorder="1" applyAlignment="1">
      <alignment horizontal="center"/>
    </xf>
    <xf numFmtId="0" fontId="65" fillId="0" borderId="0" xfId="0" applyFont="1" applyAlignment="1">
      <alignment vertical="center"/>
    </xf>
    <xf numFmtId="0" fontId="65" fillId="0" borderId="0" xfId="0" applyFont="1" applyAlignment="1">
      <alignment horizontal="center" vertical="center"/>
    </xf>
    <xf numFmtId="0" fontId="57" fillId="0" borderId="0" xfId="0" applyFont="1" applyAlignment="1">
      <alignment horizontal="center"/>
    </xf>
    <xf numFmtId="0" fontId="58" fillId="0" borderId="0" xfId="1" applyFont="1" applyAlignment="1">
      <alignment horizontal="center"/>
    </xf>
    <xf numFmtId="0" fontId="67" fillId="0" borderId="0" xfId="1" applyFont="1" applyAlignment="1">
      <alignment horizontal="center" vertical="center"/>
    </xf>
    <xf numFmtId="0" fontId="58" fillId="0" borderId="0" xfId="1" applyFont="1" applyAlignment="1">
      <alignment horizontal="center" vertical="center"/>
    </xf>
    <xf numFmtId="0" fontId="58" fillId="0" borderId="3" xfId="1" applyFont="1" applyBorder="1" applyAlignment="1">
      <alignment horizontal="center" vertical="center"/>
    </xf>
    <xf numFmtId="0" fontId="59" fillId="3" borderId="7" xfId="0" applyFont="1" applyFill="1" applyBorder="1" applyAlignment="1">
      <alignment horizontal="center" vertical="center" wrapText="1"/>
    </xf>
    <xf numFmtId="0" fontId="59" fillId="3" borderId="9" xfId="0" applyFont="1" applyFill="1" applyBorder="1" applyAlignment="1">
      <alignment vertical="center" wrapText="1"/>
    </xf>
    <xf numFmtId="0" fontId="66" fillId="0" borderId="0" xfId="23" applyFont="1" applyBorder="1" applyAlignment="1"/>
    <xf numFmtId="0" fontId="59" fillId="3" borderId="13" xfId="0" applyFont="1" applyFill="1" applyBorder="1" applyAlignment="1">
      <alignment horizontal="center" vertical="center" wrapText="1"/>
    </xf>
    <xf numFmtId="0" fontId="34" fillId="0" borderId="0" xfId="1" applyFont="1" applyAlignment="1">
      <alignment horizontal="center" vertical="center"/>
    </xf>
    <xf numFmtId="0" fontId="49" fillId="3" borderId="4" xfId="0" applyFont="1" applyFill="1" applyBorder="1" applyAlignment="1">
      <alignment vertical="center" wrapText="1"/>
    </xf>
    <xf numFmtId="0" fontId="54" fillId="0" borderId="0" xfId="23" applyFont="1" applyBorder="1" applyAlignment="1"/>
    <xf numFmtId="0" fontId="0" fillId="0" borderId="1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0" borderId="35" xfId="0" applyBorder="1" applyAlignment="1">
      <alignment horizontal="left" indent="1"/>
    </xf>
    <xf numFmtId="0" fontId="0" fillId="0" borderId="64" xfId="0" applyBorder="1"/>
    <xf numFmtId="0" fontId="0" fillId="0" borderId="34" xfId="0" applyBorder="1" applyAlignment="1">
      <alignment horizontal="left" indent="1"/>
    </xf>
    <xf numFmtId="0" fontId="0" fillId="0" borderId="10" xfId="0" applyBorder="1"/>
    <xf numFmtId="0" fontId="0" fillId="0" borderId="36" xfId="0" applyBorder="1"/>
    <xf numFmtId="0" fontId="0" fillId="0" borderId="37" xfId="0" applyBorder="1"/>
    <xf numFmtId="1" fontId="18" fillId="2" borderId="10" xfId="1" applyNumberFormat="1" applyFont="1" applyFill="1" applyBorder="1" applyAlignment="1">
      <alignment horizontal="center" vertical="center"/>
    </xf>
    <xf numFmtId="0" fontId="3" fillId="2" borderId="65" xfId="1" applyFill="1" applyBorder="1" applyAlignment="1">
      <alignment horizontal="center" vertical="center"/>
    </xf>
    <xf numFmtId="0" fontId="3" fillId="2" borderId="66" xfId="1" applyFill="1" applyBorder="1" applyAlignment="1">
      <alignment horizontal="center" vertical="center"/>
    </xf>
    <xf numFmtId="0" fontId="3" fillId="2" borderId="67" xfId="1" applyFill="1" applyBorder="1" applyAlignment="1">
      <alignment horizontal="center" vertical="center"/>
    </xf>
    <xf numFmtId="0" fontId="39" fillId="4" borderId="29" xfId="0" applyFont="1" applyFill="1" applyBorder="1" applyAlignment="1">
      <alignment horizontal="center"/>
    </xf>
    <xf numFmtId="0" fontId="39" fillId="0" borderId="36" xfId="0" applyFont="1" applyBorder="1" applyAlignment="1">
      <alignment horizontal="center"/>
    </xf>
    <xf numFmtId="0" fontId="39" fillId="0" borderId="37" xfId="0" applyFont="1" applyBorder="1" applyAlignment="1">
      <alignment horizontal="center"/>
    </xf>
    <xf numFmtId="0" fontId="68" fillId="0" borderId="0" xfId="1" applyFont="1" applyAlignment="1">
      <alignment vertical="center"/>
    </xf>
    <xf numFmtId="0" fontId="71" fillId="0" borderId="0" xfId="1" applyFont="1" applyAlignment="1">
      <alignment vertical="center"/>
    </xf>
    <xf numFmtId="0" fontId="34" fillId="0" borderId="0" xfId="1" applyFont="1" applyAlignment="1">
      <alignment horizontal="justify"/>
    </xf>
    <xf numFmtId="0" fontId="34" fillId="0" borderId="0" xfId="1" applyFont="1"/>
    <xf numFmtId="0" fontId="71" fillId="0" borderId="0" xfId="1" applyFont="1" applyAlignment="1">
      <alignment horizontal="center"/>
    </xf>
    <xf numFmtId="0" fontId="34" fillId="0" borderId="0" xfId="1" applyFont="1" applyAlignment="1">
      <alignment horizontal="left"/>
    </xf>
    <xf numFmtId="0" fontId="34" fillId="0" borderId="0" xfId="1" applyFont="1" applyAlignment="1">
      <alignment horizontal="center"/>
    </xf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right" vertical="center"/>
    </xf>
    <xf numFmtId="0" fontId="15" fillId="0" borderId="0" xfId="1" applyFont="1" applyAlignment="1">
      <alignment horizontal="left"/>
    </xf>
    <xf numFmtId="0" fontId="53" fillId="2" borderId="0" xfId="0" applyFont="1" applyFill="1" applyAlignment="1">
      <alignment horizontal="left" vertical="center" wrapText="1"/>
    </xf>
    <xf numFmtId="0" fontId="53" fillId="0" borderId="0" xfId="0" applyFont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5" fillId="2" borderId="44" xfId="1" applyFont="1" applyFill="1" applyBorder="1" applyAlignment="1">
      <alignment horizontal="center" vertical="center"/>
    </xf>
    <xf numFmtId="0" fontId="5" fillId="2" borderId="69" xfId="1" applyFont="1" applyFill="1" applyBorder="1" applyAlignment="1">
      <alignment horizontal="center" vertical="center"/>
    </xf>
    <xf numFmtId="0" fontId="3" fillId="2" borderId="69" xfId="1" applyFill="1" applyBorder="1" applyAlignment="1">
      <alignment horizontal="center" vertical="center"/>
    </xf>
    <xf numFmtId="0" fontId="0" fillId="0" borderId="63" xfId="0" applyBorder="1"/>
    <xf numFmtId="0" fontId="17" fillId="6" borderId="11" xfId="0" applyFont="1" applyFill="1" applyBorder="1" applyAlignment="1">
      <alignment horizontal="center" vertical="center" wrapText="1"/>
    </xf>
    <xf numFmtId="0" fontId="17" fillId="6" borderId="68" xfId="0" applyFont="1" applyFill="1" applyBorder="1" applyAlignment="1">
      <alignment horizontal="center" vertical="center" wrapText="1"/>
    </xf>
    <xf numFmtId="0" fontId="17" fillId="6" borderId="63" xfId="0" applyFont="1" applyFill="1" applyBorder="1" applyAlignment="1">
      <alignment horizontal="center" vertical="center" wrapText="1"/>
    </xf>
    <xf numFmtId="0" fontId="60" fillId="2" borderId="0" xfId="0" applyFont="1" applyFill="1" applyAlignment="1">
      <alignment horizontal="left" vertical="center" wrapText="1"/>
    </xf>
    <xf numFmtId="0" fontId="57" fillId="0" borderId="0" xfId="0" applyFont="1" applyAlignment="1">
      <alignment horizontal="left"/>
    </xf>
    <xf numFmtId="0" fontId="60" fillId="0" borderId="0" xfId="0" applyFont="1" applyAlignment="1">
      <alignment horizontal="center" vertical="center" wrapText="1"/>
    </xf>
    <xf numFmtId="166" fontId="60" fillId="0" borderId="0" xfId="0" applyNumberFormat="1" applyFont="1" applyAlignment="1">
      <alignment horizontal="center" vertical="center"/>
    </xf>
    <xf numFmtId="0" fontId="60" fillId="2" borderId="0" xfId="0" applyFont="1" applyFill="1" applyAlignment="1">
      <alignment horizontal="center" vertical="center" wrapText="1"/>
    </xf>
    <xf numFmtId="0" fontId="58" fillId="0" borderId="0" xfId="23" applyFont="1" applyBorder="1" applyAlignment="1">
      <alignment horizontal="left"/>
    </xf>
    <xf numFmtId="0" fontId="60" fillId="0" borderId="0" xfId="0" applyFont="1" applyAlignment="1">
      <alignment horizontal="left" vertical="center" wrapText="1"/>
    </xf>
    <xf numFmtId="0" fontId="60" fillId="0" borderId="0" xfId="0" applyFont="1" applyAlignment="1">
      <alignment horizontal="center" vertical="center"/>
    </xf>
    <xf numFmtId="0" fontId="57" fillId="0" borderId="0" xfId="0" applyFont="1"/>
    <xf numFmtId="14" fontId="57" fillId="0" borderId="0" xfId="0" applyNumberFormat="1" applyFont="1" applyAlignment="1">
      <alignment horizontal="center"/>
    </xf>
    <xf numFmtId="1" fontId="60" fillId="5" borderId="0" xfId="0" applyNumberFormat="1" applyFont="1" applyFill="1" applyAlignment="1">
      <alignment horizontal="left" vertical="center"/>
    </xf>
    <xf numFmtId="0" fontId="44" fillId="0" borderId="20" xfId="0" applyFont="1" applyBorder="1" applyAlignment="1">
      <alignment horizontal="right" vertical="center"/>
    </xf>
    <xf numFmtId="0" fontId="16" fillId="0" borderId="20" xfId="0" applyFont="1" applyBorder="1" applyAlignment="1">
      <alignment vertical="center"/>
    </xf>
    <xf numFmtId="0" fontId="16" fillId="0" borderId="20" xfId="0" applyFont="1" applyBorder="1" applyAlignment="1">
      <alignment horizontal="left" vertical="center"/>
    </xf>
    <xf numFmtId="0" fontId="32" fillId="0" borderId="20" xfId="0" applyFont="1" applyBorder="1" applyAlignment="1">
      <alignment vertical="center" wrapText="1"/>
    </xf>
    <xf numFmtId="0" fontId="44" fillId="0" borderId="20" xfId="0" applyFont="1" applyBorder="1" applyAlignment="1">
      <alignment vertical="center" wrapText="1"/>
    </xf>
    <xf numFmtId="0" fontId="32" fillId="0" borderId="20" xfId="0" applyFont="1" applyBorder="1" applyAlignment="1">
      <alignment vertical="center"/>
    </xf>
    <xf numFmtId="0" fontId="32" fillId="0" borderId="20" xfId="0" applyFont="1" applyBorder="1" applyAlignment="1">
      <alignment horizontal="left" vertical="center"/>
    </xf>
    <xf numFmtId="0" fontId="44" fillId="2" borderId="20" xfId="0" applyFont="1" applyFill="1" applyBorder="1" applyAlignment="1">
      <alignment vertical="center"/>
    </xf>
    <xf numFmtId="0" fontId="44" fillId="2" borderId="20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left" vertical="center"/>
    </xf>
    <xf numFmtId="0" fontId="44" fillId="0" borderId="20" xfId="0" applyFont="1" applyBorder="1" applyAlignment="1">
      <alignment horizontal="left" vertical="center"/>
    </xf>
    <xf numFmtId="0" fontId="44" fillId="0" borderId="20" xfId="0" applyFont="1" applyBorder="1" applyAlignment="1">
      <alignment horizontal="center" vertical="center"/>
    </xf>
    <xf numFmtId="14" fontId="10" fillId="0" borderId="20" xfId="0" applyNumberFormat="1" applyFont="1" applyBorder="1" applyAlignment="1">
      <alignment horizontal="left" vertical="center"/>
    </xf>
    <xf numFmtId="0" fontId="64" fillId="0" borderId="11" xfId="0" applyFont="1" applyBorder="1" applyAlignment="1">
      <alignment horizontal="center" vertical="center"/>
    </xf>
    <xf numFmtId="14" fontId="44" fillId="0" borderId="20" xfId="0" applyNumberFormat="1" applyFont="1" applyBorder="1" applyAlignment="1">
      <alignment horizontal="center" vertical="center"/>
    </xf>
    <xf numFmtId="0" fontId="32" fillId="0" borderId="20" xfId="23" applyFont="1" applyBorder="1"/>
    <xf numFmtId="0" fontId="64" fillId="0" borderId="11" xfId="0" applyFont="1" applyBorder="1"/>
    <xf numFmtId="14" fontId="32" fillId="0" borderId="20" xfId="0" applyNumberFormat="1" applyFont="1" applyBorder="1" applyAlignment="1">
      <alignment horizontal="center" vertical="center"/>
    </xf>
    <xf numFmtId="0" fontId="74" fillId="0" borderId="11" xfId="0" applyFont="1" applyBorder="1" applyAlignment="1">
      <alignment horizontal="center"/>
    </xf>
    <xf numFmtId="0" fontId="44" fillId="0" borderId="20" xfId="0" applyFont="1" applyBorder="1" applyAlignment="1">
      <alignment horizontal="right"/>
    </xf>
    <xf numFmtId="0" fontId="44" fillId="0" borderId="20" xfId="0" applyFont="1" applyBorder="1" applyAlignment="1">
      <alignment horizontal="left"/>
    </xf>
    <xf numFmtId="14" fontId="32" fillId="2" borderId="20" xfId="0" applyNumberFormat="1" applyFont="1" applyFill="1" applyBorder="1" applyAlignment="1">
      <alignment horizontal="left" vertical="center"/>
    </xf>
    <xf numFmtId="0" fontId="32" fillId="0" borderId="20" xfId="0" applyFont="1" applyBorder="1" applyAlignment="1">
      <alignment horizontal="center"/>
    </xf>
    <xf numFmtId="0" fontId="32" fillId="0" borderId="20" xfId="0" applyFont="1" applyBorder="1"/>
    <xf numFmtId="0" fontId="32" fillId="0" borderId="20" xfId="0" applyFont="1" applyBorder="1" applyAlignment="1">
      <alignment horizontal="center" vertical="center"/>
    </xf>
    <xf numFmtId="0" fontId="32" fillId="0" borderId="20" xfId="24" applyFont="1" applyBorder="1" applyAlignment="1">
      <alignment vertical="center"/>
    </xf>
    <xf numFmtId="0" fontId="75" fillId="0" borderId="20" xfId="23" applyFont="1" applyBorder="1"/>
    <xf numFmtId="0" fontId="44" fillId="0" borderId="20" xfId="23" applyFont="1" applyBorder="1"/>
    <xf numFmtId="0" fontId="77" fillId="0" borderId="20" xfId="23" applyFont="1" applyBorder="1" applyAlignment="1">
      <alignment horizontal="left" vertical="center"/>
    </xf>
    <xf numFmtId="14" fontId="10" fillId="2" borderId="20" xfId="0" applyNumberFormat="1" applyFont="1" applyFill="1" applyBorder="1" applyAlignment="1">
      <alignment horizontal="left" vertical="center"/>
    </xf>
    <xf numFmtId="0" fontId="10" fillId="0" borderId="20" xfId="0" applyFont="1" applyBorder="1" applyAlignment="1">
      <alignment horizontal="center"/>
    </xf>
    <xf numFmtId="0" fontId="79" fillId="0" borderId="20" xfId="23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0" fillId="0" borderId="20" xfId="1" applyFont="1" applyBorder="1" applyAlignment="1">
      <alignment horizontal="left" vertical="center"/>
    </xf>
    <xf numFmtId="0" fontId="10" fillId="0" borderId="20" xfId="1" applyFont="1" applyBorder="1" applyAlignment="1">
      <alignment horizontal="left"/>
    </xf>
    <xf numFmtId="14" fontId="10" fillId="0" borderId="20" xfId="0" applyNumberFormat="1" applyFont="1" applyBorder="1"/>
    <xf numFmtId="0" fontId="10" fillId="0" borderId="20" xfId="1" applyFont="1" applyBorder="1"/>
    <xf numFmtId="0" fontId="10" fillId="0" borderId="20" xfId="1" applyFont="1" applyBorder="1" applyAlignment="1">
      <alignment horizontal="center"/>
    </xf>
    <xf numFmtId="0" fontId="16" fillId="0" borderId="20" xfId="23" applyFont="1" applyBorder="1" applyAlignment="1">
      <alignment horizontal="left" vertical="center"/>
    </xf>
    <xf numFmtId="0" fontId="16" fillId="0" borderId="20" xfId="24" applyFont="1" applyBorder="1" applyAlignment="1">
      <alignment horizontal="left" vertical="center"/>
    </xf>
    <xf numFmtId="0" fontId="10" fillId="0" borderId="20" xfId="0" applyFont="1" applyBorder="1" applyAlignment="1">
      <alignment horizontal="left" wrapText="1"/>
    </xf>
    <xf numFmtId="0" fontId="80" fillId="0" borderId="20" xfId="23" applyFont="1" applyBorder="1" applyAlignment="1">
      <alignment horizontal="left" vertical="center"/>
    </xf>
    <xf numFmtId="11" fontId="16" fillId="0" borderId="20" xfId="0" applyNumberFormat="1" applyFont="1" applyBorder="1" applyAlignment="1">
      <alignment horizontal="left"/>
    </xf>
    <xf numFmtId="0" fontId="0" fillId="4" borderId="71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14" fontId="44" fillId="0" borderId="20" xfId="0" applyNumberFormat="1" applyFont="1" applyBorder="1" applyAlignment="1">
      <alignment horizontal="right" vertical="center"/>
    </xf>
    <xf numFmtId="14" fontId="32" fillId="0" borderId="20" xfId="0" applyNumberFormat="1" applyFont="1" applyBorder="1" applyAlignment="1">
      <alignment horizontal="right"/>
    </xf>
    <xf numFmtId="167" fontId="44" fillId="0" borderId="20" xfId="0" applyNumberFormat="1" applyFont="1" applyBorder="1" applyAlignment="1">
      <alignment horizontal="right" vertical="center"/>
    </xf>
    <xf numFmtId="14" fontId="76" fillId="0" borderId="20" xfId="0" applyNumberFormat="1" applyFont="1" applyBorder="1" applyAlignment="1">
      <alignment horizontal="right"/>
    </xf>
    <xf numFmtId="14" fontId="32" fillId="0" borderId="20" xfId="0" applyNumberFormat="1" applyFont="1" applyBorder="1" applyAlignment="1">
      <alignment horizontal="right" vertical="center"/>
    </xf>
    <xf numFmtId="0" fontId="10" fillId="2" borderId="72" xfId="1" applyFont="1" applyFill="1" applyBorder="1" applyAlignment="1">
      <alignment vertical="center"/>
    </xf>
    <xf numFmtId="0" fontId="5" fillId="2" borderId="73" xfId="1" applyFont="1" applyFill="1" applyBorder="1" applyAlignment="1">
      <alignment horizontal="center" vertical="center"/>
    </xf>
    <xf numFmtId="0" fontId="64" fillId="0" borderId="20" xfId="0" applyFont="1" applyBorder="1" applyAlignment="1">
      <alignment horizontal="center" wrapText="1"/>
    </xf>
    <xf numFmtId="166" fontId="16" fillId="0" borderId="11" xfId="0" applyNumberFormat="1" applyFont="1" applyBorder="1" applyAlignment="1">
      <alignment horizontal="center" vertical="center"/>
    </xf>
    <xf numFmtId="0" fontId="16" fillId="0" borderId="11" xfId="0" applyFont="1" applyBorder="1"/>
    <xf numFmtId="0" fontId="0" fillId="3" borderId="20" xfId="0" applyFill="1" applyBorder="1" applyAlignment="1">
      <alignment horizontal="center" vertical="center" wrapText="1"/>
    </xf>
    <xf numFmtId="0" fontId="32" fillId="0" borderId="20" xfId="0" applyFont="1" applyBorder="1" applyAlignment="1">
      <alignment horizontal="right" vertical="center"/>
    </xf>
    <xf numFmtId="0" fontId="78" fillId="0" borderId="20" xfId="23" applyFont="1" applyBorder="1"/>
    <xf numFmtId="14" fontId="10" fillId="0" borderId="20" xfId="0" applyNumberFormat="1" applyFont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32" fillId="0" borderId="20" xfId="1" applyFont="1" applyBorder="1" applyAlignment="1">
      <alignment horizontal="center" vertical="center"/>
    </xf>
    <xf numFmtId="0" fontId="32" fillId="0" borderId="20" xfId="1" applyFont="1" applyBorder="1" applyAlignment="1">
      <alignment horizontal="center" vertical="center" wrapText="1"/>
    </xf>
    <xf numFmtId="168" fontId="32" fillId="0" borderId="20" xfId="6" applyNumberFormat="1" applyFont="1" applyBorder="1" applyAlignment="1">
      <alignment horizontal="center" vertical="center"/>
    </xf>
    <xf numFmtId="0" fontId="76" fillId="0" borderId="20" xfId="23" applyFont="1" applyBorder="1"/>
    <xf numFmtId="0" fontId="76" fillId="0" borderId="20" xfId="23" applyFont="1" applyBorder="1" applyAlignment="1">
      <alignment horizontal="left" vertical="center"/>
    </xf>
    <xf numFmtId="0" fontId="15" fillId="3" borderId="74" xfId="1" applyFont="1" applyFill="1" applyBorder="1" applyAlignment="1">
      <alignment horizontal="center" textRotation="90"/>
    </xf>
    <xf numFmtId="0" fontId="39" fillId="0" borderId="75" xfId="0" applyFont="1" applyBorder="1" applyAlignment="1">
      <alignment horizontal="center"/>
    </xf>
    <xf numFmtId="0" fontId="15" fillId="3" borderId="20" xfId="1" applyFont="1" applyFill="1" applyBorder="1" applyAlignment="1">
      <alignment horizontal="center" textRotation="90"/>
    </xf>
    <xf numFmtId="0" fontId="22" fillId="0" borderId="75" xfId="0" applyFont="1" applyBorder="1" applyAlignment="1">
      <alignment vertical="center"/>
    </xf>
    <xf numFmtId="0" fontId="10" fillId="0" borderId="0" xfId="0" applyFont="1"/>
    <xf numFmtId="0" fontId="30" fillId="0" borderId="0" xfId="0" applyFont="1"/>
    <xf numFmtId="0" fontId="21" fillId="0" borderId="0" xfId="0" applyFont="1" applyAlignment="1">
      <alignment horizontal="right"/>
    </xf>
    <xf numFmtId="0" fontId="10" fillId="0" borderId="0" xfId="1" applyFont="1" applyAlignment="1">
      <alignment horizontal="right" vertical="center"/>
    </xf>
    <xf numFmtId="0" fontId="27" fillId="3" borderId="20" xfId="0" applyFont="1" applyFill="1" applyBorder="1" applyAlignment="1">
      <alignment horizontal="right" vertical="center" wrapText="1"/>
    </xf>
    <xf numFmtId="14" fontId="16" fillId="0" borderId="20" xfId="0" applyNumberFormat="1" applyFont="1" applyBorder="1" applyAlignment="1">
      <alignment horizontal="right" vertical="center"/>
    </xf>
    <xf numFmtId="167" fontId="16" fillId="0" borderId="20" xfId="0" applyNumberFormat="1" applyFont="1" applyBorder="1" applyAlignment="1">
      <alignment horizontal="right" vertical="center"/>
    </xf>
    <xf numFmtId="14" fontId="10" fillId="0" borderId="20" xfId="0" applyNumberFormat="1" applyFont="1" applyBorder="1" applyAlignment="1">
      <alignment horizontal="right"/>
    </xf>
    <xf numFmtId="14" fontId="30" fillId="0" borderId="20" xfId="0" applyNumberFormat="1" applyFont="1" applyBorder="1" applyAlignment="1">
      <alignment horizontal="right"/>
    </xf>
    <xf numFmtId="14" fontId="10" fillId="0" borderId="20" xfId="0" applyNumberFormat="1" applyFont="1" applyBorder="1" applyAlignment="1">
      <alignment horizontal="right" vertical="center"/>
    </xf>
    <xf numFmtId="166" fontId="52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6" fillId="2" borderId="20" xfId="0" applyFont="1" applyFill="1" applyBorder="1" applyAlignment="1">
      <alignment vertical="center"/>
    </xf>
    <xf numFmtId="0" fontId="32" fillId="0" borderId="20" xfId="0" applyFont="1" applyBorder="1" applyAlignment="1">
      <alignment horizontal="left" vertical="center" wrapText="1"/>
    </xf>
    <xf numFmtId="14" fontId="32" fillId="0" borderId="20" xfId="0" applyNumberFormat="1" applyFont="1" applyBorder="1" applyAlignment="1">
      <alignment horizontal="center" vertical="center" wrapText="1"/>
    </xf>
    <xf numFmtId="0" fontId="27" fillId="6" borderId="5" xfId="0" applyFont="1" applyFill="1" applyBorder="1" applyAlignment="1">
      <alignment horizontal="center" vertical="center" wrapText="1"/>
    </xf>
    <xf numFmtId="0" fontId="44" fillId="0" borderId="11" xfId="0" applyFont="1" applyBorder="1"/>
    <xf numFmtId="0" fontId="44" fillId="0" borderId="11" xfId="0" applyFont="1" applyBorder="1" applyAlignment="1">
      <alignment horizontal="right"/>
    </xf>
    <xf numFmtId="0" fontId="44" fillId="0" borderId="11" xfId="0" applyFont="1" applyBorder="1" applyAlignment="1">
      <alignment horizontal="left"/>
    </xf>
    <xf numFmtId="0" fontId="16" fillId="2" borderId="11" xfId="0" applyFont="1" applyFill="1" applyBorder="1" applyAlignment="1">
      <alignment vertical="center"/>
    </xf>
    <xf numFmtId="0" fontId="10" fillId="0" borderId="11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indent="1"/>
    </xf>
    <xf numFmtId="0" fontId="16" fillId="0" borderId="20" xfId="0" applyFont="1" applyBorder="1" applyAlignment="1">
      <alignment horizontal="center" vertical="center" wrapText="1"/>
    </xf>
    <xf numFmtId="0" fontId="27" fillId="6" borderId="27" xfId="0" applyFont="1" applyFill="1" applyBorder="1" applyAlignment="1">
      <alignment horizontal="center" vertical="center" wrapText="1"/>
    </xf>
    <xf numFmtId="0" fontId="27" fillId="6" borderId="20" xfId="0" applyFont="1" applyFill="1" applyBorder="1" applyAlignment="1">
      <alignment horizontal="center" vertical="center" wrapText="1"/>
    </xf>
    <xf numFmtId="14" fontId="16" fillId="0" borderId="20" xfId="0" applyNumberFormat="1" applyFont="1" applyBorder="1" applyAlignment="1">
      <alignment horizontal="center" vertical="center" wrapText="1"/>
    </xf>
    <xf numFmtId="0" fontId="76" fillId="0" borderId="20" xfId="0" applyFont="1" applyBorder="1" applyAlignment="1">
      <alignment horizontal="left" vertical="center"/>
    </xf>
    <xf numFmtId="14" fontId="3" fillId="0" borderId="20" xfId="0" applyNumberFormat="1" applyFont="1" applyBorder="1" applyAlignment="1">
      <alignment horizontal="left" vertical="center"/>
    </xf>
    <xf numFmtId="14" fontId="3" fillId="2" borderId="20" xfId="0" applyNumberFormat="1" applyFont="1" applyFill="1" applyBorder="1" applyAlignment="1">
      <alignment horizontal="left" vertical="center"/>
    </xf>
    <xf numFmtId="14" fontId="32" fillId="0" borderId="20" xfId="1" applyNumberFormat="1" applyFont="1" applyBorder="1" applyAlignment="1">
      <alignment horizontal="left" vertical="center"/>
    </xf>
    <xf numFmtId="0" fontId="15" fillId="0" borderId="20" xfId="0" applyFont="1" applyBorder="1" applyAlignment="1">
      <alignment horizontal="center" vertical="center"/>
    </xf>
    <xf numFmtId="14" fontId="32" fillId="0" borderId="11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14" fontId="76" fillId="0" borderId="20" xfId="0" applyNumberFormat="1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15" fillId="0" borderId="0" xfId="1" applyFont="1" applyAlignment="1">
      <alignment horizontal="left"/>
    </xf>
    <xf numFmtId="0" fontId="32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34" fillId="0" borderId="0" xfId="1" applyFont="1" applyAlignment="1">
      <alignment horizontal="left" vertical="center"/>
    </xf>
    <xf numFmtId="0" fontId="34" fillId="2" borderId="3" xfId="1" applyFont="1" applyFill="1" applyBorder="1" applyAlignment="1">
      <alignment horizontal="left" vertical="center"/>
    </xf>
    <xf numFmtId="0" fontId="7" fillId="0" borderId="27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6" fillId="0" borderId="0" xfId="1" applyFont="1" applyAlignment="1">
      <alignment horizontal="center"/>
    </xf>
    <xf numFmtId="0" fontId="3" fillId="0" borderId="0" xfId="1" applyAlignment="1">
      <alignment horizontal="center"/>
    </xf>
    <xf numFmtId="0" fontId="14" fillId="0" borderId="7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9" xfId="1" applyFont="1" applyBorder="1" applyAlignment="1">
      <alignment horizontal="center" vertical="center"/>
    </xf>
    <xf numFmtId="0" fontId="3" fillId="0" borderId="0" xfId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24" fillId="3" borderId="27" xfId="1" applyFont="1" applyFill="1" applyBorder="1" applyAlignment="1">
      <alignment horizontal="center" vertical="center"/>
    </xf>
    <xf numFmtId="0" fontId="24" fillId="3" borderId="31" xfId="1" applyFont="1" applyFill="1" applyBorder="1" applyAlignment="1">
      <alignment horizontal="center" vertical="center"/>
    </xf>
    <xf numFmtId="0" fontId="23" fillId="3" borderId="5" xfId="1" applyFont="1" applyFill="1" applyBorder="1" applyAlignment="1">
      <alignment horizontal="center" vertical="center"/>
    </xf>
    <xf numFmtId="0" fontId="23" fillId="3" borderId="32" xfId="1" applyFont="1" applyFill="1" applyBorder="1" applyAlignment="1">
      <alignment horizontal="center" vertical="center"/>
    </xf>
    <xf numFmtId="0" fontId="23" fillId="3" borderId="5" xfId="1" applyFont="1" applyFill="1" applyBorder="1" applyAlignment="1">
      <alignment horizontal="center" vertical="center" wrapText="1"/>
    </xf>
    <xf numFmtId="0" fontId="23" fillId="3" borderId="32" xfId="1" applyFont="1" applyFill="1" applyBorder="1" applyAlignment="1">
      <alignment horizontal="center" vertical="center" wrapText="1"/>
    </xf>
    <xf numFmtId="0" fontId="23" fillId="3" borderId="20" xfId="1" applyFont="1" applyFill="1" applyBorder="1" applyAlignment="1">
      <alignment horizontal="center" vertical="center" wrapText="1"/>
    </xf>
    <xf numFmtId="0" fontId="24" fillId="3" borderId="20" xfId="1" applyFont="1" applyFill="1" applyBorder="1" applyAlignment="1">
      <alignment horizontal="center" vertical="center"/>
    </xf>
    <xf numFmtId="0" fontId="23" fillId="3" borderId="20" xfId="1" applyFont="1" applyFill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0" fontId="7" fillId="0" borderId="76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23" fillId="3" borderId="10" xfId="1" applyFont="1" applyFill="1" applyBorder="1" applyAlignment="1">
      <alignment horizontal="center" vertical="center" wrapText="1"/>
    </xf>
    <xf numFmtId="0" fontId="23" fillId="3" borderId="33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2" borderId="30" xfId="1" applyFont="1" applyFill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29" fillId="2" borderId="8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10" fillId="0" borderId="0" xfId="1" applyFont="1" applyAlignment="1">
      <alignment horizontal="center" vertical="top"/>
    </xf>
    <xf numFmtId="0" fontId="12" fillId="0" borderId="0" xfId="1" applyFont="1" applyAlignment="1">
      <alignment horizontal="left" vertical="top"/>
    </xf>
    <xf numFmtId="0" fontId="34" fillId="0" borderId="0" xfId="1" applyFont="1" applyAlignment="1">
      <alignment horizontal="center"/>
    </xf>
    <xf numFmtId="0" fontId="35" fillId="0" borderId="0" xfId="1" applyFont="1" applyAlignment="1">
      <alignment horizontal="center"/>
    </xf>
    <xf numFmtId="0" fontId="7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2" fillId="3" borderId="70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40" fillId="0" borderId="0" xfId="1" applyFont="1" applyAlignment="1">
      <alignment horizontal="center" vertical="center"/>
    </xf>
    <xf numFmtId="0" fontId="18" fillId="0" borderId="3" xfId="0" applyFont="1" applyBorder="1" applyAlignment="1">
      <alignment horizontal="center"/>
    </xf>
  </cellXfs>
  <cellStyles count="25">
    <cellStyle name="Hipervínculo" xfId="23" builtinId="8"/>
    <cellStyle name="Hyperlink" xfId="24" xr:uid="{97144A4E-0702-4736-8AF1-3A062832C889}"/>
    <cellStyle name="Moneda 2" xfId="18" xr:uid="{00000000-0005-0000-0000-000002000000}"/>
    <cellStyle name="Moneda 3" xfId="19" xr:uid="{00000000-0005-0000-0000-000003000000}"/>
    <cellStyle name="Moneda 4" xfId="20" xr:uid="{00000000-0005-0000-0000-000004000000}"/>
    <cellStyle name="Moneda 5" xfId="21" xr:uid="{00000000-0005-0000-0000-000005000000}"/>
    <cellStyle name="Moneda 6" xfId="22" xr:uid="{00000000-0005-0000-0000-000006000000}"/>
    <cellStyle name="Normal" xfId="0" builtinId="0"/>
    <cellStyle name="Normal 2" xfId="1" xr:uid="{00000000-0005-0000-0000-000008000000}"/>
    <cellStyle name="Normal 2 2" xfId="6" xr:uid="{00000000-0005-0000-0000-000009000000}"/>
    <cellStyle name="Normal 2 2 2" xfId="7" xr:uid="{00000000-0005-0000-0000-00000A000000}"/>
    <cellStyle name="Normal 2 2 3" xfId="17" xr:uid="{00000000-0005-0000-0000-00000B000000}"/>
    <cellStyle name="Normal 2 7" xfId="8" xr:uid="{00000000-0005-0000-0000-00000C000000}"/>
    <cellStyle name="Normal 3" xfId="9" xr:uid="{00000000-0005-0000-0000-00000D000000}"/>
    <cellStyle name="Normal 3 2" xfId="10" xr:uid="{00000000-0005-0000-0000-00000E000000}"/>
    <cellStyle name="Normal 4" xfId="11" xr:uid="{00000000-0005-0000-0000-00000F000000}"/>
    <cellStyle name="Normal 5" xfId="4" xr:uid="{00000000-0005-0000-0000-000010000000}"/>
    <cellStyle name="Normal 5 2" xfId="13" xr:uid="{00000000-0005-0000-0000-000011000000}"/>
    <cellStyle name="Normal 5 3" xfId="14" xr:uid="{00000000-0005-0000-0000-000012000000}"/>
    <cellStyle name="Normal 5 4" xfId="12" xr:uid="{00000000-0005-0000-0000-000013000000}"/>
    <cellStyle name="Normal 6" xfId="15" xr:uid="{00000000-0005-0000-0000-000014000000}"/>
    <cellStyle name="Normal 7" xfId="5" xr:uid="{00000000-0005-0000-0000-000015000000}"/>
    <cellStyle name="Normal 7 2" xfId="16" xr:uid="{00000000-0005-0000-0000-000016000000}"/>
    <cellStyle name="Normal 8 2" xfId="2" xr:uid="{00000000-0005-0000-0000-000017000000}"/>
    <cellStyle name="Normal 9 2" xfId="3" xr:uid="{00000000-0005-0000-0000-000018000000}"/>
  </cellStyles>
  <dxfs count="40"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499984740745262"/>
        </patternFill>
      </fill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-0.499984740745262"/>
        </patternFill>
      </fill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-0.499984740745262"/>
        </patternFill>
      </fill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6D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1412488</xdr:colOff>
      <xdr:row>0</xdr:row>
      <xdr:rowOff>0</xdr:rowOff>
    </xdr:from>
    <xdr:to>
      <xdr:col>0</xdr:col>
      <xdr:colOff>1886416</xdr:colOff>
      <xdr:row>1</xdr:row>
      <xdr:rowOff>185006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C6B6939-0C1D-4AD7-B2C2-32F6ED22F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1412488" y="0"/>
          <a:ext cx="473928" cy="370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1100667</xdr:colOff>
      <xdr:row>0</xdr:row>
      <xdr:rowOff>8467</xdr:rowOff>
    </xdr:from>
    <xdr:to>
      <xdr:col>0</xdr:col>
      <xdr:colOff>1566334</xdr:colOff>
      <xdr:row>2</xdr:row>
      <xdr:rowOff>23727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4471D9D-18D5-4CC2-986E-296B7046C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1100667" y="8467"/>
          <a:ext cx="465667" cy="3708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1035170</xdr:colOff>
      <xdr:row>0</xdr:row>
      <xdr:rowOff>0</xdr:rowOff>
    </xdr:from>
    <xdr:to>
      <xdr:col>0</xdr:col>
      <xdr:colOff>1509098</xdr:colOff>
      <xdr:row>2</xdr:row>
      <xdr:rowOff>11426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CEB746-6BC1-466C-823B-03BFA93E3A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1035170" y="0"/>
          <a:ext cx="473928" cy="3708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1234440</xdr:colOff>
      <xdr:row>0</xdr:row>
      <xdr:rowOff>0</xdr:rowOff>
    </xdr:from>
    <xdr:to>
      <xdr:col>0</xdr:col>
      <xdr:colOff>1708368</xdr:colOff>
      <xdr:row>3</xdr:row>
      <xdr:rowOff>5100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C38D8EE-0AB0-45D5-8294-C4576CB528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1234440" y="0"/>
          <a:ext cx="473928" cy="3708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487327</xdr:colOff>
      <xdr:row>0</xdr:row>
      <xdr:rowOff>79744</xdr:rowOff>
    </xdr:from>
    <xdr:to>
      <xdr:col>2</xdr:col>
      <xdr:colOff>172673</xdr:colOff>
      <xdr:row>3</xdr:row>
      <xdr:rowOff>16441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B7FA04F-A5D4-4F2E-B63F-88B620514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797443" y="79744"/>
          <a:ext cx="473928" cy="37086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</xdr:row>
      <xdr:rowOff>53163</xdr:rowOff>
    </xdr:from>
    <xdr:to>
      <xdr:col>11</xdr:col>
      <xdr:colOff>690</xdr:colOff>
      <xdr:row>18</xdr:row>
      <xdr:rowOff>100812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72E32E6C-F9D1-42C2-9389-6FA749124582}"/>
            </a:ext>
          </a:extLst>
        </xdr:cNvPr>
        <xdr:cNvCxnSpPr/>
      </xdr:nvCxnSpPr>
      <xdr:spPr>
        <a:xfrm>
          <a:off x="38100" y="2542363"/>
          <a:ext cx="10325790" cy="5048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10633</xdr:colOff>
      <xdr:row>23</xdr:row>
      <xdr:rowOff>28353</xdr:rowOff>
    </xdr:from>
    <xdr:to>
      <xdr:col>10</xdr:col>
      <xdr:colOff>1852823</xdr:colOff>
      <xdr:row>26</xdr:row>
      <xdr:rowOff>76002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79AA9EBD-849A-44D3-92EC-80D45517D325}"/>
            </a:ext>
          </a:extLst>
        </xdr:cNvPr>
        <xdr:cNvCxnSpPr/>
      </xdr:nvCxnSpPr>
      <xdr:spPr>
        <a:xfrm>
          <a:off x="10633" y="3891516"/>
          <a:ext cx="10303934" cy="4995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1234440</xdr:colOff>
      <xdr:row>0</xdr:row>
      <xdr:rowOff>38100</xdr:rowOff>
    </xdr:from>
    <xdr:to>
      <xdr:col>0</xdr:col>
      <xdr:colOff>1708368</xdr:colOff>
      <xdr:row>2</xdr:row>
      <xdr:rowOff>43200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942FD7E-0F48-45FD-91F8-21A684CEE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1234440" y="38100"/>
          <a:ext cx="473928" cy="3708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22860</xdr:rowOff>
    </xdr:from>
    <xdr:to>
      <xdr:col>29</xdr:col>
      <xdr:colOff>320040</xdr:colOff>
      <xdr:row>16</xdr:row>
      <xdr:rowOff>152400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8FD727B7-2762-4087-BB1A-E8B7781D02F0}"/>
            </a:ext>
          </a:extLst>
        </xdr:cNvPr>
        <xdr:cNvCxnSpPr/>
      </xdr:nvCxnSpPr>
      <xdr:spPr>
        <a:xfrm>
          <a:off x="0" y="3200400"/>
          <a:ext cx="9829800" cy="4343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30480</xdr:rowOff>
    </xdr:from>
    <xdr:to>
      <xdr:col>29</xdr:col>
      <xdr:colOff>304800</xdr:colOff>
      <xdr:row>22</xdr:row>
      <xdr:rowOff>160020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3792477-F1B5-4BF4-97DA-532F9D0BBF63}"/>
            </a:ext>
          </a:extLst>
        </xdr:cNvPr>
        <xdr:cNvCxnSpPr/>
      </xdr:nvCxnSpPr>
      <xdr:spPr>
        <a:xfrm>
          <a:off x="0" y="3703320"/>
          <a:ext cx="9814560" cy="1028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439270</xdr:colOff>
      <xdr:row>0</xdr:row>
      <xdr:rowOff>26894</xdr:rowOff>
    </xdr:from>
    <xdr:to>
      <xdr:col>2</xdr:col>
      <xdr:colOff>124304</xdr:colOff>
      <xdr:row>2</xdr:row>
      <xdr:rowOff>3307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D7C2412-6ED7-4EF5-835B-C16F3588D2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681317" y="26894"/>
          <a:ext cx="473928" cy="3708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347134</xdr:colOff>
      <xdr:row>0</xdr:row>
      <xdr:rowOff>42333</xdr:rowOff>
    </xdr:from>
    <xdr:to>
      <xdr:col>2</xdr:col>
      <xdr:colOff>75995</xdr:colOff>
      <xdr:row>2</xdr:row>
      <xdr:rowOff>40660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8A2800E-987C-41BA-AD16-3A30D5B979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694267" y="42333"/>
          <a:ext cx="473928" cy="3708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2</xdr:col>
      <xdr:colOff>121503</xdr:colOff>
      <xdr:row>2</xdr:row>
      <xdr:rowOff>8910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DD10C2C-7629-4D33-A894-AD4B2C790D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590550" y="0"/>
          <a:ext cx="473928" cy="37086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13</xdr:row>
      <xdr:rowOff>9525</xdr:rowOff>
    </xdr:from>
    <xdr:to>
      <xdr:col>12</xdr:col>
      <xdr:colOff>1685925</xdr:colOff>
      <xdr:row>16</xdr:row>
      <xdr:rowOff>142875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2FD67B22-83AD-4B52-8903-67DCB844C106}"/>
            </a:ext>
          </a:extLst>
        </xdr:cNvPr>
        <xdr:cNvCxnSpPr/>
      </xdr:nvCxnSpPr>
      <xdr:spPr>
        <a:xfrm>
          <a:off x="57150" y="2657475"/>
          <a:ext cx="9505950" cy="676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0</xdr:row>
      <xdr:rowOff>19050</xdr:rowOff>
    </xdr:from>
    <xdr:to>
      <xdr:col>2</xdr:col>
      <xdr:colOff>464403</xdr:colOff>
      <xdr:row>2</xdr:row>
      <xdr:rowOff>27960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8F86B94-5403-4C89-B497-C84A4C7D3E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1057275" y="19050"/>
          <a:ext cx="473928" cy="3708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23</xdr:row>
      <xdr:rowOff>0</xdr:rowOff>
    </xdr:from>
    <xdr:to>
      <xdr:col>20</xdr:col>
      <xdr:colOff>85725</xdr:colOff>
      <xdr:row>24</xdr:row>
      <xdr:rowOff>58937</xdr:rowOff>
    </xdr:to>
    <xdr:sp macro="" textlink="">
      <xdr:nvSpPr>
        <xdr:cNvPr id="7" name="Text Box 344">
          <a:extLst>
            <a:ext uri="{FF2B5EF4-FFF2-40B4-BE49-F238E27FC236}">
              <a16:creationId xmlns:a16="http://schemas.microsoft.com/office/drawing/2014/main" id="{3320DF05-34D3-4C26-9BAB-9A6C713A0131}"/>
            </a:ext>
          </a:extLst>
        </xdr:cNvPr>
        <xdr:cNvSpPr txBox="1">
          <a:spLocks noChangeArrowheads="1"/>
        </xdr:cNvSpPr>
      </xdr:nvSpPr>
      <xdr:spPr bwMode="auto">
        <a:xfrm>
          <a:off x="15367000" y="6162675"/>
          <a:ext cx="85725" cy="279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85725</xdr:colOff>
      <xdr:row>24</xdr:row>
      <xdr:rowOff>81531</xdr:rowOff>
    </xdr:to>
    <xdr:sp macro="" textlink="">
      <xdr:nvSpPr>
        <xdr:cNvPr id="5" name="Text Box 344">
          <a:extLst>
            <a:ext uri="{FF2B5EF4-FFF2-40B4-BE49-F238E27FC236}">
              <a16:creationId xmlns:a16="http://schemas.microsoft.com/office/drawing/2014/main" id="{4BE1B6B6-A7D6-43BB-9E67-174F063E060A}"/>
            </a:ext>
          </a:extLst>
        </xdr:cNvPr>
        <xdr:cNvSpPr txBox="1">
          <a:spLocks noChangeArrowheads="1"/>
        </xdr:cNvSpPr>
      </xdr:nvSpPr>
      <xdr:spPr bwMode="auto">
        <a:xfrm>
          <a:off x="7715250" y="4762500"/>
          <a:ext cx="857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18</xdr:col>
      <xdr:colOff>0</xdr:colOff>
      <xdr:row>23</xdr:row>
      <xdr:rowOff>0</xdr:rowOff>
    </xdr:from>
    <xdr:ext cx="85725" cy="279031"/>
    <xdr:sp macro="" textlink="">
      <xdr:nvSpPr>
        <xdr:cNvPr id="6" name="Text Box 344">
          <a:extLst>
            <a:ext uri="{FF2B5EF4-FFF2-40B4-BE49-F238E27FC236}">
              <a16:creationId xmlns:a16="http://schemas.microsoft.com/office/drawing/2014/main" id="{C9226642-407C-4A3F-B035-CEF56F9B34BA}"/>
            </a:ext>
          </a:extLst>
        </xdr:cNvPr>
        <xdr:cNvSpPr txBox="1">
          <a:spLocks noChangeArrowheads="1"/>
        </xdr:cNvSpPr>
      </xdr:nvSpPr>
      <xdr:spPr bwMode="auto">
        <a:xfrm>
          <a:off x="15671800" y="5667375"/>
          <a:ext cx="85725" cy="279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183266</xdr:colOff>
      <xdr:row>0</xdr:row>
      <xdr:rowOff>38582</xdr:rowOff>
    </xdr:from>
    <xdr:to>
      <xdr:col>2</xdr:col>
      <xdr:colOff>657194</xdr:colOff>
      <xdr:row>2</xdr:row>
      <xdr:rowOff>42910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6CC1A40-92DC-4C38-B691-89401C52C4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1302152" y="38582"/>
          <a:ext cx="473928" cy="3708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417534</xdr:colOff>
      <xdr:row>0</xdr:row>
      <xdr:rowOff>41754</xdr:rowOff>
    </xdr:from>
    <xdr:to>
      <xdr:col>2</xdr:col>
      <xdr:colOff>171215</xdr:colOff>
      <xdr:row>2</xdr:row>
      <xdr:rowOff>36833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81972B4-56E6-41E8-A7CE-96EF982123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751561" y="41754"/>
          <a:ext cx="473928" cy="3708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400050</xdr:colOff>
      <xdr:row>17</xdr:row>
      <xdr:rowOff>0</xdr:rowOff>
    </xdr:from>
    <xdr:ext cx="85725" cy="28575"/>
    <xdr:sp macro="" textlink="">
      <xdr:nvSpPr>
        <xdr:cNvPr id="4" name="Text Box 34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514350" y="1466850"/>
          <a:ext cx="857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400050</xdr:colOff>
      <xdr:row>17</xdr:row>
      <xdr:rowOff>0</xdr:rowOff>
    </xdr:from>
    <xdr:ext cx="85725" cy="28575"/>
    <xdr:sp macro="" textlink="">
      <xdr:nvSpPr>
        <xdr:cNvPr id="5" name="Text Box 34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 txBox="1">
          <a:spLocks noChangeArrowheads="1"/>
        </xdr:cNvSpPr>
      </xdr:nvSpPr>
      <xdr:spPr bwMode="auto">
        <a:xfrm>
          <a:off x="514350" y="1466850"/>
          <a:ext cx="8572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59267</xdr:colOff>
      <xdr:row>0</xdr:row>
      <xdr:rowOff>0</xdr:rowOff>
    </xdr:from>
    <xdr:to>
      <xdr:col>2</xdr:col>
      <xdr:colOff>533195</xdr:colOff>
      <xdr:row>2</xdr:row>
      <xdr:rowOff>6793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0A579F8-2609-40C5-A8B9-F105C7A849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905934" y="0"/>
          <a:ext cx="473928" cy="370860"/>
        </a:xfrm>
        <a:prstGeom prst="rect">
          <a:avLst/>
        </a:prstGeom>
      </xdr:spPr>
    </xdr:pic>
    <xdr:clientData/>
  </xdr:twoCellAnchor>
  <xdr:twoCellAnchor>
    <xdr:from>
      <xdr:col>0</xdr:col>
      <xdr:colOff>42334</xdr:colOff>
      <xdr:row>14</xdr:row>
      <xdr:rowOff>42333</xdr:rowOff>
    </xdr:from>
    <xdr:to>
      <xdr:col>14</xdr:col>
      <xdr:colOff>905933</xdr:colOff>
      <xdr:row>16</xdr:row>
      <xdr:rowOff>143934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53B059F8-3285-457C-B169-95802A54E376}"/>
            </a:ext>
          </a:extLst>
        </xdr:cNvPr>
        <xdr:cNvCxnSpPr/>
      </xdr:nvCxnSpPr>
      <xdr:spPr>
        <a:xfrm>
          <a:off x="42334" y="2540000"/>
          <a:ext cx="10473266" cy="4402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33867</xdr:colOff>
      <xdr:row>20</xdr:row>
      <xdr:rowOff>25400</xdr:rowOff>
    </xdr:from>
    <xdr:to>
      <xdr:col>13</xdr:col>
      <xdr:colOff>1253067</xdr:colOff>
      <xdr:row>23</xdr:row>
      <xdr:rowOff>101600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C7A7110A-AAAC-40C1-81F2-536056F741E9}"/>
            </a:ext>
          </a:extLst>
        </xdr:cNvPr>
        <xdr:cNvCxnSpPr/>
      </xdr:nvCxnSpPr>
      <xdr:spPr>
        <a:xfrm>
          <a:off x="33867" y="3801533"/>
          <a:ext cx="9550400" cy="584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205740</xdr:colOff>
      <xdr:row>0</xdr:row>
      <xdr:rowOff>22860</xdr:rowOff>
    </xdr:from>
    <xdr:to>
      <xdr:col>2</xdr:col>
      <xdr:colOff>679668</xdr:colOff>
      <xdr:row>2</xdr:row>
      <xdr:rowOff>50820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A26A34-B609-46DD-8B2E-C459BCF6C9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1295400" y="22860"/>
          <a:ext cx="473928" cy="3708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177800</xdr:colOff>
      <xdr:row>0</xdr:row>
      <xdr:rowOff>0</xdr:rowOff>
    </xdr:from>
    <xdr:to>
      <xdr:col>2</xdr:col>
      <xdr:colOff>651728</xdr:colOff>
      <xdr:row>2</xdr:row>
      <xdr:rowOff>6793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922E7E5-77E6-4F37-A209-BE6B0EB389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1270000" y="0"/>
          <a:ext cx="473928" cy="3708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364067</xdr:colOff>
      <xdr:row>0</xdr:row>
      <xdr:rowOff>16933</xdr:rowOff>
    </xdr:from>
    <xdr:to>
      <xdr:col>2</xdr:col>
      <xdr:colOff>837995</xdr:colOff>
      <xdr:row>2</xdr:row>
      <xdr:rowOff>15260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651E7A0-380C-4147-9650-BD40AAF2AE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1532467" y="16933"/>
          <a:ext cx="473928" cy="370860"/>
        </a:xfrm>
        <a:prstGeom prst="rect">
          <a:avLst/>
        </a:prstGeom>
      </xdr:spPr>
    </xdr:pic>
    <xdr:clientData/>
  </xdr:twoCellAnchor>
  <xdr:twoCellAnchor>
    <xdr:from>
      <xdr:col>0</xdr:col>
      <xdr:colOff>67733</xdr:colOff>
      <xdr:row>14</xdr:row>
      <xdr:rowOff>25400</xdr:rowOff>
    </xdr:from>
    <xdr:to>
      <xdr:col>12</xdr:col>
      <xdr:colOff>389467</xdr:colOff>
      <xdr:row>16</xdr:row>
      <xdr:rowOff>152400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646B852F-BF9C-4031-9AB7-FFF861891DDB}"/>
            </a:ext>
          </a:extLst>
        </xdr:cNvPr>
        <xdr:cNvCxnSpPr/>
      </xdr:nvCxnSpPr>
      <xdr:spPr>
        <a:xfrm>
          <a:off x="67733" y="2751667"/>
          <a:ext cx="10303934" cy="4995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135466</xdr:colOff>
      <xdr:row>19</xdr:row>
      <xdr:rowOff>16934</xdr:rowOff>
    </xdr:from>
    <xdr:to>
      <xdr:col>12</xdr:col>
      <xdr:colOff>457200</xdr:colOff>
      <xdr:row>21</xdr:row>
      <xdr:rowOff>143934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B6B86653-8E98-4E04-BF70-38DF93477A54}"/>
            </a:ext>
          </a:extLst>
        </xdr:cNvPr>
        <xdr:cNvCxnSpPr/>
      </xdr:nvCxnSpPr>
      <xdr:spPr>
        <a:xfrm>
          <a:off x="135466" y="3903134"/>
          <a:ext cx="10303934" cy="4995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177799</xdr:colOff>
      <xdr:row>0</xdr:row>
      <xdr:rowOff>0</xdr:rowOff>
    </xdr:from>
    <xdr:to>
      <xdr:col>2</xdr:col>
      <xdr:colOff>651727</xdr:colOff>
      <xdr:row>2</xdr:row>
      <xdr:rowOff>6793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394A37B-3CBB-431B-9DAA-1868AC1E26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1278466" y="0"/>
          <a:ext cx="473928" cy="370860"/>
        </a:xfrm>
        <a:prstGeom prst="rect">
          <a:avLst/>
        </a:prstGeom>
      </xdr:spPr>
    </xdr:pic>
    <xdr:clientData/>
  </xdr:twoCellAnchor>
  <xdr:twoCellAnchor>
    <xdr:from>
      <xdr:col>0</xdr:col>
      <xdr:colOff>50800</xdr:colOff>
      <xdr:row>13</xdr:row>
      <xdr:rowOff>25400</xdr:rowOff>
    </xdr:from>
    <xdr:to>
      <xdr:col>12</xdr:col>
      <xdr:colOff>2099734</xdr:colOff>
      <xdr:row>14</xdr:row>
      <xdr:rowOff>135466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A3DD7ABF-7B67-44DF-A35C-721683DAC94F}"/>
            </a:ext>
          </a:extLst>
        </xdr:cNvPr>
        <xdr:cNvCxnSpPr/>
      </xdr:nvCxnSpPr>
      <xdr:spPr>
        <a:xfrm>
          <a:off x="50800" y="2387600"/>
          <a:ext cx="11311467" cy="2709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39</xdr:row>
      <xdr:rowOff>142875</xdr:rowOff>
    </xdr:from>
    <xdr:to>
      <xdr:col>12</xdr:col>
      <xdr:colOff>85725</xdr:colOff>
      <xdr:row>41</xdr:row>
      <xdr:rowOff>95249</xdr:rowOff>
    </xdr:to>
    <xdr:sp macro="" textlink="">
      <xdr:nvSpPr>
        <xdr:cNvPr id="4" name="Text Box 344">
          <a:extLst>
            <a:ext uri="{FF2B5EF4-FFF2-40B4-BE49-F238E27FC236}">
              <a16:creationId xmlns:a16="http://schemas.microsoft.com/office/drawing/2014/main" id="{4EF81401-81D3-415F-8007-2ACCBC89F383}"/>
            </a:ext>
          </a:extLst>
        </xdr:cNvPr>
        <xdr:cNvSpPr txBox="1">
          <a:spLocks noChangeArrowheads="1"/>
        </xdr:cNvSpPr>
      </xdr:nvSpPr>
      <xdr:spPr bwMode="auto">
        <a:xfrm>
          <a:off x="11410950" y="4752975"/>
          <a:ext cx="857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83820</xdr:colOff>
      <xdr:row>0</xdr:row>
      <xdr:rowOff>0</xdr:rowOff>
    </xdr:from>
    <xdr:to>
      <xdr:col>2</xdr:col>
      <xdr:colOff>557748</xdr:colOff>
      <xdr:row>2</xdr:row>
      <xdr:rowOff>27960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199A4A0-12F9-48A5-A8E9-2F5DD7B26C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53" b="11585"/>
        <a:stretch/>
      </xdr:blipFill>
      <xdr:spPr>
        <a:xfrm>
          <a:off x="1028700" y="0"/>
          <a:ext cx="473928" cy="37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Foxporte007@gmail.com" TargetMode="External"/><Relationship Id="rId18" Type="http://schemas.openxmlformats.org/officeDocument/2006/relationships/hyperlink" Target="mailto:reclutacali19855@gmail.com" TargetMode="External"/><Relationship Id="rId26" Type="http://schemas.openxmlformats.org/officeDocument/2006/relationships/hyperlink" Target="mailto:Cristianalmendras96@" TargetMode="External"/><Relationship Id="rId39" Type="http://schemas.openxmlformats.org/officeDocument/2006/relationships/hyperlink" Target="mailto:wilmer2019mita2020@gmail.com" TargetMode="External"/><Relationship Id="rId21" Type="http://schemas.openxmlformats.org/officeDocument/2006/relationships/hyperlink" Target="mailto:blade.vbmq@gmail.com" TargetMode="External"/><Relationship Id="rId34" Type="http://schemas.openxmlformats.org/officeDocument/2006/relationships/hyperlink" Target="mailto:mirandaallcoserangel@gmail.com" TargetMode="External"/><Relationship Id="rId42" Type="http://schemas.openxmlformats.org/officeDocument/2006/relationships/hyperlink" Target="mailto:JONHNY1509@GMAIL.COM" TargetMode="External"/><Relationship Id="rId47" Type="http://schemas.openxmlformats.org/officeDocument/2006/relationships/printerSettings" Target="../printerSettings/printerSettings11.bin"/><Relationship Id="rId7" Type="http://schemas.openxmlformats.org/officeDocument/2006/relationships/hyperlink" Target="mailto:alvarezespejof@gmail.com" TargetMode="External"/><Relationship Id="rId2" Type="http://schemas.openxmlformats.org/officeDocument/2006/relationships/hyperlink" Target="mailto:josealberto1912paz@gmail.com" TargetMode="External"/><Relationship Id="rId16" Type="http://schemas.openxmlformats.org/officeDocument/2006/relationships/hyperlink" Target="mailto:Fenix261187@gmail.com" TargetMode="External"/><Relationship Id="rId29" Type="http://schemas.openxmlformats.org/officeDocument/2006/relationships/hyperlink" Target="mailto:DominicSadirmorales123@gmail.com" TargetMode="External"/><Relationship Id="rId1" Type="http://schemas.openxmlformats.org/officeDocument/2006/relationships/hyperlink" Target="mailto:mendoza7277293@gmail.com" TargetMode="External"/><Relationship Id="rId6" Type="http://schemas.openxmlformats.org/officeDocument/2006/relationships/hyperlink" Target="mailto:eliceoarellano1234@gmail.com" TargetMode="External"/><Relationship Id="rId11" Type="http://schemas.openxmlformats.org/officeDocument/2006/relationships/hyperlink" Target="mailto:marcoschino2020@gmail.com" TargetMode="External"/><Relationship Id="rId24" Type="http://schemas.openxmlformats.org/officeDocument/2006/relationships/hyperlink" Target="mailto:henrry.blac.20160y@gmail.com" TargetMode="External"/><Relationship Id="rId32" Type="http://schemas.openxmlformats.org/officeDocument/2006/relationships/hyperlink" Target="mailto:mtorreznina39@gmail.com" TargetMode="External"/><Relationship Id="rId37" Type="http://schemas.openxmlformats.org/officeDocument/2006/relationships/hyperlink" Target="mailto:el_ad_bueno98@hotmail.com" TargetMode="External"/><Relationship Id="rId40" Type="http://schemas.openxmlformats.org/officeDocument/2006/relationships/hyperlink" Target="mailto:almagrodiego50@gmail.com" TargetMode="External"/><Relationship Id="rId45" Type="http://schemas.openxmlformats.org/officeDocument/2006/relationships/hyperlink" Target="mailto:rogerq835@gmail.com" TargetMode="External"/><Relationship Id="rId5" Type="http://schemas.openxmlformats.org/officeDocument/2006/relationships/hyperlink" Target="mailto:crnlmax1@gmail.com" TargetMode="External"/><Relationship Id="rId15" Type="http://schemas.openxmlformats.org/officeDocument/2006/relationships/hyperlink" Target="mailto:juan01Sep92@gmail.com" TargetMode="External"/><Relationship Id="rId23" Type="http://schemas.openxmlformats.org/officeDocument/2006/relationships/hyperlink" Target="mailto:freddyticonanina@gmail.com" TargetMode="External"/><Relationship Id="rId28" Type="http://schemas.openxmlformats.org/officeDocument/2006/relationships/hyperlink" Target="mailto:MiguelVidaurreMendoza@gmail.com" TargetMode="External"/><Relationship Id="rId36" Type="http://schemas.openxmlformats.org/officeDocument/2006/relationships/hyperlink" Target="mailto:samuelmaqueralarico@gmail.com" TargetMode="External"/><Relationship Id="rId10" Type="http://schemas.openxmlformats.org/officeDocument/2006/relationships/hyperlink" Target="mailto:Milanjav2511@gmail.com" TargetMode="External"/><Relationship Id="rId19" Type="http://schemas.openxmlformats.org/officeDocument/2006/relationships/hyperlink" Target="mailto:ISIDOROGUTIERREZMORALES@gmail.com" TargetMode="External"/><Relationship Id="rId31" Type="http://schemas.openxmlformats.org/officeDocument/2006/relationships/hyperlink" Target="mailto:Me109cito.jlt@gmail.com" TargetMode="External"/><Relationship Id="rId44" Type="http://schemas.openxmlformats.org/officeDocument/2006/relationships/hyperlink" Target="mailto:ramosmaisman.er@gmail.com" TargetMode="External"/><Relationship Id="rId4" Type="http://schemas.openxmlformats.org/officeDocument/2006/relationships/hyperlink" Target="mailto:Osinhoosinio@gmail.com" TargetMode="External"/><Relationship Id="rId9" Type="http://schemas.openxmlformats.org/officeDocument/2006/relationships/hyperlink" Target="mailto:joseluisalanocaapaza910@gmail.com" TargetMode="External"/><Relationship Id="rId14" Type="http://schemas.openxmlformats.org/officeDocument/2006/relationships/hyperlink" Target="mailto:boriscolquelimachy@gmail.com" TargetMode="External"/><Relationship Id="rId22" Type="http://schemas.openxmlformats.org/officeDocument/2006/relationships/hyperlink" Target="mailto:jhonnyarunicamargo@gmail.com" TargetMode="External"/><Relationship Id="rId27" Type="http://schemas.openxmlformats.org/officeDocument/2006/relationships/hyperlink" Target="mailto:nelber78540898@gmail.com" TargetMode="External"/><Relationship Id="rId30" Type="http://schemas.openxmlformats.org/officeDocument/2006/relationships/hyperlink" Target="mailto:samuelqintanillaFlores936@gmail.com" TargetMode="External"/><Relationship Id="rId35" Type="http://schemas.openxmlformats.org/officeDocument/2006/relationships/hyperlink" Target="mailto:marymar1998rosas15@gmail.com" TargetMode="External"/><Relationship Id="rId43" Type="http://schemas.openxmlformats.org/officeDocument/2006/relationships/hyperlink" Target="mailto:garrasdelvalor11@gmail.com" TargetMode="External"/><Relationship Id="rId48" Type="http://schemas.openxmlformats.org/officeDocument/2006/relationships/drawing" Target="../drawings/drawing11.xml"/><Relationship Id="rId8" Type="http://schemas.openxmlformats.org/officeDocument/2006/relationships/hyperlink" Target="mailto:nicolasqui@hotmail.com" TargetMode="External"/><Relationship Id="rId3" Type="http://schemas.openxmlformats.org/officeDocument/2006/relationships/hyperlink" Target="mailto:cintiatejerinarojas123@gmail.com" TargetMode="External"/><Relationship Id="rId12" Type="http://schemas.openxmlformats.org/officeDocument/2006/relationships/hyperlink" Target="mailto:torrezzito@gmail.com" TargetMode="External"/><Relationship Id="rId17" Type="http://schemas.openxmlformats.org/officeDocument/2006/relationships/hyperlink" Target="mailto:monzon1974franklin@gmail.com" TargetMode="External"/><Relationship Id="rId25" Type="http://schemas.openxmlformats.org/officeDocument/2006/relationships/hyperlink" Target="mailto:perezchavez76669414@gmail.com" TargetMode="External"/><Relationship Id="rId33" Type="http://schemas.openxmlformats.org/officeDocument/2006/relationships/hyperlink" Target="mailto:titoleniz2406@gmail.com" TargetMode="External"/><Relationship Id="rId38" Type="http://schemas.openxmlformats.org/officeDocument/2006/relationships/hyperlink" Target="mailto:eliancondoriacho@gmail.com" TargetMode="External"/><Relationship Id="rId46" Type="http://schemas.openxmlformats.org/officeDocument/2006/relationships/hyperlink" Target="mailto:marcovicentemamani632@gmail.com" TargetMode="External"/><Relationship Id="rId20" Type="http://schemas.openxmlformats.org/officeDocument/2006/relationships/hyperlink" Target="mailto:gimenavillegasmamani@gmail.com" TargetMode="External"/><Relationship Id="rId41" Type="http://schemas.openxmlformats.org/officeDocument/2006/relationships/hyperlink" Target="mailto:Mikiaguilarcruz@hot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mailto:Foxporte007@gmail.com" TargetMode="External"/><Relationship Id="rId18" Type="http://schemas.openxmlformats.org/officeDocument/2006/relationships/hyperlink" Target="mailto:Mikiaguilarcruz@hotmail.com" TargetMode="External"/><Relationship Id="rId26" Type="http://schemas.openxmlformats.org/officeDocument/2006/relationships/hyperlink" Target="mailto:Cristianalmendras96@" TargetMode="External"/><Relationship Id="rId39" Type="http://schemas.openxmlformats.org/officeDocument/2006/relationships/hyperlink" Target="mailto:wilmer2019mita2020@gmail.com" TargetMode="External"/><Relationship Id="rId21" Type="http://schemas.openxmlformats.org/officeDocument/2006/relationships/hyperlink" Target="mailto:blade.vbmq@gmail.com" TargetMode="External"/><Relationship Id="rId34" Type="http://schemas.openxmlformats.org/officeDocument/2006/relationships/hyperlink" Target="mailto:marymar1998rosas15@gmail.com" TargetMode="External"/><Relationship Id="rId42" Type="http://schemas.openxmlformats.org/officeDocument/2006/relationships/hyperlink" Target="mailto:JONHNY1509@GMAIL.COM" TargetMode="External"/><Relationship Id="rId47" Type="http://schemas.openxmlformats.org/officeDocument/2006/relationships/printerSettings" Target="../printerSettings/printerSettings18.bin"/><Relationship Id="rId7" Type="http://schemas.openxmlformats.org/officeDocument/2006/relationships/hyperlink" Target="mailto:alvarezespejof@gmail.com" TargetMode="External"/><Relationship Id="rId2" Type="http://schemas.openxmlformats.org/officeDocument/2006/relationships/hyperlink" Target="mailto:josealberto1912paz@gmail.com" TargetMode="External"/><Relationship Id="rId16" Type="http://schemas.openxmlformats.org/officeDocument/2006/relationships/hyperlink" Target="mailto:monzon1974franklin@gmail.com" TargetMode="External"/><Relationship Id="rId29" Type="http://schemas.openxmlformats.org/officeDocument/2006/relationships/hyperlink" Target="mailto:DominicSadirmorales123@gmail.com" TargetMode="External"/><Relationship Id="rId1" Type="http://schemas.openxmlformats.org/officeDocument/2006/relationships/hyperlink" Target="mailto:mendoza7277293@gmail.com" TargetMode="External"/><Relationship Id="rId6" Type="http://schemas.openxmlformats.org/officeDocument/2006/relationships/hyperlink" Target="mailto:eliceoarellano1234@gmail.com" TargetMode="External"/><Relationship Id="rId11" Type="http://schemas.openxmlformats.org/officeDocument/2006/relationships/hyperlink" Target="mailto:marcoschino2020@gmail.com" TargetMode="External"/><Relationship Id="rId24" Type="http://schemas.openxmlformats.org/officeDocument/2006/relationships/hyperlink" Target="mailto:henrry.blac.20160y@gmail.com" TargetMode="External"/><Relationship Id="rId32" Type="http://schemas.openxmlformats.org/officeDocument/2006/relationships/hyperlink" Target="mailto:mtorreznina39@gmail.com" TargetMode="External"/><Relationship Id="rId37" Type="http://schemas.openxmlformats.org/officeDocument/2006/relationships/hyperlink" Target="mailto:eliancondoriacho@gmail.com" TargetMode="External"/><Relationship Id="rId40" Type="http://schemas.openxmlformats.org/officeDocument/2006/relationships/hyperlink" Target="mailto:almagrodiego50@gmail.com" TargetMode="External"/><Relationship Id="rId45" Type="http://schemas.openxmlformats.org/officeDocument/2006/relationships/hyperlink" Target="mailto:marcovicentemamani632@gmail.com" TargetMode="External"/><Relationship Id="rId5" Type="http://schemas.openxmlformats.org/officeDocument/2006/relationships/hyperlink" Target="mailto:crnlmax1@gmail.com" TargetMode="External"/><Relationship Id="rId15" Type="http://schemas.openxmlformats.org/officeDocument/2006/relationships/hyperlink" Target="mailto:Fenix261187@gmail.com" TargetMode="External"/><Relationship Id="rId23" Type="http://schemas.openxmlformats.org/officeDocument/2006/relationships/hyperlink" Target="mailto:freddyticonanina@gmail.com" TargetMode="External"/><Relationship Id="rId28" Type="http://schemas.openxmlformats.org/officeDocument/2006/relationships/hyperlink" Target="mailto:MiguelVidaurreMendoza@gmail.com" TargetMode="External"/><Relationship Id="rId36" Type="http://schemas.openxmlformats.org/officeDocument/2006/relationships/hyperlink" Target="mailto:el_ad_bueno98@hotmail.com" TargetMode="External"/><Relationship Id="rId10" Type="http://schemas.openxmlformats.org/officeDocument/2006/relationships/hyperlink" Target="mailto:Milanjav2511@gmail.com" TargetMode="External"/><Relationship Id="rId19" Type="http://schemas.openxmlformats.org/officeDocument/2006/relationships/hyperlink" Target="mailto:ISIDOROGUTIERREZMORALES@gmail.com" TargetMode="External"/><Relationship Id="rId31" Type="http://schemas.openxmlformats.org/officeDocument/2006/relationships/hyperlink" Target="mailto:Me109cito.jlt@gmail.com" TargetMode="External"/><Relationship Id="rId44" Type="http://schemas.openxmlformats.org/officeDocument/2006/relationships/hyperlink" Target="mailto:ramosmaisman.er@gmail.com" TargetMode="External"/><Relationship Id="rId4" Type="http://schemas.openxmlformats.org/officeDocument/2006/relationships/hyperlink" Target="mailto:Osinhoosinio@gmail.com" TargetMode="External"/><Relationship Id="rId9" Type="http://schemas.openxmlformats.org/officeDocument/2006/relationships/hyperlink" Target="mailto:joseluisalanocaapaza910@gmail.com" TargetMode="External"/><Relationship Id="rId14" Type="http://schemas.openxmlformats.org/officeDocument/2006/relationships/hyperlink" Target="mailto:boriscolquelimachy@gmail.com" TargetMode="External"/><Relationship Id="rId22" Type="http://schemas.openxmlformats.org/officeDocument/2006/relationships/hyperlink" Target="mailto:jhonnyarunicamargo@gmail.com" TargetMode="External"/><Relationship Id="rId27" Type="http://schemas.openxmlformats.org/officeDocument/2006/relationships/hyperlink" Target="mailto:nelber78540898@gmail.com" TargetMode="External"/><Relationship Id="rId30" Type="http://schemas.openxmlformats.org/officeDocument/2006/relationships/hyperlink" Target="mailto:samuelqintanillaFlores936@gmail.com" TargetMode="External"/><Relationship Id="rId35" Type="http://schemas.openxmlformats.org/officeDocument/2006/relationships/hyperlink" Target="mailto:samuelmaqueralarico@gmail.com" TargetMode="External"/><Relationship Id="rId43" Type="http://schemas.openxmlformats.org/officeDocument/2006/relationships/hyperlink" Target="mailto:garrasdelvalor11@gmail.com" TargetMode="External"/><Relationship Id="rId48" Type="http://schemas.openxmlformats.org/officeDocument/2006/relationships/drawing" Target="../drawings/drawing18.xml"/><Relationship Id="rId8" Type="http://schemas.openxmlformats.org/officeDocument/2006/relationships/hyperlink" Target="mailto:nicolasqui@hotmail.com" TargetMode="External"/><Relationship Id="rId3" Type="http://schemas.openxmlformats.org/officeDocument/2006/relationships/hyperlink" Target="mailto:cintiatejerinarojas123@gmail.com" TargetMode="External"/><Relationship Id="rId12" Type="http://schemas.openxmlformats.org/officeDocument/2006/relationships/hyperlink" Target="mailto:torrezzito@gmail.com" TargetMode="External"/><Relationship Id="rId17" Type="http://schemas.openxmlformats.org/officeDocument/2006/relationships/hyperlink" Target="mailto:reclutacali19855@gmail.com" TargetMode="External"/><Relationship Id="rId25" Type="http://schemas.openxmlformats.org/officeDocument/2006/relationships/hyperlink" Target="mailto:perezchavez76669414@gmail.com" TargetMode="External"/><Relationship Id="rId33" Type="http://schemas.openxmlformats.org/officeDocument/2006/relationships/hyperlink" Target="mailto:mirandaallcoserangel@gmail.com" TargetMode="External"/><Relationship Id="rId38" Type="http://schemas.openxmlformats.org/officeDocument/2006/relationships/hyperlink" Target="mailto:titoleniz2406@gmail.com" TargetMode="External"/><Relationship Id="rId46" Type="http://schemas.openxmlformats.org/officeDocument/2006/relationships/hyperlink" Target="mailto:rogerq835@gmail.com" TargetMode="External"/><Relationship Id="rId20" Type="http://schemas.openxmlformats.org/officeDocument/2006/relationships/hyperlink" Target="mailto:gimenavillegasmamani@gmail.com" TargetMode="External"/><Relationship Id="rId41" Type="http://schemas.openxmlformats.org/officeDocument/2006/relationships/hyperlink" Target="mailto:juan01Sep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6" tint="0.39997558519241921"/>
  </sheetPr>
  <dimension ref="A1:AF84"/>
  <sheetViews>
    <sheetView view="pageBreakPreview" zoomScale="82" zoomScaleNormal="82" zoomScaleSheetLayoutView="82" workbookViewId="0">
      <selection activeCell="F13" sqref="F13:G13"/>
    </sheetView>
  </sheetViews>
  <sheetFormatPr baseColWidth="10" defaultColWidth="10.7109375" defaultRowHeight="15"/>
  <cols>
    <col min="1" max="1" width="49.42578125" customWidth="1"/>
    <col min="2" max="5" width="3.140625" bestFit="1" customWidth="1"/>
    <col min="6" max="8" width="3.5703125" bestFit="1" customWidth="1"/>
    <col min="9" max="9" width="3.140625" bestFit="1" customWidth="1"/>
    <col min="10" max="11" width="3.5703125" bestFit="1" customWidth="1"/>
    <col min="12" max="12" width="4.140625" customWidth="1"/>
    <col min="13" max="15" width="4.42578125" bestFit="1" customWidth="1"/>
    <col min="16" max="16" width="4.42578125" style="11" bestFit="1" customWidth="1"/>
    <col min="17" max="17" width="4.140625" customWidth="1"/>
    <col min="18" max="18" width="4" customWidth="1"/>
    <col min="19" max="19" width="3.42578125" customWidth="1"/>
    <col min="20" max="30" width="3.140625" bestFit="1" customWidth="1"/>
    <col min="31" max="31" width="5.140625" customWidth="1"/>
    <col min="32" max="32" width="0" hidden="1" customWidth="1"/>
  </cols>
  <sheetData>
    <row r="1" spans="1:32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5"/>
      <c r="Q1" s="2"/>
      <c r="R1" s="2"/>
      <c r="S1" s="2"/>
      <c r="T1" s="2"/>
      <c r="U1" s="2"/>
      <c r="V1" s="2"/>
      <c r="W1" s="2"/>
      <c r="X1" s="13"/>
      <c r="Y1" s="13"/>
      <c r="Z1" s="13"/>
      <c r="AA1" s="13"/>
      <c r="AB1" s="13"/>
      <c r="AC1" s="13"/>
      <c r="AD1" s="13"/>
      <c r="AE1" s="13"/>
    </row>
    <row r="2" spans="1:32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5"/>
      <c r="Q2" s="2"/>
      <c r="R2" s="2"/>
      <c r="S2" s="2"/>
      <c r="T2" s="2"/>
      <c r="U2" s="2"/>
      <c r="V2" s="2"/>
      <c r="W2" s="2"/>
      <c r="X2" s="3"/>
      <c r="Y2" s="3"/>
      <c r="Z2" s="3"/>
      <c r="AA2" s="3"/>
      <c r="AB2" s="3"/>
      <c r="AC2" s="3"/>
      <c r="AD2" s="3"/>
      <c r="AE2" s="3"/>
    </row>
    <row r="3" spans="1:32" ht="11.25" customHeight="1">
      <c r="A3" s="98" t="s">
        <v>1</v>
      </c>
      <c r="B3" s="15"/>
      <c r="C3" s="10"/>
      <c r="D3" s="10"/>
      <c r="E3" s="10"/>
      <c r="F3" s="6"/>
      <c r="G3" s="2"/>
      <c r="H3" s="2"/>
      <c r="I3" s="2"/>
      <c r="J3" s="2"/>
      <c r="K3" s="2"/>
      <c r="L3" s="2"/>
      <c r="M3" s="2"/>
      <c r="N3" s="2"/>
      <c r="O3" s="2"/>
      <c r="P3" s="5"/>
      <c r="Q3" s="2"/>
      <c r="R3" s="2"/>
      <c r="S3" s="2"/>
      <c r="T3" s="2"/>
      <c r="U3" s="2"/>
      <c r="V3" s="2"/>
      <c r="W3" s="2"/>
      <c r="X3" s="5"/>
      <c r="Y3" s="5"/>
      <c r="Z3" s="4"/>
      <c r="AA3" s="4"/>
      <c r="AB3" s="4"/>
      <c r="AC3" s="4"/>
      <c r="AD3" s="4"/>
      <c r="AE3" s="4"/>
    </row>
    <row r="4" spans="1:32" ht="9.75" customHeight="1">
      <c r="A4" s="16" t="s">
        <v>632</v>
      </c>
      <c r="B4" s="16"/>
      <c r="C4" s="9"/>
      <c r="D4" s="9"/>
      <c r="E4" s="9"/>
      <c r="F4" s="2"/>
      <c r="G4" s="2"/>
      <c r="H4" s="2"/>
      <c r="I4" s="2"/>
      <c r="J4" s="2"/>
      <c r="K4" s="2"/>
      <c r="L4" s="2"/>
      <c r="M4" s="2"/>
      <c r="N4" s="2"/>
      <c r="O4" s="2"/>
      <c r="P4" s="5"/>
      <c r="Q4" s="2"/>
      <c r="R4" s="2"/>
      <c r="S4" s="2"/>
      <c r="T4" s="2"/>
      <c r="U4" s="2"/>
      <c r="V4" s="2"/>
      <c r="W4" s="2"/>
      <c r="X4" s="427" t="s">
        <v>2</v>
      </c>
      <c r="Y4" s="427"/>
      <c r="Z4" s="427"/>
      <c r="AA4" s="427"/>
      <c r="AB4" s="427"/>
      <c r="AC4" s="427"/>
      <c r="AD4" s="427"/>
      <c r="AE4" s="427"/>
    </row>
    <row r="5" spans="1:32" ht="9" customHeight="1">
      <c r="A5" s="16" t="s">
        <v>633</v>
      </c>
      <c r="B5" s="16"/>
      <c r="C5" s="9"/>
      <c r="D5" s="9"/>
      <c r="E5" s="9"/>
      <c r="F5" s="2"/>
      <c r="G5" s="2"/>
      <c r="H5" s="2"/>
      <c r="I5" s="2"/>
      <c r="J5" s="2"/>
      <c r="K5" s="2"/>
      <c r="L5" s="2"/>
      <c r="M5" s="2"/>
      <c r="N5" s="2"/>
      <c r="O5" s="2"/>
      <c r="P5" s="5"/>
      <c r="Q5" s="2"/>
      <c r="R5" s="2"/>
      <c r="S5" s="2"/>
      <c r="T5" s="2"/>
      <c r="U5" s="2"/>
      <c r="V5" s="2"/>
      <c r="W5" s="2"/>
      <c r="X5" s="2"/>
      <c r="Y5" s="25"/>
      <c r="Z5" s="25"/>
      <c r="AA5" s="25"/>
      <c r="AB5" s="25"/>
      <c r="AC5" s="25"/>
      <c r="AD5" s="25"/>
      <c r="AE5" s="25"/>
    </row>
    <row r="6" spans="1:32" ht="9" customHeight="1">
      <c r="A6" s="17" t="s">
        <v>18</v>
      </c>
      <c r="B6" s="17"/>
      <c r="C6" s="8"/>
      <c r="D6" s="8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2" ht="15.75">
      <c r="A7" s="434" t="s">
        <v>3</v>
      </c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  <c r="Z7" s="434"/>
      <c r="AA7" s="434"/>
      <c r="AB7" s="434"/>
      <c r="AC7" s="434"/>
      <c r="AD7" s="434"/>
      <c r="AE7" s="434"/>
    </row>
    <row r="8" spans="1:32" ht="15.75">
      <c r="A8" s="434" t="s">
        <v>4</v>
      </c>
      <c r="B8" s="434"/>
      <c r="C8" s="434"/>
      <c r="D8" s="434"/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4"/>
      <c r="T8" s="434"/>
      <c r="U8" s="434"/>
      <c r="V8" s="434"/>
      <c r="W8" s="434"/>
      <c r="X8" s="434"/>
      <c r="Y8" s="434"/>
      <c r="Z8" s="434"/>
      <c r="AA8" s="434"/>
      <c r="AB8" s="434"/>
      <c r="AC8" s="434"/>
      <c r="AD8" s="434"/>
      <c r="AE8" s="434"/>
    </row>
    <row r="9" spans="1:32" ht="18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2" s="99" customFormat="1">
      <c r="A10" s="435" t="s">
        <v>616</v>
      </c>
      <c r="B10" s="435"/>
      <c r="C10" s="435"/>
      <c r="D10" s="435"/>
      <c r="E10" s="435"/>
      <c r="F10" s="435"/>
      <c r="G10" s="435"/>
      <c r="H10" s="435"/>
      <c r="I10" s="435"/>
      <c r="J10" s="435"/>
      <c r="K10" s="435"/>
      <c r="L10" s="435"/>
      <c r="M10" s="435"/>
      <c r="N10" s="435"/>
      <c r="O10" s="435"/>
      <c r="P10" s="435"/>
      <c r="Q10" s="435"/>
      <c r="R10" s="435"/>
      <c r="S10" s="435"/>
      <c r="T10" s="435"/>
      <c r="U10" s="435"/>
      <c r="V10" s="435"/>
      <c r="W10" s="435"/>
      <c r="X10" s="435"/>
      <c r="Y10" s="435"/>
      <c r="Z10" s="435"/>
      <c r="AA10" s="435"/>
      <c r="AB10" s="435"/>
      <c r="AC10" s="435"/>
      <c r="AD10" s="435"/>
      <c r="AE10" s="435"/>
    </row>
    <row r="11" spans="1:32" s="99" customFormat="1" ht="15.75" thickBot="1">
      <c r="A11" s="436" t="s">
        <v>724</v>
      </c>
      <c r="B11" s="436"/>
      <c r="C11" s="436"/>
      <c r="D11" s="436"/>
      <c r="E11" s="436"/>
      <c r="F11" s="436"/>
      <c r="G11" s="436"/>
      <c r="H11" s="436"/>
      <c r="I11" s="436"/>
      <c r="J11" s="436"/>
      <c r="K11" s="436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</row>
    <row r="12" spans="1:32" ht="78.75" customHeight="1" thickBot="1">
      <c r="A12" s="100"/>
      <c r="B12" s="101" t="s">
        <v>28</v>
      </c>
      <c r="C12" s="102" t="s">
        <v>5</v>
      </c>
      <c r="D12" s="103" t="s">
        <v>6</v>
      </c>
      <c r="E12" s="103" t="s">
        <v>7</v>
      </c>
      <c r="F12" s="103" t="s">
        <v>8</v>
      </c>
      <c r="G12" s="103" t="s">
        <v>9</v>
      </c>
      <c r="H12" s="103" t="s">
        <v>10</v>
      </c>
      <c r="I12" s="103" t="s">
        <v>11</v>
      </c>
      <c r="J12" s="103" t="s">
        <v>12</v>
      </c>
      <c r="K12" s="103" t="s">
        <v>13</v>
      </c>
      <c r="L12" s="103" t="s">
        <v>14</v>
      </c>
      <c r="M12" s="103" t="s">
        <v>140</v>
      </c>
      <c r="N12" s="103" t="s">
        <v>15</v>
      </c>
      <c r="O12" s="103" t="s">
        <v>16</v>
      </c>
      <c r="P12" s="103" t="s">
        <v>139</v>
      </c>
      <c r="Q12" s="103" t="s">
        <v>154</v>
      </c>
      <c r="R12" s="103" t="s">
        <v>155</v>
      </c>
      <c r="S12" s="103" t="s">
        <v>156</v>
      </c>
      <c r="T12" s="103" t="s">
        <v>157</v>
      </c>
      <c r="U12" s="103" t="s">
        <v>158</v>
      </c>
      <c r="V12" s="103" t="s">
        <v>159</v>
      </c>
      <c r="W12" s="103" t="s">
        <v>160</v>
      </c>
      <c r="X12" s="103" t="s">
        <v>161</v>
      </c>
      <c r="Y12" s="103" t="s">
        <v>162</v>
      </c>
      <c r="Z12" s="103" t="s">
        <v>163</v>
      </c>
      <c r="AA12" s="103" t="s">
        <v>141</v>
      </c>
      <c r="AB12" s="103" t="s">
        <v>164</v>
      </c>
      <c r="AC12" s="103" t="s">
        <v>165</v>
      </c>
      <c r="AD12" s="104" t="s">
        <v>166</v>
      </c>
      <c r="AE12" s="105" t="s">
        <v>17</v>
      </c>
    </row>
    <row r="13" spans="1:32" ht="15.95" customHeight="1">
      <c r="A13" s="159" t="s">
        <v>631</v>
      </c>
      <c r="B13" s="129"/>
      <c r="C13" s="155"/>
      <c r="D13" s="130"/>
      <c r="E13" s="130">
        <v>1</v>
      </c>
      <c r="F13" s="130">
        <v>1</v>
      </c>
      <c r="G13" s="130">
        <v>4</v>
      </c>
      <c r="H13" s="130">
        <v>1</v>
      </c>
      <c r="I13" s="130"/>
      <c r="J13" s="130"/>
      <c r="K13" s="131">
        <v>2</v>
      </c>
      <c r="L13" s="131">
        <v>4</v>
      </c>
      <c r="M13" s="131">
        <v>7</v>
      </c>
      <c r="N13" s="130">
        <v>7</v>
      </c>
      <c r="O13" s="130">
        <v>12</v>
      </c>
      <c r="P13" s="130">
        <v>7</v>
      </c>
      <c r="Q13" s="273"/>
      <c r="R13" s="273">
        <v>1</v>
      </c>
      <c r="S13" s="273"/>
      <c r="T13" s="273"/>
      <c r="U13" s="273"/>
      <c r="V13" s="273"/>
      <c r="W13" s="273"/>
      <c r="X13" s="273"/>
      <c r="Y13" s="273"/>
      <c r="Z13" s="273"/>
      <c r="AA13" s="273"/>
      <c r="AB13" s="273"/>
      <c r="AC13" s="273"/>
      <c r="AD13" s="274"/>
      <c r="AE13" s="275">
        <f>SUM(B13:AD13)</f>
        <v>47</v>
      </c>
    </row>
    <row r="14" spans="1:32" ht="19.5" customHeight="1" thickBot="1">
      <c r="A14" s="366" t="s">
        <v>25</v>
      </c>
      <c r="B14" s="367">
        <f t="shared" ref="B14:AD14" si="0">SUM(B13:B13)</f>
        <v>0</v>
      </c>
      <c r="C14" s="367">
        <f t="shared" si="0"/>
        <v>0</v>
      </c>
      <c r="D14" s="366">
        <f t="shared" si="0"/>
        <v>0</v>
      </c>
      <c r="E14" s="276">
        <f t="shared" si="0"/>
        <v>1</v>
      </c>
      <c r="F14" s="276">
        <f t="shared" si="0"/>
        <v>1</v>
      </c>
      <c r="G14" s="276">
        <f t="shared" si="0"/>
        <v>4</v>
      </c>
      <c r="H14" s="276">
        <f t="shared" si="0"/>
        <v>1</v>
      </c>
      <c r="I14" s="276">
        <f t="shared" si="0"/>
        <v>0</v>
      </c>
      <c r="J14" s="276">
        <f t="shared" si="0"/>
        <v>0</v>
      </c>
      <c r="K14" s="276">
        <f t="shared" si="0"/>
        <v>2</v>
      </c>
      <c r="L14" s="276">
        <f t="shared" si="0"/>
        <v>4</v>
      </c>
      <c r="M14" s="276">
        <f t="shared" si="0"/>
        <v>7</v>
      </c>
      <c r="N14" s="276">
        <f t="shared" si="0"/>
        <v>7</v>
      </c>
      <c r="O14" s="276">
        <f t="shared" si="0"/>
        <v>12</v>
      </c>
      <c r="P14" s="276">
        <f t="shared" si="0"/>
        <v>7</v>
      </c>
      <c r="Q14" s="276">
        <f t="shared" si="0"/>
        <v>0</v>
      </c>
      <c r="R14" s="276">
        <f t="shared" si="0"/>
        <v>1</v>
      </c>
      <c r="S14" s="276">
        <f t="shared" si="0"/>
        <v>0</v>
      </c>
      <c r="T14" s="276">
        <f t="shared" si="0"/>
        <v>0</v>
      </c>
      <c r="U14" s="276">
        <f t="shared" si="0"/>
        <v>0</v>
      </c>
      <c r="V14" s="276">
        <f t="shared" si="0"/>
        <v>0</v>
      </c>
      <c r="W14" s="276">
        <f t="shared" si="0"/>
        <v>0</v>
      </c>
      <c r="X14" s="276">
        <f t="shared" si="0"/>
        <v>0</v>
      </c>
      <c r="Y14" s="276">
        <f t="shared" si="0"/>
        <v>0</v>
      </c>
      <c r="Z14" s="276">
        <f t="shared" si="0"/>
        <v>0</v>
      </c>
      <c r="AA14" s="276">
        <f t="shared" si="0"/>
        <v>0</v>
      </c>
      <c r="AB14" s="276">
        <f t="shared" si="0"/>
        <v>0</v>
      </c>
      <c r="AC14" s="276">
        <f t="shared" si="0"/>
        <v>0</v>
      </c>
      <c r="AD14" s="276">
        <f t="shared" si="0"/>
        <v>0</v>
      </c>
      <c r="AE14" s="276">
        <f>SUM(AE13:AE13)</f>
        <v>47</v>
      </c>
      <c r="AF14" t="s">
        <v>142</v>
      </c>
    </row>
    <row r="15" spans="1:32" ht="12" customHeight="1"/>
    <row r="16" spans="1:32" ht="12" customHeight="1">
      <c r="A16" s="49" t="s">
        <v>656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182"/>
    </row>
    <row r="17" spans="1:31" ht="12" customHeight="1">
      <c r="A17" s="84" t="s">
        <v>611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186"/>
    </row>
    <row r="18" spans="1:31" ht="14.45" customHeight="1">
      <c r="A18" s="432" t="s">
        <v>689</v>
      </c>
      <c r="B18" s="433"/>
      <c r="C18" s="433"/>
      <c r="D18" s="433"/>
      <c r="E18" s="46"/>
      <c r="F18" s="47"/>
      <c r="G18" s="48"/>
      <c r="H18" s="47"/>
      <c r="I18" s="47"/>
      <c r="J18" s="47"/>
      <c r="K18" s="48"/>
      <c r="L18" s="47"/>
      <c r="M18" s="50"/>
    </row>
    <row r="19" spans="1:31" ht="12" customHeight="1">
      <c r="A19" s="2"/>
      <c r="B19" s="2"/>
      <c r="C19" s="2"/>
      <c r="D19" s="2"/>
      <c r="E19" s="14"/>
      <c r="F19" s="14"/>
      <c r="G19" s="2"/>
      <c r="H19" s="5"/>
      <c r="I19" s="2"/>
      <c r="J19" s="2"/>
      <c r="K19" s="2"/>
      <c r="L19" s="5"/>
      <c r="M19" s="2"/>
      <c r="N19" s="2"/>
      <c r="O19" s="2"/>
      <c r="P19" s="5"/>
    </row>
    <row r="20" spans="1:31" ht="12" customHeight="1">
      <c r="A20" s="2"/>
      <c r="B20" s="2"/>
      <c r="C20" s="2"/>
      <c r="D20" s="2"/>
      <c r="E20" s="14"/>
      <c r="F20" s="14"/>
      <c r="G20" s="2"/>
      <c r="H20" s="5"/>
      <c r="I20" s="2"/>
      <c r="J20" s="2"/>
      <c r="K20" s="2"/>
      <c r="L20" s="5"/>
      <c r="M20" s="2"/>
      <c r="N20" s="2"/>
      <c r="O20" s="2"/>
      <c r="P20" s="5"/>
    </row>
    <row r="21" spans="1:31" ht="12" customHeight="1"/>
    <row r="22" spans="1:31" ht="12" customHeight="1">
      <c r="A22" s="51"/>
      <c r="E22" s="5"/>
    </row>
    <row r="23" spans="1:31" ht="44.25" customHeight="1">
      <c r="A23" s="430" t="s">
        <v>610</v>
      </c>
      <c r="B23" s="430"/>
      <c r="C23" s="430"/>
      <c r="D23" s="430"/>
      <c r="E23" s="430"/>
      <c r="F23" s="430"/>
      <c r="G23" s="430"/>
      <c r="H23" s="430"/>
      <c r="I23" s="430"/>
      <c r="J23" s="430"/>
      <c r="K23" s="430"/>
      <c r="L23" s="2"/>
      <c r="Q23" s="429" t="s">
        <v>690</v>
      </c>
      <c r="R23" s="429"/>
      <c r="S23" s="429"/>
      <c r="T23" s="429"/>
      <c r="U23" s="429"/>
      <c r="V23" s="429"/>
      <c r="W23" s="429"/>
      <c r="X23" s="429"/>
      <c r="Y23" s="429"/>
      <c r="Z23" s="429"/>
      <c r="AA23" s="429"/>
      <c r="AB23" s="429"/>
      <c r="AC23" s="429"/>
      <c r="AD23" s="429"/>
      <c r="AE23" s="429"/>
    </row>
    <row r="24" spans="1:31" ht="12" customHeight="1">
      <c r="A24" s="428" t="s">
        <v>634</v>
      </c>
      <c r="B24" s="429"/>
      <c r="C24" s="429"/>
      <c r="D24" s="429"/>
      <c r="E24" s="429"/>
      <c r="F24" s="429"/>
      <c r="G24" s="429"/>
      <c r="H24" s="429"/>
      <c r="I24" s="429"/>
      <c r="J24" s="429"/>
      <c r="K24" s="429"/>
      <c r="L24" s="2"/>
      <c r="Q24" s="431" t="s">
        <v>691</v>
      </c>
      <c r="R24" s="431"/>
      <c r="S24" s="431"/>
      <c r="T24" s="431"/>
      <c r="U24" s="431"/>
      <c r="V24" s="431"/>
      <c r="W24" s="431"/>
      <c r="X24" s="431"/>
      <c r="Y24" s="431"/>
      <c r="Z24" s="431"/>
      <c r="AA24" s="431"/>
      <c r="AB24" s="431"/>
      <c r="AC24" s="431"/>
      <c r="AD24" s="431"/>
      <c r="AE24" s="431"/>
    </row>
    <row r="25" spans="1:31" ht="12" customHeight="1"/>
    <row r="26" spans="1:31" ht="12" customHeight="1"/>
    <row r="27" spans="1:31" ht="12" customHeight="1">
      <c r="A27" s="11"/>
    </row>
    <row r="28" spans="1:31" ht="12" customHeight="1"/>
    <row r="29" spans="1:31" ht="12" customHeight="1"/>
    <row r="30" spans="1:31" ht="12" customHeight="1"/>
    <row r="31" spans="1:31" ht="12" customHeight="1"/>
    <row r="32" spans="1:3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0.5" customHeight="1"/>
  </sheetData>
  <mergeCells count="10">
    <mergeCell ref="X4:AE4"/>
    <mergeCell ref="A24:K24"/>
    <mergeCell ref="A23:K23"/>
    <mergeCell ref="Q23:AE23"/>
    <mergeCell ref="Q24:AE24"/>
    <mergeCell ref="A18:D18"/>
    <mergeCell ref="A8:AE8"/>
    <mergeCell ref="A7:AE7"/>
    <mergeCell ref="A10:AE10"/>
    <mergeCell ref="A11:K11"/>
  </mergeCells>
  <conditionalFormatting sqref="A13">
    <cfRule type="duplicateValues" dxfId="39" priority="111"/>
  </conditionalFormatting>
  <pageMargins left="0.43" right="0.13" top="0.11" bottom="0.13" header="0.37" footer="0.12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F38"/>
  <sheetViews>
    <sheetView tabSelected="1" view="pageBreakPreview" topLeftCell="A5" zoomScale="160" zoomScaleNormal="90" zoomScaleSheetLayoutView="160" workbookViewId="0">
      <selection activeCell="G21" sqref="G21"/>
    </sheetView>
  </sheetViews>
  <sheetFormatPr baseColWidth="10" defaultColWidth="10.7109375" defaultRowHeight="15"/>
  <cols>
    <col min="1" max="1" width="39.28515625" customWidth="1"/>
    <col min="2" max="6" width="4.140625" customWidth="1"/>
    <col min="7" max="7" width="5.140625" customWidth="1"/>
    <col min="8" max="8" width="4.85546875" customWidth="1"/>
    <col min="9" max="11" width="4.140625" customWidth="1"/>
    <col min="12" max="12" width="5" customWidth="1"/>
    <col min="13" max="13" width="4.5703125" customWidth="1"/>
    <col min="14" max="16" width="5" customWidth="1"/>
    <col min="17" max="18" width="4.7109375" customWidth="1"/>
    <col min="19" max="19" width="4.28515625" customWidth="1"/>
    <col min="20" max="29" width="3" customWidth="1"/>
    <col min="30" max="30" width="4" customWidth="1"/>
    <col min="31" max="31" width="5.42578125" customWidth="1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3"/>
      <c r="X1" s="13"/>
      <c r="Y1" s="13"/>
      <c r="Z1" s="13"/>
      <c r="AA1" s="13"/>
      <c r="AB1" s="13"/>
      <c r="AC1" s="13"/>
      <c r="AD1" s="13"/>
    </row>
    <row r="2" spans="1:31" ht="13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3"/>
      <c r="Z2" s="3"/>
      <c r="AA2" s="3"/>
      <c r="AB2" s="3"/>
      <c r="AC2" s="3"/>
      <c r="AD2" s="3"/>
    </row>
    <row r="3" spans="1:31" ht="11.1" customHeight="1">
      <c r="A3" s="98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3"/>
      <c r="Y3" s="3"/>
      <c r="Z3" s="3"/>
      <c r="AA3" s="3"/>
      <c r="AB3" s="3"/>
      <c r="AC3" s="3"/>
      <c r="AD3" s="3"/>
    </row>
    <row r="4" spans="1:31" ht="11.1" customHeight="1">
      <c r="A4" s="16" t="s">
        <v>632</v>
      </c>
      <c r="B4" s="10"/>
      <c r="C4" s="10"/>
      <c r="D4" s="10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5"/>
      <c r="X4" s="5"/>
      <c r="Y4" s="4"/>
      <c r="Z4" s="4"/>
      <c r="AA4" s="4"/>
      <c r="AB4" s="4"/>
      <c r="AC4" s="4"/>
      <c r="AD4" s="4"/>
    </row>
    <row r="5" spans="1:31" ht="11.1" customHeight="1">
      <c r="A5" s="16" t="s">
        <v>633</v>
      </c>
      <c r="B5" s="9"/>
      <c r="C5" s="9"/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439" t="s">
        <v>22</v>
      </c>
      <c r="Y5" s="439"/>
      <c r="Z5" s="439"/>
      <c r="AA5" s="439"/>
      <c r="AB5" s="439"/>
      <c r="AC5" s="439"/>
      <c r="AD5" s="439"/>
      <c r="AE5" s="439"/>
    </row>
    <row r="6" spans="1:31" ht="11.1" customHeight="1">
      <c r="A6" s="17" t="s">
        <v>18</v>
      </c>
      <c r="B6" s="8"/>
      <c r="C6" s="8"/>
      <c r="D6" s="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1" ht="15.75">
      <c r="A7" s="434" t="s">
        <v>3</v>
      </c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  <c r="Z7" s="434"/>
      <c r="AA7" s="434"/>
      <c r="AB7" s="434"/>
      <c r="AC7" s="434"/>
      <c r="AD7" s="434"/>
    </row>
    <row r="8" spans="1:31" ht="15.75">
      <c r="A8" s="434" t="s">
        <v>20</v>
      </c>
      <c r="B8" s="434"/>
      <c r="C8" s="434"/>
      <c r="D8" s="434"/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4"/>
      <c r="T8" s="434"/>
      <c r="U8" s="434"/>
      <c r="V8" s="434"/>
      <c r="W8" s="434"/>
      <c r="X8" s="434"/>
      <c r="Y8" s="434"/>
      <c r="Z8" s="434"/>
      <c r="AA8" s="434"/>
      <c r="AB8" s="434"/>
      <c r="AC8" s="434"/>
      <c r="AD8" s="434"/>
    </row>
    <row r="9" spans="1:31" ht="15.75">
      <c r="A9" s="440" t="s">
        <v>21</v>
      </c>
      <c r="B9" s="440"/>
      <c r="C9" s="440"/>
      <c r="D9" s="440"/>
      <c r="E9" s="440"/>
      <c r="F9" s="440"/>
      <c r="G9" s="440"/>
      <c r="H9" s="440"/>
      <c r="I9" s="440"/>
      <c r="J9" s="440"/>
      <c r="K9" s="440"/>
      <c r="L9" s="440"/>
      <c r="M9" s="440"/>
      <c r="N9" s="440"/>
      <c r="O9" s="440"/>
      <c r="P9" s="440"/>
      <c r="Q9" s="440"/>
      <c r="R9" s="440"/>
      <c r="S9" s="440"/>
      <c r="T9" s="440"/>
      <c r="U9" s="440"/>
      <c r="V9" s="440"/>
      <c r="W9" s="440"/>
      <c r="X9" s="440"/>
      <c r="Y9" s="440"/>
      <c r="Z9" s="440"/>
      <c r="AA9" s="440"/>
      <c r="AB9" s="440"/>
      <c r="AC9" s="440"/>
      <c r="AD9" s="440"/>
    </row>
    <row r="10" spans="1:31" ht="9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1">
      <c r="A11" s="435" t="s">
        <v>617</v>
      </c>
      <c r="B11" s="435"/>
      <c r="C11" s="435"/>
      <c r="D11" s="435"/>
      <c r="E11" s="435"/>
      <c r="F11" s="435"/>
      <c r="G11" s="435"/>
      <c r="H11" s="435"/>
      <c r="I11" s="435"/>
      <c r="J11" s="435"/>
      <c r="K11" s="435"/>
      <c r="L11" s="435"/>
      <c r="M11" s="435"/>
      <c r="N11" s="435"/>
      <c r="O11" s="435"/>
      <c r="P11" s="435"/>
      <c r="Q11" s="435"/>
      <c r="R11" s="435"/>
      <c r="S11" s="435"/>
      <c r="T11" s="435"/>
      <c r="U11" s="435"/>
      <c r="V11" s="435"/>
      <c r="W11" s="435"/>
      <c r="X11" s="435"/>
      <c r="Y11" s="435"/>
      <c r="Z11" s="435"/>
      <c r="AA11" s="435"/>
      <c r="AB11" s="435"/>
      <c r="AC11" s="435"/>
      <c r="AD11" s="435"/>
      <c r="AE11" s="435"/>
    </row>
    <row r="12" spans="1:31" s="99" customFormat="1" ht="15.75" thickBot="1">
      <c r="A12" s="436" t="s">
        <v>724</v>
      </c>
      <c r="B12" s="436"/>
      <c r="C12" s="436"/>
      <c r="D12" s="436"/>
      <c r="E12" s="436"/>
      <c r="F12" s="436"/>
      <c r="G12" s="436"/>
      <c r="H12" s="436"/>
      <c r="I12" s="436"/>
      <c r="J12" s="436"/>
      <c r="K12" s="436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</row>
    <row r="13" spans="1:31" ht="78.75" customHeight="1" thickBot="1">
      <c r="A13" s="100" t="s">
        <v>182</v>
      </c>
      <c r="B13" s="101" t="s">
        <v>28</v>
      </c>
      <c r="C13" s="102" t="s">
        <v>5</v>
      </c>
      <c r="D13" s="103" t="s">
        <v>6</v>
      </c>
      <c r="E13" s="103" t="s">
        <v>7</v>
      </c>
      <c r="F13" s="103" t="s">
        <v>8</v>
      </c>
      <c r="G13" s="103" t="s">
        <v>9</v>
      </c>
      <c r="H13" s="103" t="s">
        <v>10</v>
      </c>
      <c r="I13" s="103" t="s">
        <v>11</v>
      </c>
      <c r="J13" s="103" t="s">
        <v>12</v>
      </c>
      <c r="K13" s="103" t="s">
        <v>13</v>
      </c>
      <c r="L13" s="103" t="s">
        <v>14</v>
      </c>
      <c r="M13" s="103" t="s">
        <v>140</v>
      </c>
      <c r="N13" s="103" t="s">
        <v>15</v>
      </c>
      <c r="O13" s="103" t="s">
        <v>16</v>
      </c>
      <c r="P13" s="103" t="s">
        <v>139</v>
      </c>
      <c r="Q13" s="103" t="s">
        <v>154</v>
      </c>
      <c r="R13" s="103" t="s">
        <v>155</v>
      </c>
      <c r="S13" s="103" t="s">
        <v>156</v>
      </c>
      <c r="T13" s="103" t="s">
        <v>157</v>
      </c>
      <c r="U13" s="103" t="s">
        <v>158</v>
      </c>
      <c r="V13" s="103" t="s">
        <v>159</v>
      </c>
      <c r="W13" s="103" t="s">
        <v>160</v>
      </c>
      <c r="X13" s="103" t="s">
        <v>161</v>
      </c>
      <c r="Y13" s="103" t="s">
        <v>162</v>
      </c>
      <c r="Z13" s="103" t="s">
        <v>163</v>
      </c>
      <c r="AA13" s="103" t="s">
        <v>141</v>
      </c>
      <c r="AB13" s="103" t="s">
        <v>164</v>
      </c>
      <c r="AC13" s="103" t="s">
        <v>165</v>
      </c>
      <c r="AD13" s="104" t="s">
        <v>166</v>
      </c>
      <c r="AE13" s="105" t="s">
        <v>17</v>
      </c>
    </row>
    <row r="14" spans="1:31" ht="12" customHeight="1">
      <c r="A14" s="138" t="s">
        <v>188</v>
      </c>
      <c r="B14" s="156"/>
      <c r="C14" s="156"/>
      <c r="D14" s="374"/>
      <c r="E14" s="130">
        <v>1</v>
      </c>
      <c r="F14" s="130"/>
      <c r="G14" s="130">
        <v>1</v>
      </c>
      <c r="H14" s="130"/>
      <c r="I14" s="130"/>
      <c r="J14" s="130"/>
      <c r="K14" s="131"/>
      <c r="L14" s="131">
        <v>1</v>
      </c>
      <c r="M14" s="131"/>
      <c r="N14" s="130"/>
      <c r="O14" s="130"/>
      <c r="P14" s="130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117"/>
      <c r="AE14" s="33">
        <f>SUM(B14:AD14)</f>
        <v>3</v>
      </c>
    </row>
    <row r="15" spans="1:31" ht="12" customHeight="1">
      <c r="A15" s="373" t="s">
        <v>183</v>
      </c>
      <c r="B15" s="156"/>
      <c r="C15" s="156"/>
      <c r="D15" s="303"/>
      <c r="E15" s="304"/>
      <c r="F15" s="304"/>
      <c r="G15" s="304">
        <v>2</v>
      </c>
      <c r="H15" s="304">
        <v>1</v>
      </c>
      <c r="I15" s="304"/>
      <c r="J15" s="304"/>
      <c r="K15" s="305"/>
      <c r="L15" s="305">
        <v>2</v>
      </c>
      <c r="M15" s="305">
        <v>1</v>
      </c>
      <c r="N15" s="304">
        <v>4</v>
      </c>
      <c r="O15" s="304">
        <v>2</v>
      </c>
      <c r="P15" s="304">
        <v>2</v>
      </c>
      <c r="Q15" s="38"/>
      <c r="R15" s="38">
        <v>1</v>
      </c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06"/>
      <c r="AE15" s="33">
        <f>SUM(B15:AD15)</f>
        <v>15</v>
      </c>
    </row>
    <row r="16" spans="1:31" ht="12" customHeight="1">
      <c r="A16" s="160" t="s">
        <v>184</v>
      </c>
      <c r="B16" s="157"/>
      <c r="C16" s="156"/>
      <c r="D16" s="154"/>
      <c r="E16" s="107"/>
      <c r="F16" s="107">
        <v>1</v>
      </c>
      <c r="G16" s="107">
        <v>1</v>
      </c>
      <c r="H16" s="107"/>
      <c r="I16" s="107"/>
      <c r="J16" s="107"/>
      <c r="K16" s="120">
        <v>2</v>
      </c>
      <c r="L16" s="120"/>
      <c r="M16" s="120">
        <v>6</v>
      </c>
      <c r="N16" s="107">
        <v>3</v>
      </c>
      <c r="O16" s="107">
        <v>10</v>
      </c>
      <c r="P16" s="107">
        <v>5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95"/>
      <c r="AE16" s="33">
        <f>SUM(B16:AD16)</f>
        <v>28</v>
      </c>
    </row>
    <row r="17" spans="1:32" ht="12" customHeight="1">
      <c r="A17" s="160" t="s">
        <v>185</v>
      </c>
      <c r="B17" s="157"/>
      <c r="C17" s="156"/>
      <c r="D17" s="154"/>
      <c r="E17" s="107"/>
      <c r="F17" s="107"/>
      <c r="G17" s="107"/>
      <c r="H17" s="107"/>
      <c r="I17" s="107"/>
      <c r="J17" s="107"/>
      <c r="K17" s="120"/>
      <c r="L17" s="120"/>
      <c r="M17" s="120">
        <v>1</v>
      </c>
      <c r="N17" s="107"/>
      <c r="O17" s="107"/>
      <c r="P17" s="107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95"/>
      <c r="AE17" s="33">
        <f>SUM(B17:AD17)</f>
        <v>1</v>
      </c>
    </row>
    <row r="18" spans="1:32" ht="12" customHeight="1" thickBot="1">
      <c r="A18" s="158" t="s">
        <v>25</v>
      </c>
      <c r="B18" s="137">
        <f t="shared" ref="B18:AE18" si="0">SUM(B14:B17)</f>
        <v>0</v>
      </c>
      <c r="C18" s="137">
        <f t="shared" si="0"/>
        <v>0</v>
      </c>
      <c r="D18" s="137">
        <f t="shared" si="0"/>
        <v>0</v>
      </c>
      <c r="E18" s="137">
        <f t="shared" si="0"/>
        <v>1</v>
      </c>
      <c r="F18" s="137">
        <f t="shared" si="0"/>
        <v>1</v>
      </c>
      <c r="G18" s="137">
        <f t="shared" si="0"/>
        <v>4</v>
      </c>
      <c r="H18" s="137">
        <f t="shared" si="0"/>
        <v>1</v>
      </c>
      <c r="I18" s="137">
        <f t="shared" si="0"/>
        <v>0</v>
      </c>
      <c r="J18" s="137">
        <f t="shared" si="0"/>
        <v>0</v>
      </c>
      <c r="K18" s="137">
        <f t="shared" si="0"/>
        <v>2</v>
      </c>
      <c r="L18" s="137">
        <f t="shared" si="0"/>
        <v>3</v>
      </c>
      <c r="M18" s="137">
        <f t="shared" si="0"/>
        <v>8</v>
      </c>
      <c r="N18" s="137">
        <f t="shared" si="0"/>
        <v>7</v>
      </c>
      <c r="O18" s="137">
        <f t="shared" si="0"/>
        <v>12</v>
      </c>
      <c r="P18" s="137">
        <f t="shared" si="0"/>
        <v>7</v>
      </c>
      <c r="Q18" s="137">
        <f t="shared" si="0"/>
        <v>0</v>
      </c>
      <c r="R18" s="137">
        <f t="shared" si="0"/>
        <v>1</v>
      </c>
      <c r="S18" s="137">
        <f t="shared" si="0"/>
        <v>0</v>
      </c>
      <c r="T18" s="137">
        <f t="shared" si="0"/>
        <v>0</v>
      </c>
      <c r="U18" s="137">
        <f t="shared" si="0"/>
        <v>0</v>
      </c>
      <c r="V18" s="137">
        <f t="shared" si="0"/>
        <v>0</v>
      </c>
      <c r="W18" s="137">
        <f t="shared" si="0"/>
        <v>0</v>
      </c>
      <c r="X18" s="137">
        <f t="shared" si="0"/>
        <v>0</v>
      </c>
      <c r="Y18" s="137">
        <f t="shared" si="0"/>
        <v>0</v>
      </c>
      <c r="Z18" s="137">
        <f t="shared" si="0"/>
        <v>0</v>
      </c>
      <c r="AA18" s="137">
        <f t="shared" si="0"/>
        <v>0</v>
      </c>
      <c r="AB18" s="137">
        <f t="shared" si="0"/>
        <v>0</v>
      </c>
      <c r="AC18" s="137">
        <f t="shared" si="0"/>
        <v>0</v>
      </c>
      <c r="AD18" s="137">
        <f t="shared" si="0"/>
        <v>0</v>
      </c>
      <c r="AE18" s="137">
        <f t="shared" si="0"/>
        <v>47</v>
      </c>
    </row>
    <row r="19" spans="1:32" ht="22.5" customHeight="1" thickBot="1">
      <c r="A19" s="437" t="s">
        <v>23</v>
      </c>
      <c r="B19" s="438"/>
      <c r="C19" s="438"/>
      <c r="D19" s="438"/>
      <c r="E19" s="438"/>
      <c r="F19" s="438"/>
      <c r="G19" s="438"/>
      <c r="H19" s="438"/>
      <c r="I19" s="438"/>
      <c r="J19" s="438"/>
      <c r="K19" s="438"/>
      <c r="L19" s="438"/>
      <c r="M19" s="438"/>
      <c r="N19" s="438"/>
      <c r="O19" s="438"/>
      <c r="P19" s="438"/>
      <c r="Q19" s="438"/>
      <c r="R19" s="438"/>
      <c r="S19" s="438"/>
      <c r="T19" s="438"/>
      <c r="U19" s="438"/>
      <c r="V19" s="438"/>
      <c r="W19" s="438"/>
      <c r="X19" s="438"/>
      <c r="Y19" s="438"/>
      <c r="Z19" s="438"/>
      <c r="AA19" s="438"/>
      <c r="AB19" s="438"/>
      <c r="AC19" s="438"/>
      <c r="AD19" s="438"/>
      <c r="AE19" s="438"/>
    </row>
    <row r="20" spans="1:32" ht="12" customHeight="1" thickBot="1">
      <c r="A20" s="280" t="s">
        <v>137</v>
      </c>
      <c r="B20" s="279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>
        <v>1</v>
      </c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117"/>
      <c r="AE20" s="283">
        <f>SUM(B20:AD20)</f>
        <v>1</v>
      </c>
      <c r="AF20" s="52"/>
    </row>
    <row r="21" spans="1:32" ht="12" customHeight="1" thickBot="1">
      <c r="A21" s="281" t="s">
        <v>26</v>
      </c>
      <c r="B21" s="277"/>
      <c r="C21" s="31"/>
      <c r="D21" s="31"/>
      <c r="E21" s="31"/>
      <c r="F21" s="31"/>
      <c r="G21" s="31"/>
      <c r="H21" s="31"/>
      <c r="I21" s="31"/>
      <c r="J21" s="31"/>
      <c r="K21" s="31"/>
      <c r="L21" s="31">
        <v>2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95"/>
      <c r="AE21" s="283">
        <f>SUM(B21:AD21)</f>
        <v>2</v>
      </c>
      <c r="AF21" s="52"/>
    </row>
    <row r="22" spans="1:32" ht="12" customHeight="1" thickBot="1">
      <c r="A22" s="281" t="s">
        <v>27</v>
      </c>
      <c r="B22" s="277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95"/>
      <c r="AE22" s="283">
        <f>SUM(B22:AD22)</f>
        <v>0</v>
      </c>
    </row>
    <row r="23" spans="1:32" ht="15.75" thickBot="1">
      <c r="A23" s="282" t="s">
        <v>179</v>
      </c>
      <c r="B23" s="278"/>
      <c r="C23" s="35"/>
      <c r="D23" s="35"/>
      <c r="E23" s="35"/>
      <c r="F23" s="35"/>
      <c r="G23" s="35">
        <v>1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168"/>
      <c r="AE23" s="283">
        <f>SUM(B23:AD23)</f>
        <v>1</v>
      </c>
    </row>
    <row r="24" spans="1:32" ht="15.75" thickBot="1">
      <c r="A24" s="109" t="s">
        <v>24</v>
      </c>
      <c r="B24" s="165">
        <f t="shared" ref="B24:AE24" si="1">SUM(B20:B23)</f>
        <v>0</v>
      </c>
      <c r="C24" s="165">
        <f t="shared" si="1"/>
        <v>0</v>
      </c>
      <c r="D24" s="165">
        <f t="shared" si="1"/>
        <v>0</v>
      </c>
      <c r="E24" s="165">
        <f t="shared" si="1"/>
        <v>0</v>
      </c>
      <c r="F24" s="165">
        <f t="shared" si="1"/>
        <v>0</v>
      </c>
      <c r="G24" s="165">
        <f t="shared" si="1"/>
        <v>1</v>
      </c>
      <c r="H24" s="165">
        <f t="shared" si="1"/>
        <v>0</v>
      </c>
      <c r="I24" s="165">
        <f t="shared" si="1"/>
        <v>0</v>
      </c>
      <c r="J24" s="165">
        <f t="shared" si="1"/>
        <v>0</v>
      </c>
      <c r="K24" s="165">
        <f t="shared" si="1"/>
        <v>0</v>
      </c>
      <c r="L24" s="165">
        <f t="shared" si="1"/>
        <v>2</v>
      </c>
      <c r="M24" s="165">
        <f t="shared" si="1"/>
        <v>1</v>
      </c>
      <c r="N24" s="165">
        <f t="shared" si="1"/>
        <v>0</v>
      </c>
      <c r="O24" s="165">
        <f t="shared" si="1"/>
        <v>0</v>
      </c>
      <c r="P24" s="165">
        <f t="shared" si="1"/>
        <v>0</v>
      </c>
      <c r="Q24" s="165">
        <f t="shared" si="1"/>
        <v>0</v>
      </c>
      <c r="R24" s="165">
        <f t="shared" si="1"/>
        <v>0</v>
      </c>
      <c r="S24" s="165">
        <f t="shared" si="1"/>
        <v>0</v>
      </c>
      <c r="T24" s="165">
        <f t="shared" si="1"/>
        <v>0</v>
      </c>
      <c r="U24" s="165">
        <f t="shared" si="1"/>
        <v>0</v>
      </c>
      <c r="V24" s="165">
        <f t="shared" si="1"/>
        <v>0</v>
      </c>
      <c r="W24" s="165">
        <f t="shared" si="1"/>
        <v>0</v>
      </c>
      <c r="X24" s="165">
        <f t="shared" si="1"/>
        <v>0</v>
      </c>
      <c r="Y24" s="165">
        <f t="shared" si="1"/>
        <v>0</v>
      </c>
      <c r="Z24" s="165">
        <f t="shared" si="1"/>
        <v>0</v>
      </c>
      <c r="AA24" s="165">
        <f t="shared" si="1"/>
        <v>0</v>
      </c>
      <c r="AB24" s="165">
        <f t="shared" si="1"/>
        <v>0</v>
      </c>
      <c r="AC24" s="165">
        <f t="shared" si="1"/>
        <v>0</v>
      </c>
      <c r="AD24" s="165">
        <f t="shared" si="1"/>
        <v>0</v>
      </c>
      <c r="AE24" s="165">
        <f t="shared" si="1"/>
        <v>4</v>
      </c>
    </row>
    <row r="25" spans="1:32" ht="6.75" customHeight="1" thickBot="1">
      <c r="A25" s="442"/>
      <c r="B25" s="443"/>
      <c r="C25" s="443"/>
      <c r="D25" s="443"/>
      <c r="E25" s="443"/>
      <c r="F25" s="443"/>
      <c r="G25" s="443"/>
      <c r="H25" s="443"/>
      <c r="I25" s="443"/>
      <c r="J25" s="443"/>
      <c r="K25" s="443"/>
      <c r="L25" s="443"/>
      <c r="M25" s="443"/>
      <c r="N25" s="443"/>
      <c r="O25" s="443"/>
      <c r="P25" s="443"/>
      <c r="Q25" s="443"/>
      <c r="R25" s="443"/>
      <c r="S25" s="443"/>
      <c r="T25" s="443"/>
      <c r="U25" s="443"/>
      <c r="V25" s="443"/>
      <c r="W25" s="443"/>
      <c r="X25" s="443"/>
      <c r="Y25" s="443"/>
      <c r="Z25" s="443"/>
      <c r="AA25" s="443"/>
      <c r="AB25" s="443"/>
      <c r="AC25" s="443"/>
      <c r="AD25" s="443"/>
      <c r="AE25" s="444"/>
    </row>
    <row r="26" spans="1:32" ht="15.75" thickBot="1">
      <c r="A26" s="110" t="s">
        <v>25</v>
      </c>
      <c r="B26" s="111">
        <v>0</v>
      </c>
      <c r="C26" s="111">
        <v>0</v>
      </c>
      <c r="D26" s="111">
        <v>0</v>
      </c>
      <c r="E26" s="111">
        <v>1</v>
      </c>
      <c r="F26" s="111">
        <v>1</v>
      </c>
      <c r="G26" s="111">
        <v>5</v>
      </c>
      <c r="H26" s="111">
        <f>SUM(H18,H24)</f>
        <v>1</v>
      </c>
      <c r="I26" s="111">
        <v>0</v>
      </c>
      <c r="J26" s="111">
        <v>0</v>
      </c>
      <c r="K26" s="111">
        <f>SUM(K18+K24)</f>
        <v>2</v>
      </c>
      <c r="L26" s="111">
        <f t="shared" ref="L26:AE26" si="2">SUM(L18+L24)</f>
        <v>5</v>
      </c>
      <c r="M26" s="111">
        <f t="shared" si="2"/>
        <v>9</v>
      </c>
      <c r="N26" s="111">
        <f t="shared" si="2"/>
        <v>7</v>
      </c>
      <c r="O26" s="111">
        <f t="shared" si="2"/>
        <v>12</v>
      </c>
      <c r="P26" s="111">
        <f t="shared" si="2"/>
        <v>7</v>
      </c>
      <c r="Q26" s="111">
        <f t="shared" si="2"/>
        <v>0</v>
      </c>
      <c r="R26" s="111">
        <f t="shared" si="2"/>
        <v>1</v>
      </c>
      <c r="S26" s="111">
        <f t="shared" si="2"/>
        <v>0</v>
      </c>
      <c r="T26" s="111">
        <f t="shared" si="2"/>
        <v>0</v>
      </c>
      <c r="U26" s="111">
        <f t="shared" si="2"/>
        <v>0</v>
      </c>
      <c r="V26" s="111">
        <f t="shared" si="2"/>
        <v>0</v>
      </c>
      <c r="W26" s="111">
        <f t="shared" si="2"/>
        <v>0</v>
      </c>
      <c r="X26" s="111">
        <f t="shared" si="2"/>
        <v>0</v>
      </c>
      <c r="Y26" s="111">
        <f t="shared" si="2"/>
        <v>0</v>
      </c>
      <c r="Z26" s="111">
        <f t="shared" si="2"/>
        <v>0</v>
      </c>
      <c r="AA26" s="111">
        <f t="shared" si="2"/>
        <v>0</v>
      </c>
      <c r="AB26" s="111">
        <f t="shared" si="2"/>
        <v>0</v>
      </c>
      <c r="AC26" s="111">
        <f t="shared" si="2"/>
        <v>0</v>
      </c>
      <c r="AD26" s="111">
        <f t="shared" si="2"/>
        <v>0</v>
      </c>
      <c r="AE26" s="111">
        <f t="shared" si="2"/>
        <v>51</v>
      </c>
      <c r="AF26" s="203"/>
    </row>
    <row r="27" spans="1:32" s="207" customFormat="1">
      <c r="A27" s="204"/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6"/>
    </row>
    <row r="28" spans="1:32" ht="12" customHeight="1">
      <c r="A28" s="49" t="s">
        <v>656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182"/>
    </row>
    <row r="29" spans="1:32" ht="12" customHeight="1">
      <c r="A29" s="84" t="s">
        <v>611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186"/>
    </row>
    <row r="30" spans="1:32" ht="17.25" customHeight="1">
      <c r="A30" s="432" t="s">
        <v>689</v>
      </c>
      <c r="B30" s="433"/>
      <c r="C30" s="433"/>
      <c r="D30" s="433"/>
      <c r="E30" s="46"/>
      <c r="F30" s="47"/>
      <c r="G30" s="48"/>
      <c r="H30" s="47"/>
      <c r="I30" s="47"/>
      <c r="J30" s="47"/>
      <c r="K30" s="48"/>
      <c r="L30" s="47"/>
      <c r="M30" s="50"/>
      <c r="P30" s="11"/>
    </row>
    <row r="31" spans="1:32">
      <c r="A31" s="299"/>
      <c r="B31" s="213"/>
      <c r="C31" s="213"/>
      <c r="D31" s="213"/>
      <c r="E31" s="46"/>
      <c r="F31" s="47"/>
      <c r="G31" s="48"/>
      <c r="H31" s="47"/>
      <c r="I31" s="47"/>
      <c r="J31" s="47"/>
      <c r="K31" s="48"/>
      <c r="L31" s="47"/>
      <c r="M31" s="50"/>
      <c r="P31" s="11"/>
    </row>
    <row r="32" spans="1:32">
      <c r="A32" s="299"/>
      <c r="B32" s="213"/>
      <c r="C32" s="213"/>
      <c r="D32" s="213"/>
      <c r="E32" s="46"/>
      <c r="F32" s="47"/>
      <c r="G32" s="48"/>
      <c r="H32" s="47"/>
      <c r="I32" s="47"/>
      <c r="J32" s="47"/>
      <c r="K32" s="48"/>
      <c r="L32" s="47"/>
      <c r="M32" s="50"/>
      <c r="P32" s="11"/>
    </row>
    <row r="33" spans="1:30">
      <c r="A33" s="299"/>
      <c r="B33" s="213"/>
      <c r="C33" s="213"/>
      <c r="D33" s="213"/>
      <c r="E33" s="46"/>
      <c r="F33" s="47"/>
      <c r="G33" s="48"/>
      <c r="H33" s="47"/>
      <c r="I33" s="47"/>
      <c r="J33" s="47"/>
      <c r="K33" s="48"/>
      <c r="L33" s="47"/>
      <c r="M33" s="50"/>
      <c r="P33" s="11"/>
    </row>
    <row r="34" spans="1:30">
      <c r="A34" s="51"/>
      <c r="E34" s="5"/>
      <c r="P34" s="11"/>
    </row>
    <row r="35" spans="1:30">
      <c r="A35" s="51"/>
      <c r="B35" s="441" t="s">
        <v>610</v>
      </c>
      <c r="C35" s="441"/>
      <c r="D35" s="441"/>
      <c r="E35" s="441"/>
      <c r="F35" s="441"/>
      <c r="G35" s="441"/>
      <c r="H35" s="441"/>
      <c r="I35" s="2"/>
      <c r="J35" s="2"/>
      <c r="K35" s="2"/>
      <c r="L35" s="2"/>
      <c r="P35" s="441" t="s">
        <v>690</v>
      </c>
      <c r="Q35" s="441"/>
      <c r="R35" s="441"/>
      <c r="S35" s="441"/>
      <c r="T35" s="441"/>
      <c r="U35" s="441"/>
      <c r="V35" s="441"/>
      <c r="W35" s="441"/>
      <c r="X35" s="441"/>
      <c r="Y35" s="441"/>
      <c r="Z35" s="441"/>
      <c r="AA35" s="441"/>
      <c r="AB35" s="441"/>
      <c r="AC35" s="441"/>
      <c r="AD35" s="441"/>
    </row>
    <row r="36" spans="1:30">
      <c r="B36" s="431" t="s">
        <v>167</v>
      </c>
      <c r="C36" s="431"/>
      <c r="D36" s="431"/>
      <c r="E36" s="431"/>
      <c r="F36" s="431"/>
      <c r="G36" s="431"/>
      <c r="H36" s="431"/>
      <c r="I36" s="2"/>
      <c r="J36" s="2"/>
      <c r="K36" s="2"/>
      <c r="L36" s="2"/>
      <c r="P36" s="431" t="s">
        <v>691</v>
      </c>
      <c r="Q36" s="431"/>
      <c r="R36" s="431"/>
      <c r="S36" s="431"/>
      <c r="T36" s="431"/>
      <c r="U36" s="431"/>
      <c r="V36" s="431"/>
      <c r="W36" s="431"/>
      <c r="X36" s="431"/>
      <c r="Y36" s="431"/>
      <c r="Z36" s="431"/>
      <c r="AA36" s="431"/>
      <c r="AB36" s="431"/>
      <c r="AC36" s="431"/>
      <c r="AD36" s="431"/>
    </row>
    <row r="37" spans="1:30">
      <c r="P37" s="11"/>
    </row>
    <row r="38" spans="1:30">
      <c r="P38" s="11"/>
    </row>
  </sheetData>
  <mergeCells count="13">
    <mergeCell ref="B35:H35"/>
    <mergeCell ref="B36:H36"/>
    <mergeCell ref="A30:D30"/>
    <mergeCell ref="A25:AE25"/>
    <mergeCell ref="P36:AD36"/>
    <mergeCell ref="P35:AD35"/>
    <mergeCell ref="A19:AE19"/>
    <mergeCell ref="A11:AE11"/>
    <mergeCell ref="A12:K12"/>
    <mergeCell ref="X5:AE5"/>
    <mergeCell ref="A7:AD7"/>
    <mergeCell ref="A8:AD8"/>
    <mergeCell ref="A9:AD9"/>
  </mergeCells>
  <conditionalFormatting sqref="A14:A18">
    <cfRule type="duplicateValues" dxfId="38" priority="169"/>
  </conditionalFormatting>
  <pageMargins left="1" right="1" top="0.56000000000000005" bottom="0.46" header="0.5" footer="0.5"/>
  <pageSetup paperSize="5" scale="8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E99"/>
  <sheetViews>
    <sheetView view="pageBreakPreview" topLeftCell="A4" zoomScale="87" zoomScaleNormal="106" zoomScaleSheetLayoutView="87" workbookViewId="0">
      <selection activeCell="A12" sqref="A12:K12"/>
    </sheetView>
  </sheetViews>
  <sheetFormatPr baseColWidth="10" defaultColWidth="10.7109375" defaultRowHeight="15"/>
  <cols>
    <col min="1" max="1" width="36.7109375" customWidth="1"/>
    <col min="2" max="16" width="5.85546875" customWidth="1"/>
    <col min="17" max="17" width="11.42578125" customWidth="1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3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31">
      <c r="A3" s="98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31" ht="12.75" customHeight="1">
      <c r="A4" s="16" t="s">
        <v>632</v>
      </c>
      <c r="B4" s="10"/>
      <c r="C4" s="10"/>
      <c r="D4" s="10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31" ht="12.75" customHeight="1">
      <c r="A5" s="16" t="s">
        <v>633</v>
      </c>
      <c r="B5" s="9"/>
      <c r="C5" s="9"/>
      <c r="D5" s="9"/>
      <c r="E5" s="2"/>
      <c r="F5" s="2"/>
      <c r="G5" s="2"/>
      <c r="H5" s="2"/>
      <c r="I5" s="21"/>
      <c r="J5" s="21"/>
      <c r="K5" s="21"/>
      <c r="L5" s="439" t="s">
        <v>31</v>
      </c>
      <c r="M5" s="439"/>
      <c r="N5" s="439"/>
      <c r="O5" s="439"/>
      <c r="P5" s="439"/>
      <c r="Q5" s="439"/>
    </row>
    <row r="6" spans="1:31" ht="12.75" customHeight="1">
      <c r="A6" s="17" t="s">
        <v>18</v>
      </c>
      <c r="B6" s="8"/>
      <c r="C6" s="8"/>
      <c r="D6" s="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31" ht="15.75">
      <c r="A7" s="440" t="s">
        <v>3</v>
      </c>
      <c r="B7" s="440"/>
      <c r="C7" s="440"/>
      <c r="D7" s="440"/>
      <c r="E7" s="440"/>
      <c r="F7" s="440"/>
      <c r="G7" s="440"/>
      <c r="H7" s="440"/>
      <c r="I7" s="440"/>
      <c r="J7" s="440"/>
      <c r="K7" s="440"/>
      <c r="L7" s="440"/>
      <c r="M7" s="440"/>
      <c r="N7" s="440"/>
      <c r="O7" s="440"/>
      <c r="P7" s="440"/>
      <c r="Q7" s="440"/>
    </row>
    <row r="8" spans="1:31" ht="15.75">
      <c r="A8" s="440" t="s">
        <v>29</v>
      </c>
      <c r="B8" s="440"/>
      <c r="C8" s="440"/>
      <c r="D8" s="440"/>
      <c r="E8" s="440"/>
      <c r="F8" s="440"/>
      <c r="G8" s="440"/>
      <c r="H8" s="440"/>
      <c r="I8" s="440"/>
      <c r="J8" s="440"/>
      <c r="K8" s="440"/>
      <c r="L8" s="440"/>
      <c r="M8" s="440"/>
      <c r="N8" s="440"/>
      <c r="O8" s="440"/>
      <c r="P8" s="440"/>
      <c r="Q8" s="440"/>
    </row>
    <row r="9" spans="1:31" ht="15.75">
      <c r="A9" s="440" t="s">
        <v>30</v>
      </c>
      <c r="B9" s="440"/>
      <c r="C9" s="440"/>
      <c r="D9" s="440"/>
      <c r="E9" s="440"/>
      <c r="F9" s="440"/>
      <c r="G9" s="440"/>
      <c r="H9" s="440"/>
      <c r="I9" s="440"/>
      <c r="J9" s="440"/>
      <c r="K9" s="440"/>
      <c r="L9" s="440"/>
      <c r="M9" s="440"/>
      <c r="N9" s="440"/>
      <c r="O9" s="440"/>
      <c r="P9" s="440"/>
      <c r="Q9" s="440"/>
    </row>
    <row r="10" spans="1:31" ht="15.7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31" s="167" customFormat="1" ht="12.75">
      <c r="A11" s="445" t="s">
        <v>618</v>
      </c>
      <c r="B11" s="445"/>
      <c r="C11" s="445"/>
      <c r="D11" s="445"/>
      <c r="E11" s="445"/>
      <c r="F11" s="445"/>
      <c r="G11" s="445"/>
      <c r="H11" s="445"/>
      <c r="I11" s="445"/>
      <c r="J11" s="445"/>
      <c r="K11" s="445"/>
      <c r="L11" s="445"/>
      <c r="M11" s="445"/>
      <c r="N11" s="445"/>
      <c r="O11" s="445"/>
      <c r="P11" s="445"/>
      <c r="Q11" s="445"/>
    </row>
    <row r="12" spans="1:31" s="99" customFormat="1" ht="15.75" thickBot="1">
      <c r="A12" s="436" t="s">
        <v>724</v>
      </c>
      <c r="B12" s="436"/>
      <c r="C12" s="436"/>
      <c r="D12" s="436"/>
      <c r="E12" s="436"/>
      <c r="F12" s="436"/>
      <c r="G12" s="436"/>
      <c r="H12" s="436"/>
      <c r="I12" s="436"/>
      <c r="J12" s="436"/>
      <c r="K12" s="436"/>
      <c r="L12" s="189"/>
      <c r="M12" s="189"/>
      <c r="N12" s="189"/>
      <c r="O12" s="189"/>
      <c r="P12" s="189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</row>
    <row r="13" spans="1:31" ht="54.75" thickBot="1">
      <c r="A13" s="100" t="s">
        <v>182</v>
      </c>
      <c r="B13" s="112" t="s">
        <v>28</v>
      </c>
      <c r="C13" s="113" t="s">
        <v>5</v>
      </c>
      <c r="D13" s="114" t="s">
        <v>6</v>
      </c>
      <c r="E13" s="114" t="s">
        <v>7</v>
      </c>
      <c r="F13" s="114" t="s">
        <v>8</v>
      </c>
      <c r="G13" s="114" t="s">
        <v>9</v>
      </c>
      <c r="H13" s="114" t="s">
        <v>10</v>
      </c>
      <c r="I13" s="114" t="s">
        <v>11</v>
      </c>
      <c r="J13" s="114" t="s">
        <v>12</v>
      </c>
      <c r="K13" s="114" t="s">
        <v>13</v>
      </c>
      <c r="L13" s="114" t="s">
        <v>14</v>
      </c>
      <c r="M13" s="103" t="s">
        <v>140</v>
      </c>
      <c r="N13" s="103" t="s">
        <v>15</v>
      </c>
      <c r="O13" s="103" t="s">
        <v>16</v>
      </c>
      <c r="P13" s="388" t="s">
        <v>139</v>
      </c>
      <c r="Q13" s="390" t="s">
        <v>17</v>
      </c>
    </row>
    <row r="14" spans="1:31" ht="12" customHeight="1">
      <c r="A14" s="138" t="s">
        <v>186</v>
      </c>
      <c r="B14" s="96">
        <v>0</v>
      </c>
      <c r="C14" s="54">
        <v>0</v>
      </c>
      <c r="D14" s="54">
        <v>0</v>
      </c>
      <c r="E14" s="54">
        <v>1</v>
      </c>
      <c r="F14" s="54">
        <v>0</v>
      </c>
      <c r="G14" s="54">
        <v>1</v>
      </c>
      <c r="H14" s="54">
        <v>0</v>
      </c>
      <c r="I14" s="54">
        <v>0</v>
      </c>
      <c r="J14" s="54">
        <v>0</v>
      </c>
      <c r="K14" s="131">
        <v>0</v>
      </c>
      <c r="L14" s="131">
        <v>0</v>
      </c>
      <c r="M14" s="131">
        <v>0</v>
      </c>
      <c r="N14" s="249">
        <v>0</v>
      </c>
      <c r="O14" s="249">
        <v>0</v>
      </c>
      <c r="P14" s="284">
        <v>0</v>
      </c>
      <c r="Q14" s="389">
        <f>SUM(B14:P14)</f>
        <v>2</v>
      </c>
    </row>
    <row r="15" spans="1:31" ht="12" customHeight="1">
      <c r="A15" s="133" t="s">
        <v>127</v>
      </c>
      <c r="B15" s="31">
        <v>0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120">
        <v>0</v>
      </c>
      <c r="L15" s="120">
        <v>0</v>
      </c>
      <c r="M15" s="120">
        <v>0</v>
      </c>
      <c r="N15" s="120">
        <v>0</v>
      </c>
      <c r="O15" s="120">
        <v>0</v>
      </c>
      <c r="P15" s="285">
        <v>0</v>
      </c>
      <c r="Q15" s="288">
        <f t="shared" ref="Q15:Q23" si="0">SUM(B15:P15)</f>
        <v>0</v>
      </c>
    </row>
    <row r="16" spans="1:31" ht="12" customHeight="1">
      <c r="A16" s="133" t="s">
        <v>133</v>
      </c>
      <c r="B16" s="31">
        <v>0</v>
      </c>
      <c r="C16" s="31">
        <v>0</v>
      </c>
      <c r="D16" s="31">
        <v>0</v>
      </c>
      <c r="E16" s="31">
        <v>0</v>
      </c>
      <c r="F16" s="31">
        <v>0</v>
      </c>
      <c r="G16" s="31">
        <v>1</v>
      </c>
      <c r="H16" s="31">
        <v>0</v>
      </c>
      <c r="I16" s="31">
        <v>0</v>
      </c>
      <c r="J16" s="31">
        <v>0</v>
      </c>
      <c r="K16" s="120">
        <v>0</v>
      </c>
      <c r="L16" s="120">
        <v>0</v>
      </c>
      <c r="M16" s="120">
        <v>0</v>
      </c>
      <c r="N16" s="120">
        <v>0</v>
      </c>
      <c r="O16" s="120">
        <v>0</v>
      </c>
      <c r="P16" s="285">
        <v>0</v>
      </c>
      <c r="Q16" s="288">
        <f t="shared" si="0"/>
        <v>1</v>
      </c>
    </row>
    <row r="17" spans="1:17" ht="12" customHeight="1">
      <c r="A17" s="133" t="s">
        <v>135</v>
      </c>
      <c r="B17" s="31">
        <v>0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120">
        <v>0</v>
      </c>
      <c r="L17" s="120">
        <v>0</v>
      </c>
      <c r="M17" s="120">
        <v>0</v>
      </c>
      <c r="N17" s="120">
        <v>0</v>
      </c>
      <c r="O17" s="120">
        <v>0</v>
      </c>
      <c r="P17" s="285">
        <v>0</v>
      </c>
      <c r="Q17" s="288">
        <f t="shared" si="0"/>
        <v>0</v>
      </c>
    </row>
    <row r="18" spans="1:17" ht="12" customHeight="1">
      <c r="A18" s="134" t="s">
        <v>128</v>
      </c>
      <c r="B18" s="31">
        <v>0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120">
        <v>1</v>
      </c>
      <c r="L18" s="120">
        <v>0</v>
      </c>
      <c r="M18" s="120">
        <v>0</v>
      </c>
      <c r="N18" s="120">
        <v>0</v>
      </c>
      <c r="O18" s="120">
        <v>0</v>
      </c>
      <c r="P18" s="285">
        <v>0</v>
      </c>
      <c r="Q18" s="288">
        <f t="shared" si="0"/>
        <v>1</v>
      </c>
    </row>
    <row r="19" spans="1:17" ht="12" customHeight="1">
      <c r="A19" s="133" t="s">
        <v>129</v>
      </c>
      <c r="B19" s="31">
        <v>0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120">
        <v>0</v>
      </c>
      <c r="L19" s="239">
        <v>1</v>
      </c>
      <c r="M19" s="120">
        <v>0</v>
      </c>
      <c r="N19" s="120">
        <v>0</v>
      </c>
      <c r="O19" s="120">
        <v>0</v>
      </c>
      <c r="P19" s="285">
        <v>0</v>
      </c>
      <c r="Q19" s="288">
        <f t="shared" si="0"/>
        <v>1</v>
      </c>
    </row>
    <row r="20" spans="1:17" ht="12" customHeight="1">
      <c r="A20" s="133" t="s">
        <v>134</v>
      </c>
      <c r="B20" s="31">
        <v>0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120">
        <v>0</v>
      </c>
      <c r="L20" s="120">
        <v>0</v>
      </c>
      <c r="M20" s="120">
        <v>0</v>
      </c>
      <c r="N20" s="120">
        <v>1</v>
      </c>
      <c r="O20" s="120">
        <v>0</v>
      </c>
      <c r="P20" s="285">
        <v>0</v>
      </c>
      <c r="Q20" s="288">
        <f t="shared" si="0"/>
        <v>1</v>
      </c>
    </row>
    <row r="21" spans="1:17" ht="12" customHeight="1">
      <c r="A21" s="135" t="s">
        <v>130</v>
      </c>
      <c r="B21" s="140">
        <v>0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120">
        <v>0</v>
      </c>
      <c r="L21" s="120">
        <v>0</v>
      </c>
      <c r="M21" s="120">
        <v>1</v>
      </c>
      <c r="N21" s="120">
        <v>0</v>
      </c>
      <c r="O21" s="120">
        <v>1</v>
      </c>
      <c r="P21" s="285">
        <v>1</v>
      </c>
      <c r="Q21" s="288">
        <f t="shared" si="0"/>
        <v>3</v>
      </c>
    </row>
    <row r="22" spans="1:17" ht="12" customHeight="1">
      <c r="A22" s="136" t="s">
        <v>77</v>
      </c>
      <c r="B22" s="140">
        <v>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120">
        <v>0</v>
      </c>
      <c r="L22" s="128">
        <v>0</v>
      </c>
      <c r="M22" s="128">
        <v>0</v>
      </c>
      <c r="N22" s="128">
        <v>2</v>
      </c>
      <c r="O22" s="128">
        <v>0</v>
      </c>
      <c r="P22" s="285">
        <v>0</v>
      </c>
      <c r="Q22" s="288">
        <f t="shared" si="0"/>
        <v>2</v>
      </c>
    </row>
    <row r="23" spans="1:17" ht="12" customHeight="1" thickBot="1">
      <c r="A23" s="139" t="s">
        <v>131</v>
      </c>
      <c r="B23" s="140">
        <v>0</v>
      </c>
      <c r="C23" s="31">
        <v>0</v>
      </c>
      <c r="D23" s="31">
        <v>0</v>
      </c>
      <c r="E23" s="31">
        <v>0</v>
      </c>
      <c r="F23" s="31">
        <v>1</v>
      </c>
      <c r="G23" s="31">
        <v>2</v>
      </c>
      <c r="H23" s="31">
        <v>1</v>
      </c>
      <c r="I23" s="31">
        <v>0</v>
      </c>
      <c r="J23" s="31">
        <v>0</v>
      </c>
      <c r="K23" s="120">
        <v>1</v>
      </c>
      <c r="L23" s="132">
        <v>3</v>
      </c>
      <c r="M23" s="132">
        <v>6</v>
      </c>
      <c r="N23" s="132">
        <v>4</v>
      </c>
      <c r="O23" s="132">
        <v>11</v>
      </c>
      <c r="P23" s="286">
        <v>6</v>
      </c>
      <c r="Q23" s="289">
        <f t="shared" si="0"/>
        <v>35</v>
      </c>
    </row>
    <row r="24" spans="1:17" ht="18" customHeight="1" thickBot="1">
      <c r="A24" s="108" t="s">
        <v>19</v>
      </c>
      <c r="B24" s="169">
        <v>0</v>
      </c>
      <c r="C24" s="169">
        <f t="shared" ref="C24:Q24" si="1">SUM(C14:C23)</f>
        <v>0</v>
      </c>
      <c r="D24" s="169">
        <f t="shared" si="1"/>
        <v>0</v>
      </c>
      <c r="E24" s="169">
        <f t="shared" si="1"/>
        <v>1</v>
      </c>
      <c r="F24" s="169">
        <f t="shared" si="1"/>
        <v>1</v>
      </c>
      <c r="G24" s="169">
        <f t="shared" si="1"/>
        <v>4</v>
      </c>
      <c r="H24" s="169">
        <f t="shared" si="1"/>
        <v>1</v>
      </c>
      <c r="I24" s="169">
        <f t="shared" si="1"/>
        <v>0</v>
      </c>
      <c r="J24" s="169">
        <f t="shared" si="1"/>
        <v>0</v>
      </c>
      <c r="K24" s="169">
        <f t="shared" si="1"/>
        <v>2</v>
      </c>
      <c r="L24" s="169">
        <f t="shared" si="1"/>
        <v>4</v>
      </c>
      <c r="M24" s="169">
        <f t="shared" si="1"/>
        <v>7</v>
      </c>
      <c r="N24" s="169">
        <f t="shared" si="1"/>
        <v>7</v>
      </c>
      <c r="O24" s="169">
        <f t="shared" si="1"/>
        <v>12</v>
      </c>
      <c r="P24" s="169">
        <f t="shared" si="1"/>
        <v>7</v>
      </c>
      <c r="Q24" s="287">
        <f t="shared" si="1"/>
        <v>46</v>
      </c>
    </row>
    <row r="25" spans="1:17" ht="12" customHeight="1"/>
    <row r="26" spans="1:17" ht="12" customHeight="1">
      <c r="P26" s="11"/>
    </row>
    <row r="27" spans="1:17" ht="12" customHeight="1">
      <c r="A27" s="49" t="s">
        <v>656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182"/>
    </row>
    <row r="28" spans="1:17" ht="12" customHeight="1">
      <c r="A28" s="84" t="s">
        <v>611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186"/>
    </row>
    <row r="29" spans="1:17" ht="17.25" customHeight="1">
      <c r="A29" s="432" t="s">
        <v>689</v>
      </c>
      <c r="B29" s="433"/>
      <c r="C29" s="433"/>
      <c r="D29" s="433"/>
      <c r="E29" s="46"/>
      <c r="F29" s="47"/>
      <c r="G29" s="48"/>
      <c r="H29" s="47"/>
      <c r="I29" s="47"/>
      <c r="J29" s="47"/>
      <c r="K29" s="48"/>
      <c r="L29" s="47"/>
      <c r="M29" s="50"/>
      <c r="P29" s="11"/>
    </row>
    <row r="30" spans="1:17" ht="12" customHeight="1">
      <c r="A30" s="432"/>
      <c r="B30" s="433"/>
      <c r="C30" s="433"/>
      <c r="D30" s="433"/>
      <c r="E30" s="14"/>
      <c r="F30" s="14"/>
      <c r="G30" s="2"/>
      <c r="H30" s="5"/>
      <c r="I30" s="2"/>
      <c r="J30" s="2"/>
      <c r="K30" s="2"/>
      <c r="L30" s="5"/>
      <c r="M30" s="2"/>
      <c r="N30" s="2"/>
      <c r="O30" s="2"/>
      <c r="P30" s="5"/>
    </row>
    <row r="31" spans="1:17" ht="12" customHeight="1">
      <c r="A31" s="2"/>
      <c r="B31" s="2"/>
      <c r="C31" s="2"/>
      <c r="D31" s="2"/>
      <c r="E31" s="14"/>
      <c r="F31" s="14"/>
      <c r="G31" s="2"/>
      <c r="H31" s="5"/>
      <c r="I31" s="2"/>
      <c r="J31" s="2"/>
      <c r="K31" s="2"/>
      <c r="L31" s="5"/>
      <c r="M31" s="2"/>
      <c r="N31" s="2"/>
      <c r="O31" s="2"/>
      <c r="P31" s="5"/>
    </row>
    <row r="32" spans="1:17" ht="12" customHeight="1">
      <c r="P32" s="11"/>
    </row>
    <row r="33" spans="1:29" ht="12" customHeight="1">
      <c r="A33" s="51"/>
      <c r="E33" s="5"/>
      <c r="P33" s="11"/>
    </row>
    <row r="34" spans="1:29" ht="12" customHeight="1">
      <c r="A34" s="441" t="s">
        <v>610</v>
      </c>
      <c r="B34" s="441"/>
      <c r="C34" s="441"/>
      <c r="D34" s="441"/>
      <c r="E34" s="441"/>
      <c r="F34" s="441"/>
      <c r="G34" s="441"/>
      <c r="H34" s="2"/>
      <c r="I34" s="2"/>
      <c r="J34" s="441" t="s">
        <v>690</v>
      </c>
      <c r="K34" s="441"/>
      <c r="L34" s="441"/>
      <c r="M34" s="441"/>
      <c r="N34" s="441"/>
      <c r="O34" s="441"/>
      <c r="P34" s="441"/>
      <c r="Q34" s="441"/>
      <c r="U34" s="2"/>
      <c r="V34" s="2"/>
      <c r="W34" s="2"/>
      <c r="X34" s="2"/>
      <c r="Y34" s="2"/>
      <c r="Z34" s="2"/>
      <c r="AA34" s="2"/>
      <c r="AB34" s="2"/>
      <c r="AC34" s="2"/>
    </row>
    <row r="35" spans="1:29" ht="12" customHeight="1">
      <c r="A35" s="431" t="s">
        <v>167</v>
      </c>
      <c r="B35" s="431"/>
      <c r="C35" s="431"/>
      <c r="D35" s="431"/>
      <c r="E35" s="431"/>
      <c r="F35" s="431"/>
      <c r="G35" s="431"/>
      <c r="H35" s="2"/>
      <c r="I35" s="2"/>
      <c r="J35" s="431" t="s">
        <v>691</v>
      </c>
      <c r="K35" s="431"/>
      <c r="L35" s="431"/>
      <c r="M35" s="431"/>
      <c r="N35" s="431"/>
      <c r="O35" s="431"/>
      <c r="P35" s="431"/>
      <c r="Q35" s="431"/>
      <c r="U35" s="2"/>
      <c r="V35" s="2"/>
      <c r="W35" s="2"/>
      <c r="X35" s="2"/>
      <c r="Y35" s="2"/>
      <c r="Z35" s="2"/>
      <c r="AA35" s="2"/>
      <c r="AB35" s="2"/>
      <c r="AC35" s="2"/>
    </row>
    <row r="36" spans="1:29" ht="12" customHeight="1">
      <c r="P36" s="11"/>
    </row>
    <row r="37" spans="1:29" ht="12" customHeight="1">
      <c r="P37" s="11"/>
    </row>
    <row r="38" spans="1:29" ht="12" customHeight="1"/>
    <row r="39" spans="1:29" ht="12" customHeight="1"/>
    <row r="40" spans="1:29" ht="12" customHeight="1"/>
    <row r="41" spans="1:29" ht="12" customHeight="1"/>
    <row r="42" spans="1:29" ht="12" customHeight="1"/>
    <row r="43" spans="1:29" ht="12" customHeight="1"/>
    <row r="44" spans="1:29" ht="12" customHeight="1"/>
    <row r="45" spans="1:29" ht="12" customHeight="1"/>
    <row r="46" spans="1:29" ht="12" customHeight="1"/>
    <row r="47" spans="1:29" ht="12" customHeight="1"/>
    <row r="48" spans="1:29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9" ht="9.75" customHeight="1"/>
  </sheetData>
  <mergeCells count="12">
    <mergeCell ref="J35:Q35"/>
    <mergeCell ref="J34:Q34"/>
    <mergeCell ref="A34:G34"/>
    <mergeCell ref="A35:G35"/>
    <mergeCell ref="L5:Q5"/>
    <mergeCell ref="A7:Q7"/>
    <mergeCell ref="A8:Q8"/>
    <mergeCell ref="A9:Q9"/>
    <mergeCell ref="A29:D29"/>
    <mergeCell ref="A12:K12"/>
    <mergeCell ref="A11:Q11"/>
    <mergeCell ref="A30:D30"/>
  </mergeCells>
  <phoneticPr fontId="30" type="noConversion"/>
  <conditionalFormatting sqref="A14:A23">
    <cfRule type="duplicateValues" dxfId="37" priority="86"/>
  </conditionalFormatting>
  <pageMargins left="0.56999999999999995" right="0.36" top="0.39370078740157483" bottom="0.35433070866141736" header="0.31496062992125984" footer="0.31496062992125984"/>
  <pageSetup paperSize="9" scale="9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E86"/>
  <sheetViews>
    <sheetView view="pageBreakPreview" topLeftCell="A7" zoomScale="93" zoomScaleNormal="100" zoomScaleSheetLayoutView="93" workbookViewId="0">
      <selection activeCell="A13" sqref="A13:K13"/>
    </sheetView>
  </sheetViews>
  <sheetFormatPr baseColWidth="10" defaultColWidth="10.7109375" defaultRowHeight="15"/>
  <cols>
    <col min="1" max="1" width="42.85546875" customWidth="1"/>
    <col min="2" max="15" width="5.85546875" customWidth="1"/>
    <col min="16" max="16" width="7" customWidth="1"/>
  </cols>
  <sheetData>
    <row r="1" spans="1:31" ht="15" hidden="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3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3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31">
      <c r="A4" s="98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31" ht="12" customHeight="1">
      <c r="A5" s="16" t="s">
        <v>632</v>
      </c>
      <c r="B5" s="10"/>
      <c r="C5" s="10"/>
      <c r="D5" s="6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31" ht="12" customHeight="1">
      <c r="A6" s="16" t="s">
        <v>633</v>
      </c>
      <c r="B6" s="9"/>
      <c r="C6" s="9"/>
      <c r="D6" s="2"/>
      <c r="E6" s="2"/>
      <c r="F6" s="2"/>
      <c r="G6" s="2"/>
      <c r="H6" s="21"/>
      <c r="I6" s="21"/>
      <c r="J6" s="21"/>
      <c r="K6" s="439" t="s">
        <v>34</v>
      </c>
      <c r="L6" s="439"/>
      <c r="M6" s="439"/>
      <c r="N6" s="439"/>
      <c r="O6" s="439"/>
      <c r="P6" s="439"/>
    </row>
    <row r="7" spans="1:31" ht="12" customHeight="1">
      <c r="A7" s="17" t="s">
        <v>18</v>
      </c>
      <c r="B7" s="8"/>
      <c r="C7" s="8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31" ht="15.75">
      <c r="A8" s="440" t="s">
        <v>3</v>
      </c>
      <c r="B8" s="440"/>
      <c r="C8" s="440"/>
      <c r="D8" s="440"/>
      <c r="E8" s="440"/>
      <c r="F8" s="440"/>
      <c r="G8" s="440"/>
      <c r="H8" s="440"/>
      <c r="I8" s="440"/>
      <c r="J8" s="440"/>
      <c r="K8" s="440"/>
      <c r="L8" s="440"/>
      <c r="M8" s="440"/>
      <c r="N8" s="440"/>
      <c r="O8" s="440"/>
      <c r="P8" s="440"/>
    </row>
    <row r="9" spans="1:31" ht="15.75">
      <c r="A9" s="440" t="s">
        <v>32</v>
      </c>
      <c r="B9" s="440"/>
      <c r="C9" s="440"/>
      <c r="D9" s="440"/>
      <c r="E9" s="440"/>
      <c r="F9" s="440"/>
      <c r="G9" s="440"/>
      <c r="H9" s="440"/>
      <c r="I9" s="440"/>
      <c r="J9" s="440"/>
      <c r="K9" s="440"/>
      <c r="L9" s="440"/>
      <c r="M9" s="440"/>
      <c r="N9" s="440"/>
      <c r="O9" s="440"/>
      <c r="P9" s="440"/>
    </row>
    <row r="10" spans="1:31" ht="15.75">
      <c r="A10" s="440" t="s">
        <v>33</v>
      </c>
      <c r="B10" s="440"/>
      <c r="C10" s="440"/>
      <c r="D10" s="440"/>
      <c r="E10" s="440"/>
      <c r="F10" s="440"/>
      <c r="G10" s="440"/>
      <c r="H10" s="440"/>
      <c r="I10" s="440"/>
      <c r="J10" s="440"/>
      <c r="K10" s="440"/>
      <c r="L10" s="440"/>
      <c r="M10" s="440"/>
      <c r="N10" s="440"/>
      <c r="O10" s="440"/>
      <c r="P10" s="440"/>
    </row>
    <row r="11" spans="1:31" ht="15.7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31">
      <c r="A12" s="435" t="s">
        <v>619</v>
      </c>
      <c r="B12" s="435"/>
      <c r="C12" s="435"/>
      <c r="D12" s="435"/>
      <c r="E12" s="435"/>
      <c r="F12" s="435"/>
      <c r="G12" s="435"/>
      <c r="H12" s="435"/>
      <c r="I12" s="435"/>
      <c r="J12" s="435"/>
      <c r="K12" s="435"/>
      <c r="L12" s="435"/>
      <c r="M12" s="435"/>
      <c r="N12" s="435"/>
      <c r="O12" s="435"/>
      <c r="P12" s="435"/>
    </row>
    <row r="13" spans="1:31" s="99" customFormat="1" ht="15.75" thickBot="1">
      <c r="A13" s="436" t="s">
        <v>724</v>
      </c>
      <c r="B13" s="436"/>
      <c r="C13" s="436"/>
      <c r="D13" s="436"/>
      <c r="E13" s="436"/>
      <c r="F13" s="436"/>
      <c r="G13" s="436"/>
      <c r="H13" s="436"/>
      <c r="I13" s="436"/>
      <c r="J13" s="436"/>
      <c r="K13" s="436"/>
      <c r="L13" s="189"/>
      <c r="M13" s="189"/>
      <c r="N13" s="189"/>
      <c r="O13" s="189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</row>
    <row r="14" spans="1:31" ht="82.5" thickBot="1">
      <c r="A14" s="100" t="s">
        <v>182</v>
      </c>
      <c r="B14" s="103" t="s">
        <v>154</v>
      </c>
      <c r="C14" s="103" t="s">
        <v>155</v>
      </c>
      <c r="D14" s="103" t="s">
        <v>156</v>
      </c>
      <c r="E14" s="103" t="s">
        <v>157</v>
      </c>
      <c r="F14" s="103" t="s">
        <v>158</v>
      </c>
      <c r="G14" s="103" t="s">
        <v>159</v>
      </c>
      <c r="H14" s="103" t="s">
        <v>160</v>
      </c>
      <c r="I14" s="103" t="s">
        <v>161</v>
      </c>
      <c r="J14" s="103" t="s">
        <v>162</v>
      </c>
      <c r="K14" s="103" t="s">
        <v>163</v>
      </c>
      <c r="L14" s="103" t="s">
        <v>141</v>
      </c>
      <c r="M14" s="103" t="s">
        <v>164</v>
      </c>
      <c r="N14" s="103" t="s">
        <v>165</v>
      </c>
      <c r="O14" s="388" t="s">
        <v>166</v>
      </c>
      <c r="P14" s="390" t="s">
        <v>17</v>
      </c>
    </row>
    <row r="15" spans="1:31" s="82" customFormat="1" ht="12" customHeight="1" thickBot="1">
      <c r="A15" s="106" t="s">
        <v>187</v>
      </c>
      <c r="B15" s="54"/>
      <c r="C15" s="54">
        <v>1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5"/>
      <c r="P15" s="391">
        <v>1</v>
      </c>
    </row>
    <row r="16" spans="1:31" s="82" customFormat="1" ht="12" customHeight="1" thickBot="1">
      <c r="A16" s="18" t="s">
        <v>19</v>
      </c>
      <c r="B16" s="23"/>
      <c r="C16" s="23">
        <v>1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83">
        <v>1</v>
      </c>
    </row>
    <row r="17" spans="1:17" s="82" customFormat="1" ht="12" customHeight="1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</row>
    <row r="18" spans="1:17" s="82" customFormat="1" ht="12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 s="11"/>
      <c r="Q18"/>
    </row>
    <row r="19" spans="1:17" ht="12" customHeight="1">
      <c r="A19" s="49" t="s">
        <v>656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182"/>
    </row>
    <row r="20" spans="1:17" ht="12" customHeight="1">
      <c r="A20" s="84" t="s">
        <v>611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186"/>
    </row>
    <row r="21" spans="1:17" ht="17.25" customHeight="1">
      <c r="A21" s="432" t="s">
        <v>689</v>
      </c>
      <c r="B21" s="433"/>
      <c r="C21" s="433"/>
      <c r="D21" s="433"/>
      <c r="E21" s="46"/>
      <c r="F21" s="47"/>
      <c r="G21" s="48"/>
      <c r="H21" s="47"/>
      <c r="I21" s="47"/>
      <c r="J21" s="47"/>
      <c r="K21" s="48"/>
      <c r="L21" s="47"/>
      <c r="M21" s="50"/>
      <c r="P21" s="11"/>
    </row>
    <row r="22" spans="1:17" s="82" customFormat="1" ht="12" customHeight="1">
      <c r="A22" s="2"/>
      <c r="B22" s="2"/>
      <c r="C22" s="2"/>
      <c r="D22" s="2"/>
      <c r="E22" s="14"/>
      <c r="F22" s="14"/>
      <c r="G22" s="2"/>
      <c r="H22" s="5"/>
      <c r="I22" s="2"/>
      <c r="J22" s="2"/>
      <c r="K22" s="2"/>
      <c r="L22" s="5"/>
      <c r="M22" s="2"/>
      <c r="N22" s="2"/>
      <c r="O22" s="2"/>
      <c r="P22" s="5"/>
      <c r="Q22"/>
    </row>
    <row r="23" spans="1:17" s="82" customFormat="1" ht="12" customHeight="1">
      <c r="A23" s="2"/>
      <c r="B23" s="2"/>
      <c r="C23" s="2"/>
      <c r="D23" s="2"/>
      <c r="E23" s="14"/>
      <c r="F23" s="14"/>
      <c r="G23" s="2"/>
      <c r="H23" s="5"/>
      <c r="I23" s="2"/>
      <c r="J23" s="2"/>
      <c r="K23" s="2"/>
      <c r="L23" s="5"/>
      <c r="M23" s="2"/>
      <c r="N23" s="2"/>
      <c r="O23" s="2"/>
      <c r="P23" s="5"/>
      <c r="Q23"/>
    </row>
    <row r="24" spans="1:17">
      <c r="P24" s="11"/>
    </row>
    <row r="25" spans="1:17">
      <c r="A25" s="51"/>
      <c r="E25" s="5"/>
      <c r="P25" s="11"/>
    </row>
    <row r="26" spans="1:17" s="82" customFormat="1" ht="12" customHeight="1">
      <c r="A26" s="441" t="s">
        <v>610</v>
      </c>
      <c r="B26" s="441"/>
      <c r="C26" s="441"/>
      <c r="D26" s="441"/>
      <c r="E26" s="441"/>
      <c r="F26" s="441"/>
      <c r="G26" s="2"/>
      <c r="H26" s="441" t="s">
        <v>690</v>
      </c>
      <c r="I26" s="441"/>
      <c r="J26" s="441"/>
      <c r="K26" s="441"/>
      <c r="L26" s="441"/>
      <c r="M26" s="441"/>
      <c r="N26" s="441"/>
      <c r="O26" s="441"/>
      <c r="P26" s="441"/>
    </row>
    <row r="27" spans="1:17" s="82" customFormat="1" ht="12" customHeight="1">
      <c r="A27" s="431" t="s">
        <v>167</v>
      </c>
      <c r="B27" s="431"/>
      <c r="C27" s="431"/>
      <c r="D27" s="431"/>
      <c r="E27" s="431"/>
      <c r="F27" s="431"/>
      <c r="G27" s="2"/>
      <c r="H27" s="431" t="s">
        <v>691</v>
      </c>
      <c r="I27" s="431"/>
      <c r="J27" s="431"/>
      <c r="K27" s="431"/>
      <c r="L27" s="431"/>
      <c r="M27" s="431"/>
      <c r="N27" s="431"/>
      <c r="O27" s="431"/>
      <c r="P27" s="431"/>
    </row>
    <row r="28" spans="1:17" s="82" customFormat="1" ht="12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 s="11"/>
      <c r="Q28"/>
    </row>
    <row r="29" spans="1:17" s="82" customFormat="1" ht="12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 s="11"/>
      <c r="Q29"/>
    </row>
    <row r="30" spans="1:17" s="82" customFormat="1" ht="12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7" s="82" customFormat="1" ht="12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7" s="82" customFormat="1" ht="12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82" customFormat="1" ht="12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82" customFormat="1" ht="12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82" customFormat="1" ht="12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82" customFormat="1" ht="12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82" customFormat="1" ht="12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82" customFormat="1" ht="12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82" customFormat="1" ht="12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82" customFormat="1" ht="12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82" customFormat="1" ht="12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82" customFormat="1" ht="12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82" customFormat="1" ht="12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82" customFormat="1" ht="12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82" customFormat="1" ht="12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82" customFormat="1" ht="12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82" customFormat="1" ht="12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82" customFormat="1" ht="12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82" customFormat="1" ht="12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82" customFormat="1" ht="12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82" customFormat="1" ht="12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82" customFormat="1" ht="12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82" customFormat="1" ht="12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82" customFormat="1" ht="12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82" customFormat="1" ht="12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82" customFormat="1" ht="12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82" customFormat="1" ht="12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82" customFormat="1" ht="12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82" customFormat="1" ht="12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82" customFormat="1" ht="12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82" customFormat="1" ht="12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82" customFormat="1" ht="12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82" customFormat="1" ht="12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82" customFormat="1" ht="12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82" customFormat="1" ht="12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82" customFormat="1" ht="12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 s="82" customFormat="1" ht="12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 s="82" customFormat="1" ht="12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 s="82" customFormat="1" ht="12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 s="82" customFormat="1" ht="12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 s="82" customFormat="1" ht="12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 s="82" customFormat="1" ht="12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 s="82" customFormat="1" ht="12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 s="82" customFormat="1" ht="12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 s="82" customFormat="1" ht="12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 s="82" customFormat="1" ht="12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 s="82" customFormat="1" ht="12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 s="82" customFormat="1" ht="12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85" ht="32.25" customHeight="1"/>
    <row r="86" ht="29.25" customHeight="1"/>
  </sheetData>
  <mergeCells count="11">
    <mergeCell ref="A21:D21"/>
    <mergeCell ref="A13:K13"/>
    <mergeCell ref="A27:F27"/>
    <mergeCell ref="A26:F26"/>
    <mergeCell ref="H27:P27"/>
    <mergeCell ref="H26:P26"/>
    <mergeCell ref="K6:P6"/>
    <mergeCell ref="A8:P8"/>
    <mergeCell ref="A9:P9"/>
    <mergeCell ref="A10:P10"/>
    <mergeCell ref="A12:P12"/>
  </mergeCells>
  <conditionalFormatting sqref="A15">
    <cfRule type="duplicateValues" dxfId="36" priority="170"/>
  </conditionalFormatting>
  <pageMargins left="0.95" right="0.36" top="0.47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E38"/>
  <sheetViews>
    <sheetView view="pageBreakPreview" zoomScale="60" zoomScaleNormal="86" workbookViewId="0">
      <selection activeCell="A12" sqref="A12:K12"/>
    </sheetView>
  </sheetViews>
  <sheetFormatPr baseColWidth="10" defaultColWidth="10.7109375" defaultRowHeight="15"/>
  <cols>
    <col min="1" max="1" width="4.5703125" customWidth="1"/>
    <col min="2" max="2" width="11.5703125" customWidth="1"/>
    <col min="3" max="3" width="15" customWidth="1"/>
    <col min="4" max="4" width="15.42578125" customWidth="1"/>
    <col min="5" max="5" width="15.7109375" customWidth="1"/>
    <col min="6" max="6" width="12.28515625" customWidth="1"/>
    <col min="7" max="7" width="12.42578125" bestFit="1" customWidth="1"/>
    <col min="8" max="8" width="3.140625" customWidth="1"/>
    <col min="9" max="9" width="12" customWidth="1"/>
    <col min="10" max="10" width="21.42578125" customWidth="1"/>
    <col min="11" max="11" width="27.42578125" customWidth="1"/>
  </cols>
  <sheetData>
    <row r="1" spans="1:31">
      <c r="A1" s="1"/>
      <c r="B1" s="1" t="s">
        <v>0</v>
      </c>
      <c r="C1" s="1"/>
      <c r="D1" s="1"/>
      <c r="E1" s="2"/>
      <c r="F1" s="2"/>
      <c r="G1" s="2"/>
      <c r="H1" s="2"/>
      <c r="I1" s="2"/>
      <c r="J1" s="2"/>
      <c r="K1" s="2"/>
    </row>
    <row r="2" spans="1:31" ht="9.9499999999999993" customHeight="1">
      <c r="A2" s="115"/>
      <c r="B2" s="115"/>
      <c r="C2" s="115"/>
      <c r="D2" s="1"/>
      <c r="E2" s="2"/>
      <c r="F2" s="2"/>
      <c r="G2" s="2"/>
      <c r="H2" s="2"/>
      <c r="I2" s="2"/>
      <c r="J2" s="2"/>
      <c r="K2" s="2"/>
    </row>
    <row r="3" spans="1:31" ht="9.9499999999999993" customHeight="1">
      <c r="A3" s="115"/>
      <c r="B3" s="115"/>
      <c r="C3" s="115"/>
      <c r="D3" s="1"/>
      <c r="E3" s="2"/>
      <c r="F3" s="2"/>
      <c r="G3" s="2"/>
      <c r="H3" s="2"/>
      <c r="I3" s="2"/>
      <c r="J3" s="2"/>
      <c r="K3" s="2"/>
    </row>
    <row r="4" spans="1:31" ht="11.25" customHeight="1">
      <c r="A4" s="447" t="s">
        <v>1</v>
      </c>
      <c r="B4" s="447"/>
      <c r="C4" s="447"/>
      <c r="D4" s="1"/>
      <c r="E4" s="5"/>
      <c r="F4" s="2"/>
      <c r="G4" s="2"/>
      <c r="H4" s="2"/>
      <c r="I4" s="2"/>
      <c r="J4" s="2"/>
      <c r="K4" s="2"/>
    </row>
    <row r="5" spans="1:31" ht="9.9499999999999993" customHeight="1">
      <c r="A5" s="446" t="s">
        <v>632</v>
      </c>
      <c r="B5" s="446"/>
      <c r="C5" s="446"/>
      <c r="D5" s="10"/>
      <c r="E5" s="2"/>
      <c r="F5" s="2"/>
      <c r="G5" s="2"/>
      <c r="H5" s="2"/>
      <c r="I5" s="2"/>
      <c r="J5" s="2"/>
      <c r="K5" s="2"/>
    </row>
    <row r="6" spans="1:31" ht="9.9499999999999993" customHeight="1">
      <c r="A6" s="446" t="s">
        <v>633</v>
      </c>
      <c r="B6" s="446"/>
      <c r="C6" s="446"/>
      <c r="D6" s="9"/>
      <c r="E6" s="21"/>
      <c r="F6" s="21"/>
      <c r="G6" s="21"/>
      <c r="H6" s="21"/>
      <c r="I6" s="21"/>
      <c r="J6" s="21"/>
      <c r="K6" s="25" t="s">
        <v>47</v>
      </c>
    </row>
    <row r="7" spans="1:31" ht="9.9499999999999993" customHeight="1">
      <c r="A7" s="448" t="s">
        <v>18</v>
      </c>
      <c r="B7" s="448"/>
      <c r="C7" s="448"/>
      <c r="D7" s="8"/>
      <c r="E7" s="2"/>
      <c r="F7" s="2"/>
      <c r="G7" s="2"/>
      <c r="H7" s="2"/>
      <c r="I7" s="2"/>
      <c r="J7" s="2"/>
      <c r="K7" s="2"/>
    </row>
    <row r="8" spans="1:31" ht="15.75">
      <c r="A8" s="434" t="s">
        <v>3</v>
      </c>
      <c r="B8" s="434"/>
      <c r="C8" s="434"/>
      <c r="D8" s="434"/>
      <c r="E8" s="434"/>
      <c r="F8" s="434"/>
      <c r="G8" s="434"/>
      <c r="H8" s="434"/>
      <c r="I8" s="434"/>
      <c r="J8" s="434"/>
      <c r="K8" s="434"/>
    </row>
    <row r="9" spans="1:31" ht="15.75">
      <c r="A9" s="434" t="s">
        <v>35</v>
      </c>
      <c r="B9" s="434"/>
      <c r="C9" s="434"/>
      <c r="D9" s="434"/>
      <c r="E9" s="434"/>
      <c r="F9" s="434"/>
      <c r="G9" s="434"/>
      <c r="H9" s="434"/>
      <c r="I9" s="434"/>
      <c r="J9" s="434"/>
      <c r="K9" s="434"/>
    </row>
    <row r="11" spans="1:31">
      <c r="A11" s="435" t="s">
        <v>615</v>
      </c>
      <c r="B11" s="435"/>
      <c r="C11" s="435"/>
      <c r="D11" s="435"/>
      <c r="E11" s="435"/>
      <c r="F11" s="435"/>
      <c r="G11" s="435"/>
      <c r="H11" s="435"/>
      <c r="I11" s="435"/>
      <c r="J11" s="435"/>
      <c r="K11" s="435"/>
    </row>
    <row r="12" spans="1:31" s="99" customFormat="1" ht="15.75" thickBot="1">
      <c r="A12" s="436" t="s">
        <v>724</v>
      </c>
      <c r="B12" s="436"/>
      <c r="C12" s="436"/>
      <c r="D12" s="436"/>
      <c r="E12" s="436"/>
      <c r="F12" s="436"/>
      <c r="G12" s="436"/>
      <c r="H12" s="436"/>
      <c r="I12" s="436"/>
      <c r="J12" s="436"/>
      <c r="K12" s="436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</row>
    <row r="13" spans="1:31" ht="15.75">
      <c r="A13" s="461" t="s">
        <v>36</v>
      </c>
      <c r="B13" s="462"/>
      <c r="C13" s="462"/>
      <c r="D13" s="462"/>
      <c r="E13" s="462"/>
      <c r="F13" s="462"/>
      <c r="G13" s="462"/>
      <c r="H13" s="462"/>
      <c r="I13" s="462"/>
      <c r="J13" s="462"/>
      <c r="K13" s="463"/>
    </row>
    <row r="14" spans="1:31">
      <c r="A14" s="459" t="s">
        <v>37</v>
      </c>
      <c r="B14" s="460" t="s">
        <v>38</v>
      </c>
      <c r="C14" s="458" t="s">
        <v>39</v>
      </c>
      <c r="D14" s="458" t="s">
        <v>40</v>
      </c>
      <c r="E14" s="458" t="s">
        <v>41</v>
      </c>
      <c r="F14" s="458" t="s">
        <v>42</v>
      </c>
      <c r="G14" s="460" t="s">
        <v>43</v>
      </c>
      <c r="H14" s="460" t="s">
        <v>44</v>
      </c>
      <c r="I14" s="458" t="s">
        <v>50</v>
      </c>
      <c r="J14" s="458" t="s">
        <v>45</v>
      </c>
      <c r="K14" s="458" t="s">
        <v>46</v>
      </c>
    </row>
    <row r="15" spans="1:31">
      <c r="A15" s="459"/>
      <c r="B15" s="460"/>
      <c r="C15" s="458"/>
      <c r="D15" s="458"/>
      <c r="E15" s="458"/>
      <c r="F15" s="458"/>
      <c r="G15" s="460"/>
      <c r="H15" s="460"/>
      <c r="I15" s="458"/>
      <c r="J15" s="458"/>
      <c r="K15" s="458"/>
    </row>
    <row r="16" spans="1:31" ht="12" customHeight="1">
      <c r="A16" s="38"/>
      <c r="B16" s="38"/>
      <c r="C16" s="38"/>
      <c r="D16" s="38"/>
      <c r="E16" s="38"/>
      <c r="F16" s="38"/>
      <c r="G16" s="38"/>
      <c r="H16" s="38"/>
      <c r="I16" s="38"/>
      <c r="J16" s="306"/>
      <c r="K16" s="38"/>
    </row>
    <row r="17" spans="1:16" ht="12" customHeight="1">
      <c r="A17" s="31"/>
      <c r="B17" s="31"/>
      <c r="C17" s="31"/>
      <c r="D17" s="31"/>
      <c r="E17" s="31"/>
      <c r="F17" s="31"/>
      <c r="G17" s="31"/>
      <c r="H17" s="31"/>
      <c r="I17" s="31"/>
      <c r="J17" s="95"/>
      <c r="K17" s="31"/>
    </row>
    <row r="18" spans="1:16" ht="12" customHeight="1">
      <c r="A18" s="31"/>
      <c r="B18" s="31"/>
      <c r="C18" s="31"/>
      <c r="D18" s="31"/>
      <c r="E18" s="31"/>
      <c r="F18" s="31"/>
      <c r="G18" s="31"/>
      <c r="H18" s="31"/>
      <c r="I18" s="31"/>
      <c r="J18" s="95"/>
      <c r="K18" s="31"/>
    </row>
    <row r="19" spans="1:16" ht="12" customHeight="1">
      <c r="A19" s="31"/>
      <c r="B19" s="31"/>
      <c r="C19" s="31"/>
      <c r="D19" s="31"/>
      <c r="E19" s="31"/>
      <c r="F19" s="31"/>
      <c r="G19" s="31"/>
      <c r="H19" s="31"/>
      <c r="I19" s="31"/>
      <c r="J19" s="95"/>
      <c r="K19" s="31"/>
    </row>
    <row r="20" spans="1:16" ht="15.75" thickBot="1"/>
    <row r="21" spans="1:16" ht="16.5" thickBot="1">
      <c r="A21" s="449" t="s">
        <v>168</v>
      </c>
      <c r="B21" s="450"/>
      <c r="C21" s="450"/>
      <c r="D21" s="450"/>
      <c r="E21" s="450"/>
      <c r="F21" s="450"/>
      <c r="G21" s="450"/>
      <c r="H21" s="450"/>
      <c r="I21" s="450"/>
      <c r="J21" s="450"/>
      <c r="K21" s="451"/>
    </row>
    <row r="22" spans="1:16">
      <c r="A22" s="452" t="s">
        <v>37</v>
      </c>
      <c r="B22" s="454" t="s">
        <v>38</v>
      </c>
      <c r="C22" s="456" t="s">
        <v>39</v>
      </c>
      <c r="D22" s="456" t="s">
        <v>40</v>
      </c>
      <c r="E22" s="456" t="s">
        <v>41</v>
      </c>
      <c r="F22" s="456" t="s">
        <v>42</v>
      </c>
      <c r="G22" s="454" t="s">
        <v>43</v>
      </c>
      <c r="H22" s="454" t="s">
        <v>44</v>
      </c>
      <c r="I22" s="456" t="s">
        <v>50</v>
      </c>
      <c r="J22" s="464" t="s">
        <v>45</v>
      </c>
      <c r="K22" s="456" t="s">
        <v>46</v>
      </c>
    </row>
    <row r="23" spans="1:16" ht="15.75" thickBot="1">
      <c r="A23" s="453"/>
      <c r="B23" s="455"/>
      <c r="C23" s="457"/>
      <c r="D23" s="457"/>
      <c r="E23" s="457"/>
      <c r="F23" s="457"/>
      <c r="G23" s="455"/>
      <c r="H23" s="455"/>
      <c r="I23" s="457"/>
      <c r="J23" s="465"/>
      <c r="K23" s="457"/>
    </row>
    <row r="24" spans="1:16" ht="12" customHeight="1">
      <c r="A24" s="54"/>
      <c r="B24" s="54"/>
      <c r="C24" s="54"/>
      <c r="D24" s="54"/>
      <c r="E24" s="54"/>
      <c r="F24" s="54"/>
      <c r="G24" s="54"/>
      <c r="H24" s="54"/>
      <c r="I24" s="54"/>
      <c r="J24" s="117"/>
      <c r="K24" s="31"/>
    </row>
    <row r="25" spans="1:16" ht="12" customHeight="1">
      <c r="A25" s="31"/>
      <c r="B25" s="31"/>
      <c r="C25" s="31"/>
      <c r="D25" s="31"/>
      <c r="E25" s="31"/>
      <c r="F25" s="31"/>
      <c r="G25" s="31"/>
      <c r="H25" s="31"/>
      <c r="I25" s="31"/>
      <c r="J25" s="95"/>
      <c r="K25" s="31"/>
    </row>
    <row r="26" spans="1:16" ht="12" customHeight="1">
      <c r="A26" s="31"/>
      <c r="B26" s="31"/>
      <c r="C26" s="31"/>
      <c r="D26" s="31"/>
      <c r="E26" s="31"/>
      <c r="F26" s="31"/>
      <c r="G26" s="31"/>
      <c r="H26" s="31"/>
      <c r="I26" s="31"/>
      <c r="J26" s="95"/>
      <c r="K26" s="31"/>
    </row>
    <row r="27" spans="1:16" ht="12" customHeight="1">
      <c r="A27" s="31"/>
      <c r="B27" s="31"/>
      <c r="C27" s="31"/>
      <c r="D27" s="31"/>
      <c r="E27" s="31"/>
      <c r="F27" s="31"/>
      <c r="G27" s="31"/>
      <c r="H27" s="31"/>
      <c r="I27" s="31"/>
      <c r="J27" s="95"/>
      <c r="K27" s="31"/>
      <c r="P27" s="11"/>
    </row>
    <row r="28" spans="1:16" ht="12" customHeight="1">
      <c r="A28" s="49" t="s">
        <v>656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182"/>
    </row>
    <row r="29" spans="1:16" ht="12" customHeight="1">
      <c r="A29" s="84" t="s">
        <v>611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186"/>
    </row>
    <row r="30" spans="1:16" ht="14.45" customHeight="1">
      <c r="A30" s="432" t="s">
        <v>689</v>
      </c>
      <c r="B30" s="433"/>
      <c r="C30" s="433"/>
      <c r="D30" s="433"/>
      <c r="E30" s="46"/>
      <c r="F30" s="47"/>
      <c r="G30" s="48"/>
      <c r="H30" s="47"/>
      <c r="I30" s="47"/>
      <c r="J30" s="47"/>
      <c r="K30" s="48"/>
      <c r="L30" s="47"/>
      <c r="M30" s="50"/>
      <c r="P30" s="11"/>
    </row>
    <row r="31" spans="1:16">
      <c r="A31" s="2"/>
      <c r="B31" s="2"/>
      <c r="C31" s="2"/>
      <c r="D31" s="2"/>
      <c r="E31" s="14"/>
      <c r="F31" s="14"/>
      <c r="G31" s="2"/>
      <c r="H31" s="5"/>
      <c r="I31" s="2"/>
      <c r="J31" s="2"/>
      <c r="K31" s="2"/>
      <c r="L31" s="5"/>
      <c r="M31" s="2"/>
      <c r="N31" s="2"/>
      <c r="O31" s="2"/>
      <c r="P31" s="5"/>
    </row>
    <row r="32" spans="1:16">
      <c r="A32" s="2"/>
      <c r="B32" s="2"/>
      <c r="C32" s="2"/>
      <c r="D32" s="2"/>
      <c r="E32" s="14"/>
      <c r="F32" s="14"/>
      <c r="G32" s="2"/>
      <c r="H32" s="5"/>
      <c r="I32" s="2"/>
      <c r="J32" s="2"/>
      <c r="K32" s="2"/>
      <c r="L32" s="5"/>
      <c r="M32" s="2"/>
      <c r="N32" s="2"/>
      <c r="O32" s="2"/>
      <c r="P32" s="5"/>
    </row>
    <row r="33" spans="1:19">
      <c r="P33" s="11"/>
    </row>
    <row r="34" spans="1:19">
      <c r="A34" s="51"/>
      <c r="E34" s="5"/>
      <c r="P34" s="11"/>
    </row>
    <row r="35" spans="1:19">
      <c r="A35" s="51"/>
      <c r="C35" s="441" t="s">
        <v>612</v>
      </c>
      <c r="D35" s="441"/>
      <c r="E35" s="2"/>
      <c r="F35" s="11"/>
      <c r="H35" s="441" t="s">
        <v>690</v>
      </c>
      <c r="I35" s="441"/>
      <c r="J35" s="441"/>
      <c r="K35" s="441"/>
      <c r="L35" s="2"/>
      <c r="M35" s="2"/>
      <c r="N35" s="2"/>
      <c r="O35" s="2"/>
      <c r="P35" s="2"/>
      <c r="Q35" s="2"/>
      <c r="R35" s="2"/>
      <c r="S35" s="2"/>
    </row>
    <row r="36" spans="1:19">
      <c r="C36" s="13" t="s">
        <v>167</v>
      </c>
      <c r="D36" s="2"/>
      <c r="E36" s="2"/>
      <c r="F36" s="11"/>
      <c r="H36" s="431" t="s">
        <v>691</v>
      </c>
      <c r="I36" s="431"/>
      <c r="J36" s="431"/>
      <c r="K36" s="431"/>
      <c r="L36" s="2"/>
      <c r="M36" s="2"/>
      <c r="N36" s="2"/>
      <c r="O36" s="2"/>
      <c r="P36" s="2"/>
      <c r="Q36" s="2"/>
      <c r="R36" s="2"/>
      <c r="S36" s="2"/>
    </row>
    <row r="37" spans="1:19">
      <c r="P37" s="11"/>
    </row>
    <row r="38" spans="1:19">
      <c r="P38" s="11"/>
    </row>
  </sheetData>
  <mergeCells count="36">
    <mergeCell ref="H36:K36"/>
    <mergeCell ref="C35:D35"/>
    <mergeCell ref="I22:I23"/>
    <mergeCell ref="J22:J23"/>
    <mergeCell ref="A30:D30"/>
    <mergeCell ref="D22:D23"/>
    <mergeCell ref="E22:E23"/>
    <mergeCell ref="F22:F23"/>
    <mergeCell ref="G22:G23"/>
    <mergeCell ref="H22:H23"/>
    <mergeCell ref="A11:K11"/>
    <mergeCell ref="A8:K8"/>
    <mergeCell ref="A9:K9"/>
    <mergeCell ref="A13:K13"/>
    <mergeCell ref="A12:K12"/>
    <mergeCell ref="C14:C15"/>
    <mergeCell ref="D14:D15"/>
    <mergeCell ref="E14:E15"/>
    <mergeCell ref="F14:F15"/>
    <mergeCell ref="K22:K23"/>
    <mergeCell ref="A5:C5"/>
    <mergeCell ref="A6:C6"/>
    <mergeCell ref="A4:C4"/>
    <mergeCell ref="A7:C7"/>
    <mergeCell ref="H35:K35"/>
    <mergeCell ref="A21:K21"/>
    <mergeCell ref="A22:A23"/>
    <mergeCell ref="B22:B23"/>
    <mergeCell ref="C22:C23"/>
    <mergeCell ref="K14:K15"/>
    <mergeCell ref="A14:A15"/>
    <mergeCell ref="I14:I15"/>
    <mergeCell ref="G14:G15"/>
    <mergeCell ref="H14:H15"/>
    <mergeCell ref="J14:J15"/>
    <mergeCell ref="B14:B15"/>
  </mergeCells>
  <pageMargins left="0.72" right="0.12" top="0.57999999999999996" bottom="0.75" header="0.3" footer="0.3"/>
  <pageSetup paperSize="10000" scale="8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AD33"/>
  <sheetViews>
    <sheetView view="pageBreakPreview" zoomScale="84" zoomScaleNormal="100" zoomScaleSheetLayoutView="84" workbookViewId="0">
      <selection activeCell="A12" sqref="A12:K12"/>
    </sheetView>
  </sheetViews>
  <sheetFormatPr baseColWidth="10" defaultColWidth="10.7109375" defaultRowHeight="15"/>
  <cols>
    <col min="1" max="1" width="42.85546875" customWidth="1"/>
    <col min="2" max="12" width="4.140625" customWidth="1"/>
    <col min="13" max="13" width="4.7109375" customWidth="1"/>
    <col min="14" max="15" width="4.140625" customWidth="1"/>
    <col min="16" max="26" width="2.7109375" customWidth="1"/>
    <col min="27" max="27" width="3" customWidth="1"/>
    <col min="28" max="29" width="2.7109375" customWidth="1"/>
    <col min="30" max="30" width="5.42578125" customWidth="1"/>
  </cols>
  <sheetData>
    <row r="1" spans="1:30">
      <c r="A1" s="1" t="s">
        <v>0</v>
      </c>
    </row>
    <row r="2" spans="1:30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3"/>
      <c r="W2" s="13"/>
      <c r="X2" s="13"/>
      <c r="Y2" s="13"/>
      <c r="Z2" s="13"/>
      <c r="AA2" s="13"/>
      <c r="AB2" s="13"/>
      <c r="AC2" s="13"/>
    </row>
    <row r="3" spans="1:30" ht="9.6" customHeight="1">
      <c r="A3" s="98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3"/>
      <c r="Y3" s="3"/>
      <c r="Z3" s="3"/>
      <c r="AA3" s="3"/>
      <c r="AB3" s="3"/>
      <c r="AC3" s="3"/>
    </row>
    <row r="4" spans="1:30" ht="9.6" customHeight="1">
      <c r="A4" s="16" t="s">
        <v>632</v>
      </c>
      <c r="B4" s="10"/>
      <c r="C4" s="10"/>
      <c r="D4" s="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5"/>
      <c r="W4" s="5"/>
      <c r="X4" s="4"/>
      <c r="Y4" s="4"/>
      <c r="Z4" s="4"/>
      <c r="AA4" s="4"/>
      <c r="AB4" s="4"/>
      <c r="AC4" s="4"/>
    </row>
    <row r="5" spans="1:30" ht="9.6" customHeight="1">
      <c r="A5" s="16" t="s">
        <v>633</v>
      </c>
      <c r="B5" s="9"/>
      <c r="C5" s="9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39" t="s">
        <v>55</v>
      </c>
      <c r="W5" s="439"/>
      <c r="X5" s="439"/>
      <c r="Y5" s="439"/>
      <c r="Z5" s="439"/>
      <c r="AA5" s="439"/>
      <c r="AB5" s="439"/>
      <c r="AC5" s="439"/>
      <c r="AD5" s="439"/>
    </row>
    <row r="6" spans="1:30" ht="9.6" customHeight="1">
      <c r="A6" s="17" t="s">
        <v>18</v>
      </c>
      <c r="B6" s="8"/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30" ht="15.75">
      <c r="A7" s="434" t="s">
        <v>3</v>
      </c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  <c r="Z7" s="434"/>
      <c r="AA7" s="434"/>
      <c r="AB7" s="434"/>
      <c r="AC7" s="434"/>
    </row>
    <row r="8" spans="1:30" ht="15.75">
      <c r="A8" s="434" t="s">
        <v>20</v>
      </c>
      <c r="B8" s="434"/>
      <c r="C8" s="434"/>
      <c r="D8" s="434"/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4"/>
      <c r="T8" s="434"/>
      <c r="U8" s="434"/>
      <c r="V8" s="434"/>
      <c r="W8" s="434"/>
      <c r="X8" s="434"/>
      <c r="Y8" s="434"/>
      <c r="Z8" s="434"/>
      <c r="AA8" s="434"/>
      <c r="AB8" s="434"/>
      <c r="AC8" s="434"/>
    </row>
    <row r="9" spans="1:30" ht="15.75">
      <c r="A9" s="440" t="s">
        <v>21</v>
      </c>
      <c r="B9" s="440"/>
      <c r="C9" s="440"/>
      <c r="D9" s="440"/>
      <c r="E9" s="440"/>
      <c r="F9" s="440"/>
      <c r="G9" s="440"/>
      <c r="H9" s="440"/>
      <c r="I9" s="440"/>
      <c r="J9" s="440"/>
      <c r="K9" s="440"/>
      <c r="L9" s="440"/>
      <c r="M9" s="440"/>
      <c r="N9" s="440"/>
      <c r="O9" s="440"/>
      <c r="P9" s="440"/>
      <c r="Q9" s="440"/>
      <c r="R9" s="440"/>
      <c r="S9" s="440"/>
      <c r="T9" s="440"/>
      <c r="U9" s="440"/>
      <c r="V9" s="440"/>
      <c r="W9" s="440"/>
      <c r="X9" s="440"/>
      <c r="Y9" s="440"/>
      <c r="Z9" s="440"/>
      <c r="AA9" s="440"/>
      <c r="AB9" s="440"/>
      <c r="AC9" s="440"/>
    </row>
    <row r="10" spans="1:30" ht="15.7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30">
      <c r="A11" s="435" t="s">
        <v>614</v>
      </c>
      <c r="B11" s="435"/>
      <c r="C11" s="435"/>
      <c r="D11" s="435"/>
      <c r="E11" s="435"/>
      <c r="F11" s="435"/>
      <c r="G11" s="435"/>
      <c r="H11" s="435"/>
      <c r="I11" s="435"/>
      <c r="J11" s="435"/>
      <c r="K11" s="435"/>
      <c r="L11" s="435"/>
      <c r="M11" s="435"/>
      <c r="N11" s="435"/>
      <c r="O11" s="435"/>
      <c r="P11" s="435"/>
      <c r="Q11" s="435"/>
      <c r="R11" s="435"/>
      <c r="S11" s="435"/>
      <c r="T11" s="435"/>
      <c r="U11" s="435"/>
      <c r="V11" s="435"/>
      <c r="W11" s="435"/>
      <c r="X11" s="435"/>
      <c r="Y11" s="435"/>
      <c r="Z11" s="435"/>
      <c r="AA11" s="435"/>
      <c r="AB11" s="435"/>
      <c r="AC11" s="435"/>
      <c r="AD11" s="435"/>
    </row>
    <row r="12" spans="1:30" s="99" customFormat="1" ht="15.75" thickBot="1">
      <c r="A12" s="436" t="s">
        <v>724</v>
      </c>
      <c r="B12" s="436"/>
      <c r="C12" s="436"/>
      <c r="D12" s="436"/>
      <c r="E12" s="436"/>
      <c r="F12" s="436"/>
      <c r="G12" s="436"/>
      <c r="H12" s="436"/>
      <c r="I12" s="436"/>
      <c r="J12" s="436"/>
      <c r="K12" s="436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</row>
    <row r="13" spans="1:30" ht="16.5" thickBot="1">
      <c r="A13" s="470" t="s">
        <v>181</v>
      </c>
      <c r="B13" s="470"/>
      <c r="C13" s="470"/>
      <c r="D13" s="470"/>
      <c r="E13" s="470"/>
      <c r="F13" s="470"/>
      <c r="G13" s="470"/>
      <c r="H13" s="470"/>
      <c r="I13" s="470"/>
      <c r="J13" s="470"/>
      <c r="K13" s="470"/>
      <c r="L13" s="470"/>
      <c r="M13" s="470"/>
      <c r="N13" s="470"/>
      <c r="O13" s="470"/>
      <c r="P13" s="470"/>
      <c r="Q13" s="470"/>
      <c r="R13" s="470"/>
      <c r="S13" s="470"/>
      <c r="T13" s="470"/>
      <c r="U13" s="470"/>
      <c r="V13" s="470"/>
      <c r="W13" s="470"/>
      <c r="X13" s="470"/>
      <c r="Y13" s="470"/>
      <c r="Z13" s="470"/>
      <c r="AA13" s="470"/>
      <c r="AB13" s="470"/>
      <c r="AC13" s="470"/>
      <c r="AD13" s="470"/>
    </row>
    <row r="14" spans="1:30" ht="75" customHeight="1" thickBot="1">
      <c r="A14" s="100" t="s">
        <v>182</v>
      </c>
      <c r="B14" s="102" t="s">
        <v>5</v>
      </c>
      <c r="C14" s="103" t="s">
        <v>6</v>
      </c>
      <c r="D14" s="103" t="s">
        <v>7</v>
      </c>
      <c r="E14" s="103" t="s">
        <v>8</v>
      </c>
      <c r="F14" s="103" t="s">
        <v>9</v>
      </c>
      <c r="G14" s="103" t="s">
        <v>10</v>
      </c>
      <c r="H14" s="103" t="s">
        <v>11</v>
      </c>
      <c r="I14" s="103" t="s">
        <v>12</v>
      </c>
      <c r="J14" s="103" t="s">
        <v>13</v>
      </c>
      <c r="K14" s="103" t="s">
        <v>14</v>
      </c>
      <c r="L14" s="103" t="s">
        <v>140</v>
      </c>
      <c r="M14" s="103" t="s">
        <v>15</v>
      </c>
      <c r="N14" s="103" t="s">
        <v>16</v>
      </c>
      <c r="O14" s="103" t="s">
        <v>139</v>
      </c>
      <c r="P14" s="103" t="s">
        <v>154</v>
      </c>
      <c r="Q14" s="103" t="s">
        <v>155</v>
      </c>
      <c r="R14" s="103" t="s">
        <v>156</v>
      </c>
      <c r="S14" s="103" t="s">
        <v>157</v>
      </c>
      <c r="T14" s="103" t="s">
        <v>158</v>
      </c>
      <c r="U14" s="103" t="s">
        <v>159</v>
      </c>
      <c r="V14" s="103" t="s">
        <v>160</v>
      </c>
      <c r="W14" s="103" t="s">
        <v>161</v>
      </c>
      <c r="X14" s="103" t="s">
        <v>162</v>
      </c>
      <c r="Y14" s="103" t="s">
        <v>163</v>
      </c>
      <c r="Z14" s="103" t="s">
        <v>141</v>
      </c>
      <c r="AA14" s="103" t="s">
        <v>164</v>
      </c>
      <c r="AB14" s="103" t="s">
        <v>165</v>
      </c>
      <c r="AC14" s="104" t="s">
        <v>166</v>
      </c>
      <c r="AD14" s="210" t="s">
        <v>19</v>
      </c>
    </row>
    <row r="15" spans="1:30" ht="12" customHeight="1">
      <c r="A15" s="145"/>
      <c r="B15" s="53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5"/>
      <c r="AD15" s="142"/>
    </row>
    <row r="16" spans="1:30" ht="12" customHeight="1">
      <c r="A16" s="146"/>
      <c r="B16" s="148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49"/>
      <c r="AD16" s="143"/>
    </row>
    <row r="17" spans="1:30" ht="15.75" thickBot="1">
      <c r="A17" s="147" t="s">
        <v>19</v>
      </c>
      <c r="B17" s="150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51"/>
      <c r="AD17" s="144">
        <v>0</v>
      </c>
    </row>
    <row r="18" spans="1:30" ht="28.5" customHeight="1">
      <c r="A18" s="466" t="s">
        <v>180</v>
      </c>
      <c r="B18" s="467"/>
      <c r="C18" s="467"/>
      <c r="D18" s="467"/>
      <c r="E18" s="467"/>
      <c r="F18" s="467"/>
      <c r="G18" s="467"/>
      <c r="H18" s="467"/>
      <c r="I18" s="467"/>
      <c r="J18" s="467"/>
      <c r="K18" s="467"/>
      <c r="L18" s="467"/>
      <c r="M18" s="467"/>
      <c r="N18" s="467"/>
      <c r="O18" s="467"/>
      <c r="P18" s="467"/>
      <c r="Q18" s="467"/>
      <c r="R18" s="467"/>
      <c r="S18" s="467"/>
      <c r="T18" s="467"/>
      <c r="U18" s="467"/>
      <c r="V18" s="467"/>
      <c r="W18" s="467"/>
      <c r="X18" s="467"/>
      <c r="Y18" s="467"/>
      <c r="Z18" s="467"/>
      <c r="AA18" s="467"/>
      <c r="AB18" s="467"/>
      <c r="AC18" s="467"/>
      <c r="AD18" s="468"/>
    </row>
    <row r="19" spans="1:30" ht="12.75" customHeight="1">
      <c r="A19" s="152"/>
      <c r="B19" s="97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95"/>
      <c r="AD19" s="126"/>
    </row>
    <row r="20" spans="1:30" ht="15" hidden="1" customHeight="1" thickBot="1">
      <c r="A20" s="153"/>
      <c r="B20" s="251"/>
      <c r="C20" s="14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95"/>
      <c r="AD20" s="126"/>
    </row>
    <row r="21" spans="1:30" ht="15.75" thickBot="1">
      <c r="A21" s="250" t="s">
        <v>24</v>
      </c>
      <c r="B21" s="253"/>
      <c r="C21" s="252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95"/>
      <c r="AD21" s="126"/>
    </row>
    <row r="22" spans="1:30" ht="15.75" thickBot="1">
      <c r="A22" s="442"/>
      <c r="B22" s="469"/>
      <c r="C22" s="469"/>
      <c r="D22" s="469"/>
      <c r="E22" s="469"/>
      <c r="F22" s="469"/>
      <c r="G22" s="469"/>
      <c r="H22" s="469"/>
      <c r="I22" s="469"/>
      <c r="J22" s="469"/>
      <c r="K22" s="469"/>
      <c r="L22" s="469"/>
      <c r="M22" s="469"/>
      <c r="N22" s="469"/>
      <c r="O22" s="469"/>
      <c r="P22" s="469"/>
      <c r="Q22" s="469"/>
      <c r="R22" s="469"/>
      <c r="S22" s="469"/>
      <c r="T22" s="469"/>
      <c r="U22" s="469"/>
      <c r="V22" s="469"/>
      <c r="W22" s="469"/>
      <c r="X22" s="469"/>
      <c r="Y22" s="469"/>
      <c r="Z22" s="469"/>
      <c r="AA22" s="469"/>
      <c r="AB22" s="469"/>
      <c r="AC22" s="469"/>
      <c r="AD22" s="444"/>
    </row>
    <row r="23" spans="1:30" ht="15.75" thickBot="1">
      <c r="A23" s="27" t="s">
        <v>25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63">
        <v>0</v>
      </c>
    </row>
    <row r="24" spans="1:30">
      <c r="P24" s="11"/>
    </row>
    <row r="25" spans="1:30" ht="12" customHeight="1">
      <c r="A25" s="49" t="s">
        <v>656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182"/>
    </row>
    <row r="26" spans="1:30" ht="12" customHeight="1">
      <c r="A26" s="84" t="s">
        <v>611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186"/>
    </row>
    <row r="27" spans="1:30" ht="14.45" customHeight="1">
      <c r="A27" s="432" t="s">
        <v>689</v>
      </c>
      <c r="B27" s="433"/>
      <c r="C27" s="433"/>
      <c r="D27" s="433"/>
      <c r="E27" s="46"/>
      <c r="F27" s="47"/>
      <c r="G27" s="48"/>
      <c r="H27" s="47"/>
      <c r="I27" s="47"/>
      <c r="J27" s="47"/>
      <c r="K27" s="48"/>
      <c r="L27" s="47"/>
      <c r="M27" s="50"/>
      <c r="P27" s="11"/>
    </row>
    <row r="28" spans="1:30">
      <c r="P28" s="11"/>
    </row>
    <row r="29" spans="1:30">
      <c r="A29" s="51"/>
      <c r="E29" s="5"/>
      <c r="P29" s="11"/>
    </row>
    <row r="30" spans="1:30">
      <c r="A30" s="441" t="s">
        <v>610</v>
      </c>
      <c r="B30" s="441"/>
      <c r="C30" s="441"/>
      <c r="D30" s="441"/>
      <c r="E30" s="441"/>
      <c r="F30" s="441"/>
      <c r="G30" s="441"/>
      <c r="H30" s="441"/>
      <c r="I30" s="2"/>
      <c r="J30" s="2"/>
      <c r="K30" s="2"/>
      <c r="L30" s="2"/>
      <c r="O30" s="441" t="s">
        <v>690</v>
      </c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Z30" s="441"/>
      <c r="AA30" s="441"/>
      <c r="AB30" s="441"/>
      <c r="AC30" s="441"/>
      <c r="AD30" s="441"/>
    </row>
    <row r="31" spans="1:30">
      <c r="A31" s="431" t="s">
        <v>167</v>
      </c>
      <c r="B31" s="431"/>
      <c r="C31" s="431"/>
      <c r="D31" s="431"/>
      <c r="E31" s="431"/>
      <c r="F31" s="431"/>
      <c r="G31" s="431"/>
      <c r="H31" s="431"/>
      <c r="I31" s="2"/>
      <c r="J31" s="2"/>
      <c r="K31" s="2"/>
      <c r="L31" s="2"/>
      <c r="N31" s="431" t="s">
        <v>691</v>
      </c>
      <c r="O31" s="431"/>
      <c r="P31" s="431"/>
      <c r="Q31" s="431"/>
      <c r="R31" s="431"/>
      <c r="S31" s="431"/>
      <c r="T31" s="431"/>
      <c r="U31" s="431"/>
      <c r="V31" s="431"/>
      <c r="W31" s="431"/>
      <c r="X31" s="431"/>
      <c r="Y31" s="431"/>
      <c r="Z31" s="431"/>
      <c r="AA31" s="431"/>
      <c r="AB31" s="431"/>
      <c r="AC31" s="431"/>
      <c r="AD31" s="431"/>
    </row>
    <row r="32" spans="1:30">
      <c r="P32" s="11"/>
    </row>
    <row r="33" spans="16:16">
      <c r="P33" s="11"/>
    </row>
  </sheetData>
  <mergeCells count="14">
    <mergeCell ref="A27:D27"/>
    <mergeCell ref="O30:AD30"/>
    <mergeCell ref="A30:H30"/>
    <mergeCell ref="A31:H31"/>
    <mergeCell ref="N31:AD31"/>
    <mergeCell ref="V5:AD5"/>
    <mergeCell ref="A18:AD18"/>
    <mergeCell ref="A22:AD22"/>
    <mergeCell ref="A7:AC7"/>
    <mergeCell ref="A8:AC8"/>
    <mergeCell ref="A9:AC9"/>
    <mergeCell ref="A11:AD11"/>
    <mergeCell ref="A12:K12"/>
    <mergeCell ref="A13:AD13"/>
  </mergeCells>
  <conditionalFormatting sqref="A15:A16">
    <cfRule type="duplicateValues" dxfId="35" priority="87"/>
  </conditionalFormatting>
  <conditionalFormatting sqref="A19:A20">
    <cfRule type="duplicateValues" dxfId="34" priority="167"/>
  </conditionalFormatting>
  <pageMargins left="0.32" right="0.18" top="0.4" bottom="0.36" header="0.3" footer="0.3"/>
  <pageSetup paperSize="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P24"/>
  <sheetViews>
    <sheetView view="pageBreakPreview" zoomScale="60" zoomScaleNormal="85" workbookViewId="0">
      <selection activeCell="A11" sqref="A11:K11"/>
    </sheetView>
  </sheetViews>
  <sheetFormatPr baseColWidth="10" defaultColWidth="10.7109375" defaultRowHeight="15"/>
  <cols>
    <col min="1" max="1" width="3.5703125" customWidth="1"/>
    <col min="2" max="2" width="11.42578125" style="11"/>
    <col min="3" max="3" width="12.28515625" customWidth="1"/>
    <col min="4" max="4" width="13.42578125" customWidth="1"/>
    <col min="6" max="6" width="9.5703125" customWidth="1"/>
    <col min="7" max="7" width="8.85546875" customWidth="1"/>
    <col min="8" max="8" width="5.7109375" customWidth="1"/>
    <col min="9" max="9" width="17" style="11" customWidth="1"/>
    <col min="10" max="10" width="18.42578125" customWidth="1"/>
    <col min="11" max="11" width="27.140625" customWidth="1"/>
    <col min="12" max="12" width="37.85546875" customWidth="1"/>
  </cols>
  <sheetData>
    <row r="1" spans="1:16">
      <c r="A1" s="115"/>
      <c r="B1" s="116" t="s">
        <v>0</v>
      </c>
      <c r="C1" s="115"/>
    </row>
    <row r="2" spans="1:16" ht="16.899999999999999" customHeight="1">
      <c r="A2" s="115"/>
      <c r="B2" s="116"/>
      <c r="C2" s="115"/>
      <c r="E2" s="2"/>
      <c r="F2" s="2"/>
      <c r="G2" s="2"/>
      <c r="H2" s="2"/>
      <c r="I2" s="5"/>
      <c r="J2" s="2"/>
      <c r="K2" s="2"/>
    </row>
    <row r="3" spans="1:16" ht="11.25" customHeight="1">
      <c r="A3" s="447" t="s">
        <v>1</v>
      </c>
      <c r="B3" s="447"/>
      <c r="C3" s="447"/>
      <c r="E3" s="2"/>
      <c r="F3" s="2"/>
      <c r="G3" s="2"/>
      <c r="H3" s="2"/>
      <c r="I3" s="5"/>
      <c r="J3" s="2"/>
      <c r="K3" s="2"/>
    </row>
    <row r="4" spans="1:16" ht="9.9499999999999993" customHeight="1">
      <c r="A4" s="446" t="s">
        <v>188</v>
      </c>
      <c r="B4" s="446"/>
      <c r="C4" s="446"/>
      <c r="E4" s="2"/>
      <c r="F4" s="2"/>
      <c r="G4" s="2"/>
      <c r="H4" s="2"/>
      <c r="I4" s="5"/>
      <c r="J4" s="2"/>
      <c r="K4" s="2"/>
    </row>
    <row r="5" spans="1:16" ht="9.9499999999999993" customHeight="1">
      <c r="A5" s="446" t="s">
        <v>633</v>
      </c>
      <c r="B5" s="446"/>
      <c r="C5" s="446"/>
      <c r="E5" s="21"/>
      <c r="F5" s="21"/>
      <c r="G5" s="21"/>
      <c r="H5" s="21"/>
      <c r="I5" s="22"/>
      <c r="J5" s="25"/>
      <c r="K5" s="439" t="s">
        <v>54</v>
      </c>
      <c r="L5" s="439"/>
    </row>
    <row r="6" spans="1:16" ht="9.9499999999999993" customHeight="1">
      <c r="A6" s="448" t="s">
        <v>18</v>
      </c>
      <c r="B6" s="448"/>
      <c r="C6" s="448"/>
      <c r="E6" s="2"/>
      <c r="F6" s="2"/>
      <c r="G6" s="2"/>
      <c r="H6" s="2"/>
      <c r="I6" s="5"/>
      <c r="J6" s="2"/>
      <c r="K6" s="2"/>
    </row>
    <row r="7" spans="1:16" ht="15.75">
      <c r="A7" s="434" t="s">
        <v>3</v>
      </c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</row>
    <row r="8" spans="1:16" ht="15.75">
      <c r="A8" s="471" t="s">
        <v>48</v>
      </c>
      <c r="B8" s="471"/>
      <c r="C8" s="471"/>
      <c r="D8" s="471"/>
      <c r="E8" s="471"/>
      <c r="F8" s="471"/>
      <c r="G8" s="471"/>
      <c r="H8" s="471"/>
      <c r="I8" s="471"/>
      <c r="J8" s="471"/>
      <c r="K8" s="471"/>
      <c r="L8" s="471"/>
    </row>
    <row r="9" spans="1:16" ht="15.7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</row>
    <row r="10" spans="1:16">
      <c r="A10" s="435" t="s">
        <v>620</v>
      </c>
      <c r="B10" s="435"/>
      <c r="C10" s="435"/>
      <c r="D10" s="435"/>
      <c r="E10" s="435"/>
      <c r="F10" s="435"/>
      <c r="G10" s="435"/>
      <c r="H10" s="435"/>
      <c r="I10" s="435"/>
      <c r="J10" s="435"/>
      <c r="K10" s="435"/>
      <c r="L10" s="435"/>
    </row>
    <row r="11" spans="1:16" s="99" customFormat="1" ht="19.5" customHeight="1" thickBot="1">
      <c r="A11" s="436" t="s">
        <v>724</v>
      </c>
      <c r="B11" s="436"/>
      <c r="C11" s="436"/>
      <c r="D11" s="436"/>
      <c r="E11" s="436"/>
      <c r="F11" s="436"/>
      <c r="G11" s="436"/>
      <c r="H11" s="436"/>
      <c r="I11" s="436"/>
      <c r="J11" s="436"/>
      <c r="K11" s="436"/>
      <c r="L11" s="127"/>
    </row>
    <row r="12" spans="1:16" ht="30">
      <c r="A12" s="378" t="s">
        <v>37</v>
      </c>
      <c r="B12" s="378" t="s">
        <v>38</v>
      </c>
      <c r="C12" s="378" t="s">
        <v>39</v>
      </c>
      <c r="D12" s="378" t="s">
        <v>40</v>
      </c>
      <c r="E12" s="378" t="s">
        <v>49</v>
      </c>
      <c r="F12" s="378" t="s">
        <v>42</v>
      </c>
      <c r="G12" s="378" t="s">
        <v>43</v>
      </c>
      <c r="H12" s="378" t="s">
        <v>44</v>
      </c>
      <c r="I12" s="378" t="s">
        <v>50</v>
      </c>
      <c r="J12" s="378" t="s">
        <v>51</v>
      </c>
      <c r="K12" s="378" t="s">
        <v>52</v>
      </c>
      <c r="L12" s="378" t="s">
        <v>53</v>
      </c>
    </row>
    <row r="13" spans="1:16" ht="24">
      <c r="A13" s="422">
        <v>1</v>
      </c>
      <c r="B13" s="192" t="s">
        <v>714</v>
      </c>
      <c r="C13" s="192" t="s">
        <v>703</v>
      </c>
      <c r="D13" s="192" t="s">
        <v>254</v>
      </c>
      <c r="E13" s="192" t="s">
        <v>299</v>
      </c>
      <c r="F13" s="192"/>
      <c r="G13" s="340">
        <v>3511766</v>
      </c>
      <c r="H13" s="197" t="s">
        <v>715</v>
      </c>
      <c r="I13" s="423">
        <v>45390</v>
      </c>
      <c r="J13" s="424" t="s">
        <v>716</v>
      </c>
      <c r="K13" s="342" t="s">
        <v>563</v>
      </c>
      <c r="L13" s="405" t="s">
        <v>674</v>
      </c>
    </row>
    <row r="14" spans="1:16" s="81" customFormat="1" ht="24">
      <c r="A14" s="422">
        <v>2</v>
      </c>
      <c r="B14" s="198" t="s">
        <v>308</v>
      </c>
      <c r="C14" s="198" t="s">
        <v>221</v>
      </c>
      <c r="D14" s="198" t="s">
        <v>693</v>
      </c>
      <c r="E14" s="198" t="s">
        <v>694</v>
      </c>
      <c r="F14" s="331"/>
      <c r="G14" s="321">
        <v>8862207</v>
      </c>
      <c r="H14" s="331" t="s">
        <v>238</v>
      </c>
      <c r="I14" s="425">
        <v>45378</v>
      </c>
      <c r="J14" s="331" t="s">
        <v>717</v>
      </c>
      <c r="K14" s="342" t="s">
        <v>563</v>
      </c>
      <c r="L14" s="405" t="s">
        <v>674</v>
      </c>
    </row>
    <row r="15" spans="1:16">
      <c r="B15"/>
      <c r="I15"/>
    </row>
    <row r="16" spans="1:16" ht="12" customHeight="1">
      <c r="A16" s="49" t="s">
        <v>656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182"/>
    </row>
    <row r="17" spans="1:16" ht="12" customHeight="1">
      <c r="A17" s="84" t="s">
        <v>611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186"/>
    </row>
    <row r="18" spans="1:16" ht="14.45" customHeight="1">
      <c r="A18" s="432" t="s">
        <v>689</v>
      </c>
      <c r="B18" s="433"/>
      <c r="C18" s="433"/>
      <c r="D18" s="433"/>
      <c r="E18" s="46"/>
      <c r="F18" s="47"/>
      <c r="G18" s="48"/>
      <c r="H18" s="47"/>
      <c r="I18" s="47"/>
      <c r="J18" s="47"/>
      <c r="K18" s="48"/>
      <c r="L18" s="47"/>
      <c r="M18" s="50"/>
      <c r="P18" s="11"/>
    </row>
    <row r="19" spans="1:16">
      <c r="A19" s="2"/>
      <c r="B19" s="2"/>
      <c r="C19" s="2"/>
      <c r="D19" s="2"/>
      <c r="E19" s="14"/>
      <c r="F19" s="14"/>
      <c r="G19" s="2"/>
      <c r="H19" s="5"/>
      <c r="I19" s="2"/>
      <c r="J19" s="2"/>
      <c r="K19" s="2"/>
    </row>
    <row r="20" spans="1:16">
      <c r="A20" s="51"/>
      <c r="B20"/>
      <c r="F20" s="5"/>
      <c r="I20"/>
    </row>
    <row r="21" spans="1:16">
      <c r="A21" s="51"/>
      <c r="B21" s="441" t="s">
        <v>613</v>
      </c>
      <c r="C21" s="441"/>
      <c r="D21" s="441"/>
      <c r="E21" s="441"/>
      <c r="F21" s="441"/>
      <c r="G21" s="11"/>
      <c r="I21" s="441" t="s">
        <v>690</v>
      </c>
      <c r="J21" s="441"/>
      <c r="K21" s="441"/>
    </row>
    <row r="22" spans="1:16">
      <c r="B22" s="431" t="s">
        <v>167</v>
      </c>
      <c r="C22" s="431"/>
      <c r="D22" s="431"/>
      <c r="E22" s="431"/>
      <c r="F22" s="431"/>
      <c r="G22" s="11"/>
      <c r="I22" s="431" t="s">
        <v>691</v>
      </c>
      <c r="J22" s="431"/>
      <c r="K22" s="431"/>
    </row>
    <row r="23" spans="1:16">
      <c r="B23"/>
      <c r="I23"/>
    </row>
    <row r="24" spans="1:16">
      <c r="I24"/>
      <c r="J24" s="11"/>
    </row>
  </sheetData>
  <mergeCells count="14">
    <mergeCell ref="A3:C3"/>
    <mergeCell ref="A4:C4"/>
    <mergeCell ref="A5:C5"/>
    <mergeCell ref="A6:C6"/>
    <mergeCell ref="I22:K22"/>
    <mergeCell ref="I21:K21"/>
    <mergeCell ref="B22:F22"/>
    <mergeCell ref="B21:F21"/>
    <mergeCell ref="A7:L7"/>
    <mergeCell ref="K5:L5"/>
    <mergeCell ref="A8:L8"/>
    <mergeCell ref="A10:L10"/>
    <mergeCell ref="A11:K11"/>
    <mergeCell ref="A18:D18"/>
  </mergeCells>
  <conditionalFormatting sqref="G13">
    <cfRule type="duplicateValues" dxfId="33" priority="1"/>
  </conditionalFormatting>
  <pageMargins left="0.28999999999999998" right="0.16" top="0.43307086614173229" bottom="0.74803149606299213" header="0.31496062992125984" footer="0.31496062992125984"/>
  <pageSetup paperSize="5"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P25"/>
  <sheetViews>
    <sheetView view="pageBreakPreview" zoomScale="95" zoomScaleNormal="90" zoomScaleSheetLayoutView="95" workbookViewId="0">
      <selection activeCell="A11" sqref="A11:K11"/>
    </sheetView>
  </sheetViews>
  <sheetFormatPr baseColWidth="10" defaultColWidth="10.7109375" defaultRowHeight="15"/>
  <cols>
    <col min="1" max="1" width="5" customWidth="1"/>
    <col min="2" max="2" width="10.85546875" customWidth="1"/>
    <col min="7" max="7" width="11.28515625" style="11" customWidth="1"/>
    <col min="8" max="8" width="5.5703125" customWidth="1"/>
    <col min="9" max="9" width="18.5703125" style="24" customWidth="1"/>
    <col min="10" max="10" width="33.140625" customWidth="1"/>
    <col min="11" max="11" width="39.140625" customWidth="1"/>
  </cols>
  <sheetData>
    <row r="1" spans="1:16">
      <c r="A1" s="115"/>
      <c r="B1" s="115" t="s">
        <v>0</v>
      </c>
      <c r="C1" s="115"/>
      <c r="D1" s="2"/>
      <c r="E1" s="2"/>
      <c r="F1" s="2"/>
      <c r="G1" s="5"/>
      <c r="H1" s="2"/>
      <c r="I1" s="30"/>
      <c r="J1" s="2"/>
    </row>
    <row r="2" spans="1:16">
      <c r="A2" s="115"/>
      <c r="B2" s="115"/>
      <c r="C2" s="115"/>
      <c r="D2" s="2"/>
      <c r="E2" s="2"/>
      <c r="F2" s="2"/>
      <c r="G2" s="5"/>
      <c r="H2" s="2"/>
      <c r="I2" s="30"/>
      <c r="J2" s="2"/>
    </row>
    <row r="3" spans="1:16">
      <c r="A3" s="447" t="s">
        <v>1</v>
      </c>
      <c r="B3" s="447"/>
      <c r="C3" s="447"/>
      <c r="D3" s="2"/>
      <c r="E3" s="2"/>
      <c r="F3" s="2"/>
      <c r="G3" s="5"/>
      <c r="H3" s="2"/>
      <c r="I3" s="30"/>
      <c r="J3" s="5"/>
      <c r="K3" s="11"/>
    </row>
    <row r="4" spans="1:16" ht="12" customHeight="1">
      <c r="A4" s="446" t="s">
        <v>187</v>
      </c>
      <c r="B4" s="446"/>
      <c r="C4" s="446"/>
      <c r="D4" s="10"/>
      <c r="E4" s="2"/>
      <c r="F4" s="2"/>
      <c r="G4" s="5"/>
      <c r="H4" s="2"/>
      <c r="I4" s="30"/>
      <c r="J4" s="5"/>
      <c r="K4" s="11"/>
    </row>
    <row r="5" spans="1:16" ht="12" customHeight="1">
      <c r="A5" s="446" t="s">
        <v>633</v>
      </c>
      <c r="B5" s="446"/>
      <c r="C5" s="446"/>
      <c r="D5" s="9"/>
      <c r="E5" s="21"/>
      <c r="F5" s="21"/>
      <c r="G5" s="22"/>
      <c r="H5" s="21"/>
      <c r="I5" s="25"/>
      <c r="J5" s="5"/>
      <c r="K5" s="11"/>
    </row>
    <row r="6" spans="1:16" ht="12" customHeight="1">
      <c r="A6" s="448" t="s">
        <v>18</v>
      </c>
      <c r="B6" s="448"/>
      <c r="C6" s="448"/>
      <c r="D6" s="8"/>
      <c r="E6" s="2"/>
      <c r="F6" s="2"/>
      <c r="G6" s="5"/>
      <c r="H6" s="2"/>
      <c r="I6" s="30"/>
      <c r="J6" s="22" t="s">
        <v>132</v>
      </c>
      <c r="K6" s="22"/>
    </row>
    <row r="7" spans="1:16" ht="15.75">
      <c r="F7" s="187" t="s">
        <v>3</v>
      </c>
      <c r="G7" s="187"/>
      <c r="H7" s="187"/>
      <c r="I7" s="187"/>
      <c r="J7" s="187"/>
      <c r="K7" s="187"/>
    </row>
    <row r="8" spans="1:16" ht="15.75" customHeight="1">
      <c r="F8" s="28" t="s">
        <v>57</v>
      </c>
      <c r="G8" s="28"/>
      <c r="H8" s="28"/>
      <c r="I8" s="28"/>
      <c r="J8" s="28"/>
      <c r="K8" s="28"/>
    </row>
    <row r="9" spans="1:16" ht="15.75">
      <c r="A9" s="28"/>
      <c r="B9" s="28"/>
      <c r="C9" s="28"/>
      <c r="D9" s="28"/>
      <c r="E9" s="28"/>
      <c r="F9" s="28"/>
      <c r="G9" s="28"/>
      <c r="H9" s="28"/>
      <c r="I9" s="29"/>
      <c r="J9" s="28"/>
      <c r="K9" s="28"/>
    </row>
    <row r="10" spans="1:16" ht="15.75" customHeight="1">
      <c r="A10" s="188" t="s">
        <v>621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</row>
    <row r="11" spans="1:16" s="99" customFormat="1" ht="15.75" customHeight="1" thickBot="1">
      <c r="A11" s="436" t="s">
        <v>724</v>
      </c>
      <c r="B11" s="436"/>
      <c r="C11" s="436"/>
      <c r="D11" s="436"/>
      <c r="E11" s="436"/>
      <c r="F11" s="436"/>
      <c r="G11" s="436"/>
      <c r="H11" s="436"/>
      <c r="I11" s="436"/>
      <c r="J11" s="436"/>
      <c r="K11" s="436"/>
    </row>
    <row r="12" spans="1:16" ht="35.25" customHeight="1">
      <c r="A12" s="307" t="s">
        <v>37</v>
      </c>
      <c r="B12" s="307" t="s">
        <v>38</v>
      </c>
      <c r="C12" s="307" t="s">
        <v>39</v>
      </c>
      <c r="D12" s="307" t="s">
        <v>40</v>
      </c>
      <c r="E12" s="307" t="s">
        <v>41</v>
      </c>
      <c r="F12" s="307" t="s">
        <v>56</v>
      </c>
      <c r="G12" s="308" t="s">
        <v>43</v>
      </c>
      <c r="H12" s="308" t="s">
        <v>44</v>
      </c>
      <c r="I12" s="308" t="s">
        <v>50</v>
      </c>
      <c r="J12" s="308" t="s">
        <v>52</v>
      </c>
      <c r="K12" s="309" t="s">
        <v>53</v>
      </c>
      <c r="L12" s="146"/>
    </row>
    <row r="13" spans="1:16" ht="15" customHeight="1">
      <c r="A13" s="61">
        <v>1</v>
      </c>
      <c r="B13" s="198" t="s">
        <v>244</v>
      </c>
      <c r="C13" s="328" t="s">
        <v>251</v>
      </c>
      <c r="D13" s="198" t="s">
        <v>252</v>
      </c>
      <c r="E13" s="198" t="s">
        <v>201</v>
      </c>
      <c r="F13" s="331"/>
      <c r="G13" s="331">
        <v>4070275</v>
      </c>
      <c r="H13" s="332" t="s">
        <v>253</v>
      </c>
      <c r="I13" s="381">
        <v>45393</v>
      </c>
      <c r="J13" s="323" t="s">
        <v>711</v>
      </c>
      <c r="K13" s="354" t="s">
        <v>674</v>
      </c>
      <c r="L13" s="382"/>
    </row>
    <row r="14" spans="1:16" ht="15" customHeight="1">
      <c r="A14" s="61">
        <v>2</v>
      </c>
      <c r="B14" s="192" t="s">
        <v>257</v>
      </c>
      <c r="C14" s="192" t="s">
        <v>269</v>
      </c>
      <c r="D14" s="192" t="s">
        <v>270</v>
      </c>
      <c r="E14" s="192" t="s">
        <v>271</v>
      </c>
      <c r="F14" s="192"/>
      <c r="G14" s="341">
        <v>5418019</v>
      </c>
      <c r="H14" s="197" t="s">
        <v>238</v>
      </c>
      <c r="I14" s="381">
        <v>45385</v>
      </c>
      <c r="J14" s="323" t="s">
        <v>712</v>
      </c>
      <c r="K14" s="354" t="s">
        <v>674</v>
      </c>
      <c r="L14" s="382"/>
    </row>
    <row r="15" spans="1:16" ht="15" customHeight="1">
      <c r="A15" s="61">
        <v>3</v>
      </c>
      <c r="B15" s="198" t="s">
        <v>316</v>
      </c>
      <c r="C15" s="198" t="s">
        <v>301</v>
      </c>
      <c r="D15" s="198" t="s">
        <v>309</v>
      </c>
      <c r="E15" s="198" t="s">
        <v>317</v>
      </c>
      <c r="F15" s="198" t="s">
        <v>601</v>
      </c>
      <c r="G15" s="331">
        <v>9753606</v>
      </c>
      <c r="H15" s="332" t="s">
        <v>238</v>
      </c>
      <c r="I15" s="381">
        <v>45376</v>
      </c>
      <c r="J15" s="323" t="s">
        <v>713</v>
      </c>
      <c r="K15" s="354" t="s">
        <v>674</v>
      </c>
      <c r="L15" s="382"/>
    </row>
    <row r="16" spans="1:16" ht="12" customHeight="1">
      <c r="A16" s="49" t="s">
        <v>656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182"/>
    </row>
    <row r="17" spans="1:16" ht="12" customHeight="1">
      <c r="A17" s="84" t="s">
        <v>611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186"/>
    </row>
    <row r="18" spans="1:16" ht="14.45" customHeight="1">
      <c r="A18" s="432" t="s">
        <v>689</v>
      </c>
      <c r="B18" s="433"/>
      <c r="C18" s="433"/>
      <c r="D18" s="433"/>
      <c r="E18" s="46"/>
      <c r="F18" s="47"/>
      <c r="G18" s="48"/>
      <c r="H18" s="47"/>
      <c r="I18" s="47"/>
      <c r="J18" s="47"/>
      <c r="K18" s="48"/>
      <c r="L18" s="47"/>
      <c r="M18" s="50"/>
      <c r="P18" s="11"/>
    </row>
    <row r="19" spans="1:16">
      <c r="A19" s="2"/>
      <c r="B19" s="2"/>
      <c r="C19" s="2"/>
      <c r="D19" s="2"/>
      <c r="E19" s="14"/>
      <c r="F19" s="14"/>
      <c r="G19" s="2"/>
      <c r="H19" s="5"/>
      <c r="I19" s="2"/>
      <c r="J19" s="2"/>
      <c r="K19" s="2"/>
    </row>
    <row r="20" spans="1:16">
      <c r="A20" s="2"/>
      <c r="B20" s="2"/>
      <c r="C20" s="2"/>
      <c r="D20" s="2"/>
      <c r="E20" s="14"/>
      <c r="F20" s="14"/>
      <c r="G20" s="2"/>
      <c r="H20" s="5"/>
      <c r="I20" s="2"/>
      <c r="J20" s="2"/>
      <c r="K20" s="2"/>
    </row>
    <row r="21" spans="1:16">
      <c r="G21"/>
      <c r="I21"/>
    </row>
    <row r="22" spans="1:16">
      <c r="A22" s="51"/>
      <c r="E22" s="5"/>
      <c r="G22"/>
      <c r="I22"/>
    </row>
    <row r="23" spans="1:16">
      <c r="A23" s="51"/>
      <c r="C23" s="441" t="s">
        <v>610</v>
      </c>
      <c r="D23" s="441"/>
      <c r="E23" s="441"/>
      <c r="F23" s="11"/>
      <c r="G23"/>
      <c r="H23" s="441" t="s">
        <v>690</v>
      </c>
      <c r="I23" s="441"/>
      <c r="J23" s="441"/>
      <c r="K23" s="441"/>
    </row>
    <row r="24" spans="1:16">
      <c r="C24" s="431" t="s">
        <v>167</v>
      </c>
      <c r="D24" s="431"/>
      <c r="E24" s="431"/>
      <c r="F24" s="11"/>
      <c r="G24"/>
      <c r="H24" s="431" t="s">
        <v>691</v>
      </c>
      <c r="I24" s="431"/>
      <c r="J24" s="431"/>
      <c r="K24" s="431"/>
    </row>
    <row r="25" spans="1:16">
      <c r="G25"/>
      <c r="I25"/>
    </row>
  </sheetData>
  <mergeCells count="10">
    <mergeCell ref="H24:K24"/>
    <mergeCell ref="A3:C3"/>
    <mergeCell ref="A4:C4"/>
    <mergeCell ref="A5:C5"/>
    <mergeCell ref="A6:C6"/>
    <mergeCell ref="H23:K23"/>
    <mergeCell ref="A11:K11"/>
    <mergeCell ref="A18:D18"/>
    <mergeCell ref="C23:E23"/>
    <mergeCell ref="C24:E24"/>
  </mergeCells>
  <conditionalFormatting sqref="G14">
    <cfRule type="duplicateValues" dxfId="32" priority="1"/>
  </conditionalFormatting>
  <conditionalFormatting sqref="G15">
    <cfRule type="duplicateValues" dxfId="31" priority="2"/>
  </conditionalFormatting>
  <pageMargins left="0.7" right="0.7" top="0.5" bottom="0.75" header="0.3" footer="0.3"/>
  <pageSetup paperSize="5" scale="8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P27"/>
  <sheetViews>
    <sheetView view="pageBreakPreview" zoomScale="60" zoomScaleNormal="80" workbookViewId="0">
      <selection activeCell="A12" sqref="A12:K12"/>
    </sheetView>
  </sheetViews>
  <sheetFormatPr baseColWidth="10" defaultColWidth="10.7109375" defaultRowHeight="15"/>
  <cols>
    <col min="1" max="1" width="6.140625" customWidth="1"/>
    <col min="2" max="2" width="7.7109375" customWidth="1"/>
    <col min="5" max="5" width="10" customWidth="1"/>
    <col min="6" max="6" width="9.7109375" customWidth="1"/>
    <col min="7" max="7" width="8.42578125" customWidth="1"/>
    <col min="8" max="8" width="4.85546875" customWidth="1"/>
    <col min="11" max="11" width="9.42578125" customWidth="1"/>
    <col min="12" max="12" width="12.42578125" customWidth="1"/>
    <col min="13" max="13" width="25" customWidth="1"/>
  </cols>
  <sheetData>
    <row r="1" spans="1:13">
      <c r="A1" s="115"/>
      <c r="B1" s="115" t="s">
        <v>0</v>
      </c>
      <c r="C1" s="115"/>
    </row>
    <row r="2" spans="1:13">
      <c r="A2" s="115"/>
      <c r="B2" s="115"/>
      <c r="C2" s="115"/>
      <c r="D2" s="2"/>
      <c r="E2" s="2"/>
      <c r="F2" s="2"/>
      <c r="G2" s="2"/>
      <c r="H2" s="2"/>
      <c r="I2" s="30"/>
      <c r="J2" s="2"/>
      <c r="K2" s="2"/>
    </row>
    <row r="3" spans="1:13">
      <c r="A3" s="447" t="s">
        <v>1</v>
      </c>
      <c r="B3" s="447"/>
      <c r="C3" s="447"/>
      <c r="D3" s="2"/>
      <c r="E3" s="2"/>
      <c r="F3" s="2"/>
      <c r="G3" s="2"/>
      <c r="H3" s="2"/>
      <c r="I3" s="30"/>
      <c r="J3" s="2"/>
      <c r="K3" s="2"/>
    </row>
    <row r="4" spans="1:13" ht="12.75" customHeight="1">
      <c r="A4" s="446" t="s">
        <v>188</v>
      </c>
      <c r="B4" s="446"/>
      <c r="C4" s="446"/>
      <c r="D4" s="10"/>
      <c r="E4" s="2"/>
      <c r="F4" s="2"/>
      <c r="G4" s="2"/>
      <c r="H4" s="2"/>
      <c r="I4" s="30"/>
      <c r="J4" s="2"/>
      <c r="K4" s="2"/>
    </row>
    <row r="5" spans="1:13" ht="12.75" customHeight="1">
      <c r="A5" s="446" t="s">
        <v>633</v>
      </c>
      <c r="B5" s="446"/>
      <c r="C5" s="446"/>
      <c r="D5" s="9"/>
      <c r="E5" s="21"/>
      <c r="F5" s="21"/>
      <c r="G5" s="21"/>
      <c r="H5" s="21"/>
      <c r="I5" s="25"/>
      <c r="J5" s="21"/>
      <c r="K5" s="439" t="s">
        <v>66</v>
      </c>
      <c r="L5" s="439"/>
      <c r="M5" s="439"/>
    </row>
    <row r="6" spans="1:13" ht="12.75" customHeight="1">
      <c r="A6" s="448" t="s">
        <v>18</v>
      </c>
      <c r="B6" s="448"/>
      <c r="C6" s="448"/>
      <c r="D6" s="8"/>
      <c r="E6" s="2"/>
      <c r="F6" s="2"/>
      <c r="G6" s="2"/>
      <c r="H6" s="2"/>
      <c r="I6" s="30"/>
      <c r="J6" s="2"/>
      <c r="K6" s="2"/>
    </row>
    <row r="7" spans="1:13" ht="12.75" customHeight="1">
      <c r="A7" s="434" t="s">
        <v>3</v>
      </c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</row>
    <row r="8" spans="1:13" ht="15.75">
      <c r="A8" s="434" t="s">
        <v>64</v>
      </c>
      <c r="B8" s="434"/>
      <c r="C8" s="434"/>
      <c r="D8" s="434"/>
      <c r="E8" s="434"/>
      <c r="F8" s="434"/>
      <c r="G8" s="434"/>
      <c r="H8" s="434"/>
      <c r="I8" s="434"/>
      <c r="J8" s="434"/>
      <c r="K8" s="434"/>
      <c r="L8" s="434"/>
      <c r="M8" s="434"/>
    </row>
    <row r="9" spans="1:13" ht="15.75">
      <c r="A9" s="434" t="s">
        <v>65</v>
      </c>
      <c r="B9" s="434"/>
      <c r="C9" s="434"/>
      <c r="D9" s="434"/>
      <c r="E9" s="434"/>
      <c r="F9" s="434"/>
      <c r="G9" s="434"/>
      <c r="H9" s="434"/>
      <c r="I9" s="434"/>
      <c r="J9" s="434"/>
      <c r="K9" s="434"/>
      <c r="L9" s="434"/>
      <c r="M9" s="434"/>
    </row>
    <row r="10" spans="1:13" ht="15.75">
      <c r="A10" s="28"/>
      <c r="B10" s="28"/>
      <c r="C10" s="28"/>
      <c r="D10" s="28"/>
      <c r="E10" s="28"/>
      <c r="F10" s="28"/>
      <c r="G10" s="28"/>
      <c r="H10" s="28"/>
      <c r="I10" s="29"/>
      <c r="J10" s="28"/>
      <c r="K10" s="28"/>
      <c r="L10" s="28"/>
    </row>
    <row r="11" spans="1:13">
      <c r="A11" s="435" t="s">
        <v>615</v>
      </c>
      <c r="B11" s="435"/>
      <c r="C11" s="435"/>
      <c r="D11" s="435"/>
      <c r="E11" s="435"/>
      <c r="F11" s="435"/>
      <c r="G11" s="435"/>
      <c r="H11" s="435"/>
      <c r="I11" s="435"/>
      <c r="J11" s="435"/>
      <c r="K11" s="435"/>
      <c r="L11" s="435"/>
      <c r="M11" s="435"/>
    </row>
    <row r="12" spans="1:13" s="99" customFormat="1" ht="24" customHeight="1" thickBot="1">
      <c r="A12" s="436" t="s">
        <v>724</v>
      </c>
      <c r="B12" s="436"/>
      <c r="C12" s="436"/>
      <c r="D12" s="436"/>
      <c r="E12" s="436"/>
      <c r="F12" s="436"/>
      <c r="G12" s="436"/>
      <c r="H12" s="436"/>
      <c r="I12" s="436"/>
      <c r="J12" s="436"/>
      <c r="K12" s="436"/>
      <c r="L12" s="189"/>
      <c r="M12" s="189"/>
    </row>
    <row r="13" spans="1:13" ht="30.75" thickBot="1">
      <c r="A13" s="118" t="s">
        <v>58</v>
      </c>
      <c r="B13" s="118" t="s">
        <v>38</v>
      </c>
      <c r="C13" s="118" t="s">
        <v>39</v>
      </c>
      <c r="D13" s="118" t="s">
        <v>40</v>
      </c>
      <c r="E13" s="118" t="s">
        <v>41</v>
      </c>
      <c r="F13" s="118" t="s">
        <v>56</v>
      </c>
      <c r="G13" s="118" t="s">
        <v>59</v>
      </c>
      <c r="H13" s="118" t="s">
        <v>44</v>
      </c>
      <c r="I13" s="118" t="s">
        <v>60</v>
      </c>
      <c r="J13" s="118" t="s">
        <v>61</v>
      </c>
      <c r="K13" s="118" t="s">
        <v>62</v>
      </c>
      <c r="L13" s="118" t="s">
        <v>53</v>
      </c>
      <c r="M13" s="119" t="s">
        <v>63</v>
      </c>
    </row>
    <row r="14" spans="1:1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9"/>
    </row>
    <row r="15" spans="1:13">
      <c r="A15" s="3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3"/>
    </row>
    <row r="16" spans="1:13">
      <c r="A16" s="3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3"/>
    </row>
    <row r="17" spans="1:16" ht="15.75" thickBo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6"/>
    </row>
    <row r="19" spans="1:16" ht="12" customHeight="1">
      <c r="A19" s="49" t="s">
        <v>656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182"/>
    </row>
    <row r="20" spans="1:16" ht="12" customHeight="1">
      <c r="A20" s="84" t="s">
        <v>611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186"/>
    </row>
    <row r="21" spans="1:16" ht="14.45" customHeight="1">
      <c r="A21" s="432" t="s">
        <v>689</v>
      </c>
      <c r="B21" s="433"/>
      <c r="C21" s="433"/>
      <c r="D21" s="433"/>
      <c r="E21" s="46"/>
      <c r="F21" s="47"/>
      <c r="G21" s="48"/>
      <c r="H21" s="47"/>
      <c r="I21" s="47"/>
      <c r="J21" s="47"/>
      <c r="K21" s="48"/>
      <c r="L21" s="47"/>
      <c r="M21" s="50"/>
      <c r="P21" s="11"/>
    </row>
    <row r="22" spans="1:16">
      <c r="A22" s="2"/>
      <c r="B22" s="2"/>
      <c r="C22" s="2"/>
      <c r="D22" s="2"/>
      <c r="E22" s="14"/>
      <c r="F22" s="14"/>
      <c r="G22" s="2"/>
      <c r="H22" s="5"/>
      <c r="I22" s="2"/>
      <c r="J22" s="2"/>
      <c r="K22" s="2"/>
    </row>
    <row r="23" spans="1:16">
      <c r="A23" s="2"/>
      <c r="B23" s="2"/>
      <c r="C23" s="2"/>
      <c r="D23" s="2"/>
      <c r="E23" s="14"/>
      <c r="F23" s="14"/>
      <c r="G23" s="2"/>
      <c r="H23" s="5"/>
      <c r="I23" s="2"/>
      <c r="J23" s="2"/>
      <c r="K23" s="2"/>
    </row>
    <row r="25" spans="1:16">
      <c r="A25" s="51"/>
      <c r="E25" s="5"/>
    </row>
    <row r="26" spans="1:16">
      <c r="A26" s="51"/>
      <c r="C26" s="441" t="s">
        <v>613</v>
      </c>
      <c r="D26" s="441"/>
      <c r="E26" s="441"/>
      <c r="F26" s="11"/>
      <c r="I26" s="429" t="s">
        <v>690</v>
      </c>
      <c r="J26" s="429"/>
      <c r="K26" s="429"/>
      <c r="L26" s="429"/>
      <c r="M26" s="429"/>
    </row>
    <row r="27" spans="1:16">
      <c r="C27" s="13" t="s">
        <v>167</v>
      </c>
      <c r="D27" s="2"/>
      <c r="E27" s="2"/>
      <c r="F27" s="11"/>
      <c r="I27" s="431" t="s">
        <v>691</v>
      </c>
      <c r="J27" s="431"/>
      <c r="K27" s="431"/>
      <c r="L27" s="431"/>
      <c r="M27" s="431"/>
    </row>
  </sheetData>
  <mergeCells count="14">
    <mergeCell ref="A3:C3"/>
    <mergeCell ref="A4:C4"/>
    <mergeCell ref="A5:C5"/>
    <mergeCell ref="A6:C6"/>
    <mergeCell ref="I27:M27"/>
    <mergeCell ref="I26:M26"/>
    <mergeCell ref="C26:E26"/>
    <mergeCell ref="A21:D21"/>
    <mergeCell ref="A12:K12"/>
    <mergeCell ref="K5:M5"/>
    <mergeCell ref="A7:M7"/>
    <mergeCell ref="A8:M8"/>
    <mergeCell ref="A9:M9"/>
    <mergeCell ref="A11:M11"/>
  </mergeCells>
  <pageMargins left="0.7" right="0.7" top="0.47" bottom="0.75" header="0.3" footer="0.3"/>
  <pageSetup paperSize="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P25"/>
  <sheetViews>
    <sheetView view="pageBreakPreview" zoomScale="87" zoomScaleNormal="80" zoomScaleSheetLayoutView="87" workbookViewId="0">
      <selection activeCell="A12" sqref="A12:K12"/>
    </sheetView>
  </sheetViews>
  <sheetFormatPr baseColWidth="10" defaultColWidth="10.7109375" defaultRowHeight="15"/>
  <cols>
    <col min="1" max="1" width="4.140625" customWidth="1"/>
    <col min="2" max="2" width="11.42578125" customWidth="1"/>
    <col min="5" max="5" width="10" customWidth="1"/>
    <col min="6" max="6" width="9.7109375" customWidth="1"/>
    <col min="7" max="7" width="10.140625" customWidth="1"/>
    <col min="8" max="8" width="4.85546875" customWidth="1"/>
    <col min="9" max="9" width="22.28515625" customWidth="1"/>
    <col min="10" max="10" width="13.140625" customWidth="1"/>
    <col min="11" max="11" width="22" customWidth="1"/>
    <col min="12" max="12" width="23.85546875" customWidth="1"/>
  </cols>
  <sheetData>
    <row r="1" spans="1:12">
      <c r="A1" s="1" t="s">
        <v>0</v>
      </c>
      <c r="B1" s="2"/>
      <c r="C1" s="2"/>
      <c r="D1" s="2"/>
      <c r="E1" s="2"/>
      <c r="F1" s="2"/>
      <c r="G1" s="2"/>
      <c r="H1" s="2"/>
      <c r="I1" s="30"/>
      <c r="J1" s="2"/>
      <c r="K1" s="2"/>
    </row>
    <row r="2" spans="1:12">
      <c r="A2" s="1"/>
      <c r="B2" s="2"/>
      <c r="C2" s="2"/>
      <c r="D2" s="2"/>
      <c r="E2" s="2"/>
      <c r="F2" s="2"/>
      <c r="G2" s="2"/>
      <c r="H2" s="2"/>
      <c r="I2" s="30"/>
      <c r="J2" s="2"/>
      <c r="K2" s="2"/>
    </row>
    <row r="3" spans="1:12" ht="13.5" customHeight="1">
      <c r="A3" s="473" t="s">
        <v>1</v>
      </c>
      <c r="B3" s="473"/>
      <c r="C3" s="473"/>
      <c r="D3" s="473"/>
      <c r="E3" s="2"/>
      <c r="F3" s="2"/>
      <c r="G3" s="2"/>
      <c r="H3" s="2"/>
      <c r="I3" s="30"/>
      <c r="J3" s="2"/>
      <c r="K3" s="2"/>
    </row>
    <row r="4" spans="1:12" ht="13.5" customHeight="1">
      <c r="A4" s="474" t="s">
        <v>188</v>
      </c>
      <c r="B4" s="474"/>
      <c r="C4" s="474"/>
      <c r="D4" s="474"/>
      <c r="E4" s="21"/>
      <c r="F4" s="21"/>
      <c r="G4" s="21"/>
      <c r="H4" s="21"/>
      <c r="I4" s="25"/>
      <c r="J4" s="21"/>
      <c r="K4" s="439" t="s">
        <v>71</v>
      </c>
      <c r="L4" s="439"/>
    </row>
    <row r="5" spans="1:12" ht="13.5" customHeight="1">
      <c r="A5" s="474" t="s">
        <v>633</v>
      </c>
      <c r="B5" s="474"/>
      <c r="C5" s="474"/>
      <c r="D5" s="474"/>
      <c r="E5" s="21"/>
      <c r="F5" s="21"/>
      <c r="G5" s="21"/>
      <c r="H5" s="21"/>
      <c r="I5" s="25"/>
      <c r="J5" s="21"/>
      <c r="K5" s="25"/>
      <c r="L5" s="25"/>
    </row>
    <row r="6" spans="1:12" ht="13.5" customHeight="1">
      <c r="A6" s="475" t="s">
        <v>136</v>
      </c>
      <c r="B6" s="475"/>
      <c r="C6" s="475"/>
      <c r="D6" s="475"/>
      <c r="E6" s="2"/>
      <c r="F6" s="2"/>
      <c r="G6" s="2"/>
      <c r="H6" s="2"/>
      <c r="I6" s="30"/>
      <c r="J6" s="2"/>
      <c r="K6" s="2"/>
    </row>
    <row r="7" spans="1:12" ht="15.75">
      <c r="A7" s="434" t="s">
        <v>3</v>
      </c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</row>
    <row r="8" spans="1:12" ht="15.75">
      <c r="A8" s="434" t="s">
        <v>78</v>
      </c>
      <c r="B8" s="434"/>
      <c r="C8" s="434"/>
      <c r="D8" s="434"/>
      <c r="E8" s="434"/>
      <c r="F8" s="434"/>
      <c r="G8" s="434"/>
      <c r="H8" s="434"/>
      <c r="I8" s="434"/>
      <c r="J8" s="434"/>
      <c r="K8" s="434"/>
      <c r="L8" s="434"/>
    </row>
    <row r="9" spans="1:12" ht="15.75">
      <c r="A9" s="472" t="s">
        <v>79</v>
      </c>
      <c r="B9" s="472"/>
      <c r="C9" s="472"/>
      <c r="D9" s="472"/>
      <c r="E9" s="472"/>
      <c r="F9" s="472"/>
      <c r="G9" s="472"/>
      <c r="H9" s="472"/>
      <c r="I9" s="472"/>
      <c r="J9" s="472"/>
      <c r="K9" s="472"/>
      <c r="L9" s="472"/>
    </row>
    <row r="10" spans="1:12" ht="15.75">
      <c r="A10" s="28"/>
      <c r="B10" s="28"/>
      <c r="C10" s="28"/>
      <c r="D10" s="28"/>
      <c r="E10" s="28"/>
      <c r="F10" s="28"/>
      <c r="G10" s="28"/>
      <c r="H10" s="28"/>
      <c r="I10" s="29"/>
      <c r="J10" s="28"/>
      <c r="K10" s="28"/>
      <c r="L10" s="28"/>
    </row>
    <row r="11" spans="1:12" ht="15.75" customHeight="1">
      <c r="A11" s="435" t="s">
        <v>622</v>
      </c>
      <c r="B11" s="435"/>
      <c r="C11" s="435"/>
      <c r="D11" s="435"/>
      <c r="E11" s="435"/>
      <c r="F11" s="435"/>
      <c r="G11" s="435"/>
      <c r="H11" s="435"/>
      <c r="I11" s="435"/>
      <c r="J11" s="435"/>
      <c r="K11" s="435"/>
      <c r="L11" s="435"/>
    </row>
    <row r="12" spans="1:12" s="99" customFormat="1" ht="15.75" customHeight="1" thickBot="1">
      <c r="A12" s="436" t="s">
        <v>724</v>
      </c>
      <c r="B12" s="436"/>
      <c r="C12" s="436"/>
      <c r="D12" s="436"/>
      <c r="E12" s="436"/>
      <c r="F12" s="436"/>
      <c r="G12" s="436"/>
      <c r="H12" s="436"/>
      <c r="I12" s="436"/>
      <c r="J12" s="436"/>
      <c r="K12" s="436"/>
      <c r="L12" s="189"/>
    </row>
    <row r="13" spans="1:12" ht="30.75" thickBot="1">
      <c r="A13" s="118"/>
      <c r="B13" s="118" t="s">
        <v>38</v>
      </c>
      <c r="C13" s="118" t="s">
        <v>39</v>
      </c>
      <c r="D13" s="118" t="s">
        <v>40</v>
      </c>
      <c r="E13" s="118" t="s">
        <v>41</v>
      </c>
      <c r="F13" s="118" t="s">
        <v>56</v>
      </c>
      <c r="G13" s="118" t="s">
        <v>59</v>
      </c>
      <c r="H13" s="118" t="s">
        <v>44</v>
      </c>
      <c r="I13" s="118" t="s">
        <v>67</v>
      </c>
      <c r="J13" s="118" t="s">
        <v>68</v>
      </c>
      <c r="K13" s="118" t="s">
        <v>69</v>
      </c>
      <c r="L13" s="118" t="s">
        <v>70</v>
      </c>
    </row>
    <row r="14" spans="1:12" ht="24">
      <c r="A14" s="164">
        <v>1</v>
      </c>
      <c r="B14" s="198" t="s">
        <v>573</v>
      </c>
      <c r="C14" s="198" t="s">
        <v>272</v>
      </c>
      <c r="D14" s="198" t="s">
        <v>273</v>
      </c>
      <c r="E14" s="198" t="s">
        <v>274</v>
      </c>
      <c r="F14" s="198" t="s">
        <v>275</v>
      </c>
      <c r="G14" s="331">
        <v>6295390</v>
      </c>
      <c r="H14" s="332" t="s">
        <v>238</v>
      </c>
      <c r="I14" s="345" t="s">
        <v>718</v>
      </c>
      <c r="J14" s="406">
        <v>45373</v>
      </c>
      <c r="K14" s="426" t="s">
        <v>719</v>
      </c>
      <c r="L14" s="345" t="s">
        <v>720</v>
      </c>
    </row>
    <row r="16" spans="1:12">
      <c r="L16" s="161"/>
    </row>
    <row r="17" spans="1:16" ht="12" customHeight="1">
      <c r="A17" s="49" t="s">
        <v>656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182"/>
    </row>
    <row r="18" spans="1:16" ht="12" customHeight="1">
      <c r="A18" s="84" t="s">
        <v>611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186"/>
    </row>
    <row r="19" spans="1:16" ht="14.45" customHeight="1">
      <c r="A19" s="432" t="s">
        <v>689</v>
      </c>
      <c r="B19" s="433"/>
      <c r="C19" s="433"/>
      <c r="D19" s="433"/>
      <c r="E19" s="46"/>
      <c r="F19" s="47"/>
      <c r="G19" s="48"/>
      <c r="H19" s="47"/>
      <c r="I19" s="47"/>
      <c r="J19" s="47"/>
      <c r="K19" s="48"/>
      <c r="L19" s="47"/>
      <c r="M19" s="50"/>
      <c r="P19" s="11"/>
    </row>
    <row r="20" spans="1:16">
      <c r="A20" s="2"/>
      <c r="B20" s="2"/>
      <c r="C20" s="2"/>
      <c r="D20" s="2"/>
      <c r="E20" s="14"/>
      <c r="F20" s="14"/>
      <c r="G20" s="2"/>
      <c r="H20" s="5"/>
      <c r="I20" s="2"/>
      <c r="J20" s="2"/>
      <c r="K20" s="2"/>
      <c r="M20" s="2"/>
    </row>
    <row r="21" spans="1:16">
      <c r="A21" s="2"/>
      <c r="B21" s="2"/>
      <c r="C21" s="2"/>
      <c r="D21" s="2"/>
      <c r="E21" s="14"/>
      <c r="F21" s="14"/>
      <c r="G21" s="2"/>
      <c r="H21" s="5"/>
      <c r="I21" s="2"/>
      <c r="J21" s="2"/>
      <c r="K21" s="2"/>
      <c r="M21" s="2"/>
    </row>
    <row r="22" spans="1:16">
      <c r="M22" s="2"/>
    </row>
    <row r="23" spans="1:16">
      <c r="A23" s="51"/>
      <c r="E23" s="5"/>
    </row>
    <row r="24" spans="1:16">
      <c r="A24" s="51"/>
      <c r="C24" s="441" t="s">
        <v>613</v>
      </c>
      <c r="D24" s="441"/>
      <c r="E24" s="441"/>
      <c r="F24" s="11"/>
      <c r="H24" s="441" t="s">
        <v>690</v>
      </c>
      <c r="I24" s="441"/>
      <c r="J24" s="441"/>
      <c r="K24" s="441"/>
      <c r="L24" s="441"/>
    </row>
    <row r="25" spans="1:16">
      <c r="C25" s="13" t="s">
        <v>167</v>
      </c>
      <c r="D25" s="2"/>
      <c r="E25" s="2"/>
      <c r="F25" s="11"/>
      <c r="H25" s="431" t="s">
        <v>691</v>
      </c>
      <c r="I25" s="431"/>
      <c r="J25" s="431"/>
      <c r="K25" s="431"/>
      <c r="L25" s="431"/>
    </row>
  </sheetData>
  <mergeCells count="14">
    <mergeCell ref="C24:E24"/>
    <mergeCell ref="A12:K12"/>
    <mergeCell ref="A11:L11"/>
    <mergeCell ref="H25:L25"/>
    <mergeCell ref="H24:L24"/>
    <mergeCell ref="A19:D19"/>
    <mergeCell ref="A8:L8"/>
    <mergeCell ref="A9:L9"/>
    <mergeCell ref="A3:D3"/>
    <mergeCell ref="A4:D4"/>
    <mergeCell ref="A6:D6"/>
    <mergeCell ref="K4:L4"/>
    <mergeCell ref="A7:L7"/>
    <mergeCell ref="A5:D5"/>
  </mergeCells>
  <conditionalFormatting sqref="G14">
    <cfRule type="duplicateValues" dxfId="30" priority="1"/>
  </conditionalFormatting>
  <pageMargins left="0.46" right="0.7" top="0.45" bottom="0.75" header="0.3" footer="0.3"/>
  <pageSetup paperSize="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11782"/>
  <sheetViews>
    <sheetView view="pageBreakPreview" topLeftCell="A40" zoomScale="79" zoomScaleNormal="79" zoomScaleSheetLayoutView="79" zoomScalePageLayoutView="64" workbookViewId="0">
      <selection activeCell="J68" sqref="J68"/>
    </sheetView>
  </sheetViews>
  <sheetFormatPr baseColWidth="10" defaultColWidth="10.7109375" defaultRowHeight="16.5"/>
  <cols>
    <col min="1" max="1" width="3.85546875" style="11" customWidth="1"/>
    <col min="2" max="2" width="10.28515625" style="42" customWidth="1"/>
    <col min="3" max="3" width="11.5703125" customWidth="1"/>
    <col min="4" max="4" width="13.140625" customWidth="1"/>
    <col min="5" max="5" width="11.85546875" customWidth="1"/>
    <col min="6" max="6" width="12.28515625" customWidth="1"/>
    <col min="7" max="7" width="8.7109375" style="121" customWidth="1"/>
    <col min="8" max="8" width="6.5703125" style="260" customWidth="1"/>
    <col min="9" max="9" width="41.5703125" style="121" customWidth="1"/>
    <col min="10" max="10" width="26.28515625" customWidth="1"/>
    <col min="11" max="11" width="11.7109375" customWidth="1"/>
    <col min="12" max="12" width="11.85546875" style="261" customWidth="1"/>
    <col min="13" max="13" width="36.28515625" customWidth="1"/>
    <col min="14" max="14" width="38.28515625" style="42" customWidth="1"/>
    <col min="15" max="15" width="25" style="42" customWidth="1"/>
    <col min="16" max="16" width="15" style="247" customWidth="1"/>
    <col min="17" max="17" width="9.7109375" customWidth="1"/>
    <col min="18" max="18" width="11.85546875" style="224" customWidth="1"/>
    <col min="19" max="19" width="15" style="224" customWidth="1"/>
    <col min="20" max="20" width="16.5703125" style="202" customWidth="1"/>
  </cols>
  <sheetData>
    <row r="1" spans="1:20" ht="15">
      <c r="A1" s="116" t="s">
        <v>0</v>
      </c>
      <c r="B1" s="228"/>
      <c r="C1" s="229"/>
      <c r="D1" s="229"/>
      <c r="E1" s="229"/>
      <c r="F1" s="229"/>
      <c r="G1" s="16"/>
      <c r="H1" s="254"/>
      <c r="I1" s="16"/>
      <c r="J1" s="230"/>
      <c r="K1" s="230"/>
      <c r="L1" s="262"/>
      <c r="M1" s="229"/>
      <c r="N1" s="228"/>
      <c r="O1" s="228"/>
      <c r="P1" s="264"/>
      <c r="Q1" s="81"/>
      <c r="T1" s="219"/>
    </row>
    <row r="2" spans="1:20" ht="15">
      <c r="A2" s="116"/>
      <c r="B2" s="228"/>
      <c r="C2" s="229"/>
      <c r="D2" s="229"/>
      <c r="E2" s="229"/>
      <c r="F2" s="229"/>
      <c r="G2" s="16"/>
      <c r="H2" s="254"/>
      <c r="I2" s="16"/>
      <c r="J2" s="230"/>
      <c r="K2" s="230"/>
      <c r="L2" s="262"/>
      <c r="M2" s="229"/>
      <c r="N2" s="228"/>
      <c r="O2" s="228"/>
      <c r="P2" s="264"/>
      <c r="Q2" s="81"/>
      <c r="R2" s="219"/>
      <c r="S2"/>
      <c r="T2"/>
    </row>
    <row r="3" spans="1:20" ht="15">
      <c r="A3" s="98"/>
      <c r="B3" s="447" t="s">
        <v>1</v>
      </c>
      <c r="C3" s="447"/>
      <c r="D3" s="447"/>
      <c r="E3" s="229"/>
      <c r="F3" s="229"/>
      <c r="G3" s="16"/>
      <c r="H3" s="254"/>
      <c r="I3" s="16"/>
      <c r="J3" s="230"/>
      <c r="K3" s="230"/>
      <c r="L3" s="262"/>
      <c r="M3" s="229"/>
      <c r="N3" s="228"/>
      <c r="O3" s="228"/>
      <c r="P3" s="264"/>
      <c r="Q3" s="81"/>
      <c r="R3" s="219"/>
      <c r="S3"/>
      <c r="T3"/>
    </row>
    <row r="4" spans="1:20" ht="15">
      <c r="A4" s="16"/>
      <c r="B4" s="446" t="s">
        <v>187</v>
      </c>
      <c r="C4" s="446"/>
      <c r="D4" s="446"/>
      <c r="E4" s="226"/>
      <c r="F4" s="226"/>
      <c r="G4" s="232"/>
      <c r="H4" s="255"/>
      <c r="I4" s="232"/>
      <c r="J4" s="225"/>
      <c r="K4" s="225"/>
      <c r="L4" s="263"/>
      <c r="M4" s="226"/>
      <c r="N4" s="233"/>
      <c r="O4" s="233"/>
      <c r="P4" s="263"/>
      <c r="Q4" s="81"/>
      <c r="R4" s="233" t="s">
        <v>76</v>
      </c>
      <c r="S4"/>
      <c r="T4"/>
    </row>
    <row r="5" spans="1:20" ht="15">
      <c r="A5" s="16"/>
      <c r="B5" s="446" t="s">
        <v>633</v>
      </c>
      <c r="C5" s="446"/>
      <c r="D5" s="446"/>
      <c r="E5" s="226"/>
      <c r="F5" s="226"/>
      <c r="G5" s="232"/>
      <c r="H5" s="255"/>
      <c r="I5" s="232"/>
      <c r="J5" s="225"/>
      <c r="K5" s="225"/>
      <c r="L5" s="263"/>
      <c r="M5" s="226"/>
      <c r="N5" s="233"/>
      <c r="O5" s="233"/>
      <c r="P5" s="263"/>
      <c r="Q5" s="81"/>
      <c r="R5" s="225"/>
      <c r="S5" s="225"/>
      <c r="T5" s="219"/>
    </row>
    <row r="6" spans="1:20" ht="15">
      <c r="A6" s="16"/>
      <c r="B6" s="217"/>
      <c r="C6" s="17" t="s">
        <v>18</v>
      </c>
      <c r="D6" s="17"/>
      <c r="E6" s="226"/>
      <c r="F6" s="226"/>
      <c r="G6" s="232"/>
      <c r="H6" s="255"/>
      <c r="I6" s="232"/>
      <c r="J6" s="225"/>
      <c r="K6" s="225"/>
      <c r="L6" s="263"/>
      <c r="M6" s="226"/>
      <c r="N6" s="233"/>
      <c r="O6" s="233"/>
      <c r="P6" s="263"/>
      <c r="Q6" s="226"/>
      <c r="R6" s="226"/>
      <c r="S6" s="226"/>
      <c r="T6" s="234"/>
    </row>
    <row r="7" spans="1:20" s="173" customFormat="1" ht="15.75">
      <c r="A7" s="448"/>
      <c r="B7" s="448"/>
      <c r="C7" s="448"/>
      <c r="D7" s="448"/>
      <c r="E7" s="229"/>
      <c r="F7" s="229"/>
      <c r="G7" s="16"/>
      <c r="H7" s="254"/>
      <c r="I7" s="16"/>
      <c r="J7" s="230"/>
      <c r="K7" s="230"/>
      <c r="L7" s="262"/>
      <c r="M7" s="229"/>
      <c r="N7" s="228"/>
      <c r="O7" s="228"/>
      <c r="P7" s="264"/>
      <c r="Q7" s="229"/>
      <c r="R7" s="9"/>
      <c r="S7" s="9"/>
      <c r="T7" s="231"/>
    </row>
    <row r="8" spans="1:20" s="173" customFormat="1" ht="15.75">
      <c r="A8" s="478" t="s">
        <v>80</v>
      </c>
      <c r="B8" s="478"/>
      <c r="C8" s="478"/>
      <c r="D8" s="478"/>
      <c r="E8" s="478"/>
      <c r="F8" s="478"/>
      <c r="G8" s="478"/>
      <c r="H8" s="478"/>
      <c r="I8" s="478"/>
      <c r="J8" s="478"/>
      <c r="K8" s="478"/>
      <c r="L8" s="478"/>
      <c r="M8" s="478"/>
      <c r="N8" s="478"/>
      <c r="O8" s="478"/>
      <c r="P8" s="478"/>
      <c r="Q8" s="478"/>
      <c r="R8" s="478"/>
      <c r="S8" s="478"/>
      <c r="T8" s="478"/>
    </row>
    <row r="9" spans="1:20" s="173" customFormat="1" ht="15.75">
      <c r="A9" s="478" t="s">
        <v>144</v>
      </c>
      <c r="B9" s="478"/>
      <c r="C9" s="478"/>
      <c r="D9" s="478"/>
      <c r="E9" s="478"/>
      <c r="F9" s="478"/>
      <c r="G9" s="478"/>
      <c r="H9" s="478"/>
      <c r="I9" s="478"/>
      <c r="J9" s="478"/>
      <c r="K9" s="478"/>
      <c r="L9" s="478"/>
      <c r="M9" s="478"/>
      <c r="N9" s="478"/>
      <c r="O9" s="478"/>
      <c r="P9" s="478"/>
      <c r="Q9" s="478"/>
      <c r="R9" s="478"/>
      <c r="S9" s="478"/>
      <c r="T9" s="478"/>
    </row>
    <row r="10" spans="1:20" s="174" customFormat="1" ht="14.25">
      <c r="A10" s="235"/>
      <c r="B10" s="236"/>
      <c r="C10" s="93"/>
      <c r="D10" s="93"/>
      <c r="E10" s="93"/>
      <c r="F10" s="93"/>
      <c r="G10" s="215"/>
      <c r="H10" s="256"/>
      <c r="I10" s="215"/>
      <c r="J10" s="479"/>
      <c r="K10" s="479"/>
      <c r="L10" s="479"/>
      <c r="M10" s="479"/>
      <c r="N10" s="479"/>
      <c r="O10" s="479"/>
      <c r="P10" s="479"/>
      <c r="Q10" s="479"/>
      <c r="R10" s="479"/>
      <c r="S10" s="479"/>
      <c r="T10" s="479"/>
    </row>
    <row r="11" spans="1:20" s="174" customFormat="1" ht="18">
      <c r="A11" s="290" t="s">
        <v>623</v>
      </c>
      <c r="B11" s="216"/>
      <c r="C11" s="9"/>
      <c r="D11" s="9"/>
      <c r="E11" s="9"/>
      <c r="F11" s="9"/>
      <c r="G11" s="9"/>
      <c r="H11" s="257"/>
      <c r="I11" s="9"/>
      <c r="J11" s="9"/>
      <c r="K11" s="9"/>
      <c r="L11" s="264"/>
      <c r="M11" s="9"/>
      <c r="N11" s="216"/>
      <c r="O11" s="216"/>
      <c r="P11" s="264"/>
      <c r="Q11" s="9"/>
      <c r="R11" s="9"/>
      <c r="S11" s="9"/>
      <c r="T11" s="216"/>
    </row>
    <row r="12" spans="1:20" s="174" customFormat="1" ht="15.75" thickBot="1">
      <c r="A12" s="436" t="s">
        <v>724</v>
      </c>
      <c r="B12" s="436"/>
      <c r="C12" s="436"/>
      <c r="D12" s="436"/>
      <c r="E12" s="436"/>
      <c r="F12" s="436"/>
      <c r="G12" s="436"/>
      <c r="H12" s="436"/>
      <c r="I12" s="436"/>
      <c r="J12" s="436"/>
      <c r="K12" s="436"/>
      <c r="L12" s="265"/>
      <c r="M12" s="189"/>
      <c r="N12" s="216"/>
      <c r="O12" s="237"/>
      <c r="P12" s="265"/>
      <c r="Q12" s="227"/>
      <c r="R12" s="227"/>
      <c r="S12" s="227"/>
      <c r="T12" s="237"/>
    </row>
    <row r="13" spans="1:20" s="81" customFormat="1" ht="47.25" customHeight="1" thickBot="1">
      <c r="A13" s="245" t="s">
        <v>37</v>
      </c>
      <c r="B13" s="246" t="s">
        <v>38</v>
      </c>
      <c r="C13" s="245" t="s">
        <v>39</v>
      </c>
      <c r="D13" s="245" t="s">
        <v>40</v>
      </c>
      <c r="E13" s="245" t="s">
        <v>41</v>
      </c>
      <c r="F13" s="245" t="s">
        <v>42</v>
      </c>
      <c r="G13" s="245" t="s">
        <v>43</v>
      </c>
      <c r="H13" s="245" t="s">
        <v>44</v>
      </c>
      <c r="I13" s="245" t="s">
        <v>74</v>
      </c>
      <c r="J13" s="245" t="s">
        <v>145</v>
      </c>
      <c r="K13" s="245" t="s">
        <v>50</v>
      </c>
      <c r="L13" s="245" t="s">
        <v>146</v>
      </c>
      <c r="M13" s="266" t="s">
        <v>148</v>
      </c>
      <c r="N13" s="269" t="s">
        <v>172</v>
      </c>
      <c r="O13" s="267" t="s">
        <v>51</v>
      </c>
      <c r="P13" s="245" t="s">
        <v>174</v>
      </c>
      <c r="Q13" s="246" t="s">
        <v>176</v>
      </c>
      <c r="R13" s="246" t="s">
        <v>177</v>
      </c>
      <c r="S13" s="246" t="s">
        <v>173</v>
      </c>
      <c r="T13" s="245" t="s">
        <v>178</v>
      </c>
    </row>
    <row r="14" spans="1:20" s="81" customFormat="1" ht="13.5" customHeight="1">
      <c r="A14" s="334">
        <v>1</v>
      </c>
      <c r="B14" s="198" t="s">
        <v>198</v>
      </c>
      <c r="C14" s="198" t="s">
        <v>199</v>
      </c>
      <c r="D14" s="198" t="s">
        <v>200</v>
      </c>
      <c r="E14" s="198" t="s">
        <v>201</v>
      </c>
      <c r="F14" s="331" t="s">
        <v>202</v>
      </c>
      <c r="G14" s="321">
        <v>4781937</v>
      </c>
      <c r="H14" s="331" t="s">
        <v>203</v>
      </c>
      <c r="I14" s="198" t="s">
        <v>704</v>
      </c>
      <c r="J14" s="198" t="s">
        <v>378</v>
      </c>
      <c r="K14" s="368">
        <v>44939</v>
      </c>
      <c r="L14" s="332">
        <v>72002670</v>
      </c>
      <c r="M14" s="336" t="s">
        <v>394</v>
      </c>
      <c r="N14" s="327" t="s">
        <v>437</v>
      </c>
      <c r="O14" s="198" t="s">
        <v>378</v>
      </c>
      <c r="P14" s="383" t="s">
        <v>478</v>
      </c>
      <c r="Q14" s="337" t="s">
        <v>669</v>
      </c>
      <c r="R14" s="338">
        <v>29209</v>
      </c>
      <c r="S14" s="339"/>
      <c r="T14" s="198" t="s">
        <v>561</v>
      </c>
    </row>
    <row r="15" spans="1:20" s="81" customFormat="1" ht="24">
      <c r="A15" s="334">
        <v>2</v>
      </c>
      <c r="B15" s="192" t="s">
        <v>204</v>
      </c>
      <c r="C15" s="192" t="s">
        <v>205</v>
      </c>
      <c r="D15" s="192" t="s">
        <v>206</v>
      </c>
      <c r="E15" s="192" t="s">
        <v>207</v>
      </c>
      <c r="F15" s="192" t="s">
        <v>208</v>
      </c>
      <c r="G15" s="340">
        <v>5307964</v>
      </c>
      <c r="H15" s="341" t="s">
        <v>192</v>
      </c>
      <c r="I15" s="324" t="s">
        <v>642</v>
      </c>
      <c r="J15" s="198" t="s">
        <v>378</v>
      </c>
      <c r="K15" s="369">
        <v>45084</v>
      </c>
      <c r="L15" s="343">
        <v>61317090</v>
      </c>
      <c r="M15" s="336" t="s">
        <v>395</v>
      </c>
      <c r="N15" s="344" t="s">
        <v>438</v>
      </c>
      <c r="O15" s="198" t="s">
        <v>379</v>
      </c>
      <c r="P15" s="345" t="s">
        <v>479</v>
      </c>
      <c r="Q15" s="337" t="s">
        <v>669</v>
      </c>
      <c r="R15" s="338">
        <v>30751</v>
      </c>
      <c r="S15" s="258"/>
      <c r="T15" s="326" t="s">
        <v>520</v>
      </c>
    </row>
    <row r="16" spans="1:20" s="81" customFormat="1" ht="36">
      <c r="A16" s="334">
        <v>3</v>
      </c>
      <c r="B16" s="198" t="s">
        <v>209</v>
      </c>
      <c r="C16" s="198" t="s">
        <v>190</v>
      </c>
      <c r="D16" s="198" t="s">
        <v>210</v>
      </c>
      <c r="E16" s="198" t="s">
        <v>211</v>
      </c>
      <c r="F16" s="331" t="s">
        <v>212</v>
      </c>
      <c r="G16" s="321">
        <v>6723966</v>
      </c>
      <c r="H16" s="331" t="s">
        <v>197</v>
      </c>
      <c r="I16" s="325" t="s">
        <v>725</v>
      </c>
      <c r="J16" s="342" t="s">
        <v>564</v>
      </c>
      <c r="K16" s="370">
        <v>44928</v>
      </c>
      <c r="L16" s="332">
        <v>65629507</v>
      </c>
      <c r="M16" s="346" t="s">
        <v>396</v>
      </c>
      <c r="N16" s="327" t="s">
        <v>439</v>
      </c>
      <c r="O16" s="198" t="s">
        <v>378</v>
      </c>
      <c r="P16" s="383" t="s">
        <v>562</v>
      </c>
      <c r="Q16" s="337" t="s">
        <v>669</v>
      </c>
      <c r="R16" s="338">
        <v>32532</v>
      </c>
      <c r="S16" s="258"/>
      <c r="T16" s="198" t="s">
        <v>521</v>
      </c>
    </row>
    <row r="17" spans="1:20" s="81" customFormat="1" ht="13.5">
      <c r="A17" s="334">
        <v>4</v>
      </c>
      <c r="B17" s="198" t="s">
        <v>209</v>
      </c>
      <c r="C17" s="198" t="s">
        <v>213</v>
      </c>
      <c r="D17" s="198" t="s">
        <v>214</v>
      </c>
      <c r="E17" s="198" t="s">
        <v>215</v>
      </c>
      <c r="F17" s="331" t="s">
        <v>216</v>
      </c>
      <c r="G17" s="321">
        <v>6812457</v>
      </c>
      <c r="H17" s="331" t="s">
        <v>203</v>
      </c>
      <c r="I17" s="325" t="s">
        <v>682</v>
      </c>
      <c r="J17" s="342" t="s">
        <v>564</v>
      </c>
      <c r="K17" s="368">
        <v>44568</v>
      </c>
      <c r="L17" s="332">
        <v>71622798</v>
      </c>
      <c r="M17" s="336" t="s">
        <v>397</v>
      </c>
      <c r="N17" s="327" t="s">
        <v>440</v>
      </c>
      <c r="O17" s="198" t="s">
        <v>393</v>
      </c>
      <c r="P17" s="383" t="s">
        <v>480</v>
      </c>
      <c r="Q17" s="337" t="s">
        <v>669</v>
      </c>
      <c r="R17" s="338">
        <v>32962</v>
      </c>
      <c r="S17" s="258"/>
      <c r="T17" s="198" t="s">
        <v>522</v>
      </c>
    </row>
    <row r="18" spans="1:20" s="81" customFormat="1" ht="13.5">
      <c r="A18" s="334">
        <v>5</v>
      </c>
      <c r="B18" s="192" t="s">
        <v>217</v>
      </c>
      <c r="C18" s="192" t="s">
        <v>218</v>
      </c>
      <c r="D18" s="192" t="s">
        <v>219</v>
      </c>
      <c r="E18" s="192" t="s">
        <v>220</v>
      </c>
      <c r="F18" s="192"/>
      <c r="G18" s="340">
        <v>6533292</v>
      </c>
      <c r="H18" s="341" t="s">
        <v>192</v>
      </c>
      <c r="I18" s="324" t="s">
        <v>688</v>
      </c>
      <c r="J18" s="342" t="s">
        <v>564</v>
      </c>
      <c r="K18" s="369">
        <v>45086</v>
      </c>
      <c r="L18" s="343">
        <v>67813757</v>
      </c>
      <c r="M18" s="386" t="s">
        <v>398</v>
      </c>
      <c r="N18" s="344" t="s">
        <v>441</v>
      </c>
      <c r="O18" s="198" t="s">
        <v>380</v>
      </c>
      <c r="P18" s="332" t="s">
        <v>481</v>
      </c>
      <c r="Q18" s="337" t="s">
        <v>669</v>
      </c>
      <c r="R18" s="335">
        <v>32107</v>
      </c>
      <c r="S18" s="258"/>
      <c r="T18" s="198" t="s">
        <v>523</v>
      </c>
    </row>
    <row r="19" spans="1:20" s="81" customFormat="1" ht="13.5">
      <c r="A19" s="334">
        <v>6</v>
      </c>
      <c r="B19" s="192" t="s">
        <v>217</v>
      </c>
      <c r="C19" s="192" t="s">
        <v>221</v>
      </c>
      <c r="D19" s="192" t="s">
        <v>221</v>
      </c>
      <c r="E19" s="192" t="s">
        <v>222</v>
      </c>
      <c r="F19" s="192"/>
      <c r="G19" s="340">
        <v>8446415</v>
      </c>
      <c r="H19" s="341" t="s">
        <v>197</v>
      </c>
      <c r="I19" s="324" t="s">
        <v>667</v>
      </c>
      <c r="J19" s="342" t="s">
        <v>563</v>
      </c>
      <c r="K19" s="369">
        <v>45085</v>
      </c>
      <c r="L19" s="343">
        <v>73260894</v>
      </c>
      <c r="M19" s="336" t="s">
        <v>399</v>
      </c>
      <c r="N19" s="344" t="s">
        <v>443</v>
      </c>
      <c r="O19" s="198" t="s">
        <v>381</v>
      </c>
      <c r="P19" s="345" t="s">
        <v>482</v>
      </c>
      <c r="Q19" s="337" t="s">
        <v>669</v>
      </c>
      <c r="R19" s="338">
        <v>33848</v>
      </c>
      <c r="S19" s="258"/>
      <c r="T19" s="326" t="s">
        <v>524</v>
      </c>
    </row>
    <row r="20" spans="1:20" s="81" customFormat="1" ht="13.5">
      <c r="A20" s="334">
        <v>7</v>
      </c>
      <c r="B20" s="192" t="s">
        <v>10</v>
      </c>
      <c r="C20" s="192" t="s">
        <v>194</v>
      </c>
      <c r="D20" s="192" t="s">
        <v>195</v>
      </c>
      <c r="E20" s="192" t="s">
        <v>196</v>
      </c>
      <c r="F20" s="192"/>
      <c r="G20" s="340">
        <v>7048396</v>
      </c>
      <c r="H20" s="197" t="s">
        <v>197</v>
      </c>
      <c r="I20" s="327" t="s">
        <v>367</v>
      </c>
      <c r="J20" s="342" t="s">
        <v>564</v>
      </c>
      <c r="K20" s="369">
        <v>45230</v>
      </c>
      <c r="L20" s="343">
        <v>63414411</v>
      </c>
      <c r="M20" s="386" t="s">
        <v>400</v>
      </c>
      <c r="N20" s="344" t="s">
        <v>442</v>
      </c>
      <c r="O20" s="198" t="s">
        <v>193</v>
      </c>
      <c r="P20" s="383" t="s">
        <v>483</v>
      </c>
      <c r="Q20" s="337" t="s">
        <v>669</v>
      </c>
      <c r="R20" s="338">
        <v>33862</v>
      </c>
      <c r="S20" s="258"/>
      <c r="T20" s="328" t="s">
        <v>635</v>
      </c>
    </row>
    <row r="21" spans="1:20" s="81" customFormat="1" ht="13.5">
      <c r="A21" s="334">
        <v>8</v>
      </c>
      <c r="B21" s="192" t="s">
        <v>224</v>
      </c>
      <c r="C21" s="192" t="s">
        <v>703</v>
      </c>
      <c r="D21" s="192" t="s">
        <v>254</v>
      </c>
      <c r="E21" s="192" t="s">
        <v>299</v>
      </c>
      <c r="F21" s="192"/>
      <c r="G21" s="340">
        <v>3511766</v>
      </c>
      <c r="H21" s="197" t="s">
        <v>253</v>
      </c>
      <c r="I21" s="328" t="s">
        <v>369</v>
      </c>
      <c r="J21" s="342" t="s">
        <v>563</v>
      </c>
      <c r="K21" s="369">
        <v>45392</v>
      </c>
      <c r="L21" s="343">
        <v>68831385</v>
      </c>
      <c r="M21" s="386" t="s">
        <v>702</v>
      </c>
      <c r="N21" s="344" t="s">
        <v>701</v>
      </c>
      <c r="O21" s="198" t="s">
        <v>383</v>
      </c>
      <c r="P21" s="383" t="s">
        <v>700</v>
      </c>
      <c r="Q21" s="337" t="s">
        <v>669</v>
      </c>
      <c r="R21" s="338">
        <v>25425</v>
      </c>
      <c r="S21" s="258"/>
      <c r="T21" s="328" t="s">
        <v>699</v>
      </c>
    </row>
    <row r="22" spans="1:20" s="81" customFormat="1" ht="13.5">
      <c r="A22" s="334">
        <v>9</v>
      </c>
      <c r="B22" s="192" t="s">
        <v>224</v>
      </c>
      <c r="C22" s="192" t="s">
        <v>225</v>
      </c>
      <c r="D22" s="192" t="s">
        <v>226</v>
      </c>
      <c r="E22" s="192" t="s">
        <v>227</v>
      </c>
      <c r="F22" s="192" t="s">
        <v>228</v>
      </c>
      <c r="G22" s="340">
        <v>4298597</v>
      </c>
      <c r="H22" s="341" t="s">
        <v>197</v>
      </c>
      <c r="I22" s="198" t="s">
        <v>368</v>
      </c>
      <c r="J22" s="342" t="s">
        <v>563</v>
      </c>
      <c r="K22" s="369">
        <v>45084</v>
      </c>
      <c r="L22" s="343">
        <v>63606005</v>
      </c>
      <c r="M22" s="336" t="s">
        <v>401</v>
      </c>
      <c r="N22" s="344" t="s">
        <v>444</v>
      </c>
      <c r="O22" s="198" t="s">
        <v>382</v>
      </c>
      <c r="P22" s="345" t="s">
        <v>484</v>
      </c>
      <c r="Q22" s="337" t="s">
        <v>669</v>
      </c>
      <c r="R22" s="338">
        <v>27049</v>
      </c>
      <c r="S22" s="258"/>
      <c r="T22" s="326" t="s">
        <v>525</v>
      </c>
    </row>
    <row r="23" spans="1:20" s="81" customFormat="1" ht="13.5">
      <c r="A23" s="334">
        <v>10</v>
      </c>
      <c r="B23" s="192" t="s">
        <v>229</v>
      </c>
      <c r="C23" s="192" t="s">
        <v>230</v>
      </c>
      <c r="D23" s="192" t="s">
        <v>231</v>
      </c>
      <c r="E23" s="192" t="s">
        <v>232</v>
      </c>
      <c r="F23" s="192" t="s">
        <v>233</v>
      </c>
      <c r="G23" s="340">
        <v>6100797</v>
      </c>
      <c r="H23" s="341" t="s">
        <v>197</v>
      </c>
      <c r="I23" s="198" t="s">
        <v>643</v>
      </c>
      <c r="J23" s="342" t="s">
        <v>564</v>
      </c>
      <c r="K23" s="371">
        <v>45106</v>
      </c>
      <c r="L23" s="345">
        <v>73151918</v>
      </c>
      <c r="M23" s="387" t="s">
        <v>402</v>
      </c>
      <c r="N23" s="327" t="s">
        <v>445</v>
      </c>
      <c r="O23" s="198" t="s">
        <v>383</v>
      </c>
      <c r="P23" s="345" t="s">
        <v>485</v>
      </c>
      <c r="Q23" s="337" t="s">
        <v>669</v>
      </c>
      <c r="R23" s="338">
        <v>29605</v>
      </c>
      <c r="S23" s="258"/>
      <c r="T23" s="326" t="s">
        <v>526</v>
      </c>
    </row>
    <row r="24" spans="1:20" s="81" customFormat="1" ht="13.5">
      <c r="A24" s="334">
        <v>11</v>
      </c>
      <c r="B24" s="192" t="s">
        <v>239</v>
      </c>
      <c r="C24" s="328" t="s">
        <v>231</v>
      </c>
      <c r="D24" s="198" t="s">
        <v>231</v>
      </c>
      <c r="E24" s="198" t="s">
        <v>245</v>
      </c>
      <c r="F24" s="331" t="s">
        <v>246</v>
      </c>
      <c r="G24" s="321">
        <v>4960106</v>
      </c>
      <c r="H24" s="331" t="s">
        <v>203</v>
      </c>
      <c r="I24" s="328" t="s">
        <v>370</v>
      </c>
      <c r="J24" s="342" t="s">
        <v>564</v>
      </c>
      <c r="K24" s="368">
        <v>41415</v>
      </c>
      <c r="L24" s="332">
        <v>72628711</v>
      </c>
      <c r="M24" s="336" t="s">
        <v>403</v>
      </c>
      <c r="N24" s="327" t="s">
        <v>446</v>
      </c>
      <c r="O24" s="198" t="s">
        <v>384</v>
      </c>
      <c r="P24" s="383" t="s">
        <v>486</v>
      </c>
      <c r="Q24" s="337" t="s">
        <v>669</v>
      </c>
      <c r="R24" s="338">
        <v>29179</v>
      </c>
      <c r="S24" s="258"/>
      <c r="T24" s="198" t="s">
        <v>527</v>
      </c>
    </row>
    <row r="25" spans="1:20" s="81" customFormat="1" ht="13.5">
      <c r="A25" s="334">
        <v>12</v>
      </c>
      <c r="B25" s="192" t="s">
        <v>239</v>
      </c>
      <c r="C25" s="328" t="s">
        <v>254</v>
      </c>
      <c r="D25" s="198" t="s">
        <v>255</v>
      </c>
      <c r="E25" s="198" t="s">
        <v>256</v>
      </c>
      <c r="F25" s="331"/>
      <c r="G25" s="321">
        <v>4906861</v>
      </c>
      <c r="H25" s="331" t="s">
        <v>203</v>
      </c>
      <c r="I25" s="328" t="s">
        <v>570</v>
      </c>
      <c r="J25" s="342" t="s">
        <v>185</v>
      </c>
      <c r="K25" s="368">
        <v>44802</v>
      </c>
      <c r="L25" s="332">
        <v>70248207</v>
      </c>
      <c r="M25" s="336" t="s">
        <v>405</v>
      </c>
      <c r="N25" s="327" t="s">
        <v>448</v>
      </c>
      <c r="O25" s="198" t="s">
        <v>386</v>
      </c>
      <c r="P25" s="385" t="s">
        <v>490</v>
      </c>
      <c r="Q25" s="337" t="s">
        <v>669</v>
      </c>
      <c r="R25" s="338">
        <v>29110</v>
      </c>
      <c r="S25" s="258"/>
      <c r="T25" s="326" t="s">
        <v>529</v>
      </c>
    </row>
    <row r="26" spans="1:20" s="81" customFormat="1" ht="12" customHeight="1">
      <c r="A26" s="334">
        <v>13</v>
      </c>
      <c r="B26" s="192" t="s">
        <v>239</v>
      </c>
      <c r="C26" s="328" t="s">
        <v>247</v>
      </c>
      <c r="D26" s="198" t="s">
        <v>248</v>
      </c>
      <c r="E26" s="198" t="s">
        <v>249</v>
      </c>
      <c r="F26" s="331" t="s">
        <v>250</v>
      </c>
      <c r="G26" s="321">
        <v>5961519</v>
      </c>
      <c r="H26" s="331" t="s">
        <v>203</v>
      </c>
      <c r="I26" s="328" t="s">
        <v>644</v>
      </c>
      <c r="J26" s="198" t="s">
        <v>378</v>
      </c>
      <c r="K26" s="368">
        <v>44809</v>
      </c>
      <c r="L26" s="332">
        <v>70089417</v>
      </c>
      <c r="M26" s="336" t="s">
        <v>404</v>
      </c>
      <c r="N26" s="327" t="s">
        <v>447</v>
      </c>
      <c r="O26" s="198" t="s">
        <v>385</v>
      </c>
      <c r="P26" s="383" t="s">
        <v>487</v>
      </c>
      <c r="Q26" s="337" t="s">
        <v>670</v>
      </c>
      <c r="R26" s="338">
        <v>29516</v>
      </c>
      <c r="S26" s="258"/>
      <c r="T26" s="198" t="s">
        <v>528</v>
      </c>
    </row>
    <row r="27" spans="1:20" s="81" customFormat="1" ht="13.5">
      <c r="A27" s="334">
        <v>14</v>
      </c>
      <c r="B27" s="192" t="s">
        <v>257</v>
      </c>
      <c r="C27" s="192" t="s">
        <v>260</v>
      </c>
      <c r="D27" s="192" t="s">
        <v>261</v>
      </c>
      <c r="E27" s="192" t="s">
        <v>262</v>
      </c>
      <c r="F27" s="192" t="s">
        <v>263</v>
      </c>
      <c r="G27" s="340">
        <v>5337931</v>
      </c>
      <c r="H27" s="341" t="s">
        <v>238</v>
      </c>
      <c r="I27" s="328" t="s">
        <v>369</v>
      </c>
      <c r="J27" s="342" t="s">
        <v>563</v>
      </c>
      <c r="K27" s="369">
        <v>45084</v>
      </c>
      <c r="L27" s="343">
        <v>60919713</v>
      </c>
      <c r="M27" s="348" t="s">
        <v>407</v>
      </c>
      <c r="N27" s="344" t="s">
        <v>450</v>
      </c>
      <c r="O27" s="198" t="s">
        <v>387</v>
      </c>
      <c r="P27" s="332" t="s">
        <v>488</v>
      </c>
      <c r="Q27" s="337" t="s">
        <v>669</v>
      </c>
      <c r="R27" s="338">
        <v>29754</v>
      </c>
      <c r="S27" s="258"/>
      <c r="T27" s="198" t="s">
        <v>531</v>
      </c>
    </row>
    <row r="28" spans="1:20" s="81" customFormat="1" ht="13.5">
      <c r="A28" s="334">
        <v>15</v>
      </c>
      <c r="B28" s="192" t="s">
        <v>257</v>
      </c>
      <c r="C28" s="192" t="s">
        <v>258</v>
      </c>
      <c r="D28" s="192" t="s">
        <v>254</v>
      </c>
      <c r="E28" s="192" t="s">
        <v>259</v>
      </c>
      <c r="F28" s="192"/>
      <c r="G28" s="340">
        <v>4882914</v>
      </c>
      <c r="H28" s="341" t="s">
        <v>197</v>
      </c>
      <c r="I28" s="328" t="s">
        <v>369</v>
      </c>
      <c r="J28" s="342" t="s">
        <v>563</v>
      </c>
      <c r="K28" s="369">
        <v>45084</v>
      </c>
      <c r="L28" s="343">
        <v>77354241</v>
      </c>
      <c r="M28" s="348" t="s">
        <v>406</v>
      </c>
      <c r="N28" s="344" t="s">
        <v>449</v>
      </c>
      <c r="O28" s="198" t="s">
        <v>379</v>
      </c>
      <c r="P28" s="332" t="s">
        <v>653</v>
      </c>
      <c r="Q28" s="337" t="s">
        <v>670</v>
      </c>
      <c r="R28" s="338">
        <v>30958</v>
      </c>
      <c r="S28" s="258"/>
      <c r="T28" s="326" t="s">
        <v>530</v>
      </c>
    </row>
    <row r="29" spans="1:20" s="81" customFormat="1" ht="24">
      <c r="A29" s="334">
        <v>16</v>
      </c>
      <c r="B29" s="198" t="s">
        <v>573</v>
      </c>
      <c r="C29" s="328" t="s">
        <v>645</v>
      </c>
      <c r="D29" s="198" t="s">
        <v>648</v>
      </c>
      <c r="E29" s="198" t="s">
        <v>647</v>
      </c>
      <c r="F29" s="331"/>
      <c r="G29" s="379">
        <v>4858431</v>
      </c>
      <c r="H29" s="327" t="s">
        <v>197</v>
      </c>
      <c r="I29" s="329" t="s">
        <v>684</v>
      </c>
      <c r="J29" s="198" t="s">
        <v>564</v>
      </c>
      <c r="K29" s="368">
        <v>45253</v>
      </c>
      <c r="L29" s="332">
        <v>71540599</v>
      </c>
      <c r="M29" s="380" t="s">
        <v>649</v>
      </c>
      <c r="N29" s="327" t="s">
        <v>650</v>
      </c>
      <c r="O29" s="198" t="s">
        <v>193</v>
      </c>
      <c r="P29" s="383" t="s">
        <v>651</v>
      </c>
      <c r="Q29" s="337" t="s">
        <v>669</v>
      </c>
      <c r="R29" s="338">
        <v>30630</v>
      </c>
      <c r="S29" s="258"/>
      <c r="T29" s="198" t="s">
        <v>652</v>
      </c>
    </row>
    <row r="30" spans="1:20" s="81" customFormat="1" ht="13.5">
      <c r="A30" s="334">
        <v>17</v>
      </c>
      <c r="B30" s="198" t="s">
        <v>244</v>
      </c>
      <c r="C30" s="328" t="s">
        <v>661</v>
      </c>
      <c r="D30" s="198" t="s">
        <v>254</v>
      </c>
      <c r="E30" s="198" t="s">
        <v>662</v>
      </c>
      <c r="F30" s="331" t="s">
        <v>659</v>
      </c>
      <c r="G30" s="321">
        <v>4929511</v>
      </c>
      <c r="H30" s="331" t="s">
        <v>197</v>
      </c>
      <c r="I30" s="328" t="s">
        <v>368</v>
      </c>
      <c r="J30" s="342" t="s">
        <v>563</v>
      </c>
      <c r="K30" s="368">
        <v>45288</v>
      </c>
      <c r="L30" s="332">
        <v>71213556</v>
      </c>
      <c r="M30" s="380" t="s">
        <v>663</v>
      </c>
      <c r="N30" s="327" t="s">
        <v>664</v>
      </c>
      <c r="O30" s="198" t="s">
        <v>378</v>
      </c>
      <c r="P30" s="383" t="s">
        <v>666</v>
      </c>
      <c r="Q30" s="337" t="s">
        <v>669</v>
      </c>
      <c r="R30" s="338">
        <v>29857</v>
      </c>
      <c r="S30" s="258"/>
      <c r="T30" s="198" t="s">
        <v>665</v>
      </c>
    </row>
    <row r="31" spans="1:20" s="81" customFormat="1" ht="13.5">
      <c r="A31" s="334">
        <v>18</v>
      </c>
      <c r="B31" s="192" t="s">
        <v>257</v>
      </c>
      <c r="C31" s="192" t="s">
        <v>254</v>
      </c>
      <c r="D31" s="192" t="s">
        <v>221</v>
      </c>
      <c r="E31" s="192" t="s">
        <v>264</v>
      </c>
      <c r="F31" s="192" t="s">
        <v>265</v>
      </c>
      <c r="G31" s="340">
        <v>6133994</v>
      </c>
      <c r="H31" s="341" t="s">
        <v>197</v>
      </c>
      <c r="I31" s="328" t="s">
        <v>671</v>
      </c>
      <c r="J31" s="342" t="s">
        <v>563</v>
      </c>
      <c r="K31" s="369">
        <v>45085</v>
      </c>
      <c r="L31" s="343">
        <v>60906380</v>
      </c>
      <c r="M31" s="348" t="s">
        <v>408</v>
      </c>
      <c r="N31" s="344" t="s">
        <v>451</v>
      </c>
      <c r="O31" s="198" t="s">
        <v>381</v>
      </c>
      <c r="P31" s="332" t="s">
        <v>491</v>
      </c>
      <c r="Q31" s="337" t="s">
        <v>669</v>
      </c>
      <c r="R31" s="338">
        <v>29331</v>
      </c>
      <c r="S31" s="258"/>
      <c r="T31" s="326" t="s">
        <v>532</v>
      </c>
    </row>
    <row r="32" spans="1:20" s="81" customFormat="1" ht="13.5">
      <c r="A32" s="334">
        <v>19</v>
      </c>
      <c r="B32" s="192" t="s">
        <v>257</v>
      </c>
      <c r="C32" s="192" t="s">
        <v>266</v>
      </c>
      <c r="D32" s="192" t="s">
        <v>267</v>
      </c>
      <c r="E32" s="192" t="s">
        <v>268</v>
      </c>
      <c r="F32" s="192"/>
      <c r="G32" s="340">
        <v>5376613</v>
      </c>
      <c r="H32" s="341" t="s">
        <v>238</v>
      </c>
      <c r="I32" s="328" t="s">
        <v>369</v>
      </c>
      <c r="J32" s="342" t="s">
        <v>563</v>
      </c>
      <c r="K32" s="369">
        <v>45084</v>
      </c>
      <c r="L32" s="343">
        <v>78172877</v>
      </c>
      <c r="M32" s="348" t="s">
        <v>409</v>
      </c>
      <c r="N32" s="344" t="s">
        <v>452</v>
      </c>
      <c r="O32" s="198" t="s">
        <v>379</v>
      </c>
      <c r="P32" s="332" t="s">
        <v>489</v>
      </c>
      <c r="Q32" s="337" t="s">
        <v>669</v>
      </c>
      <c r="R32" s="338">
        <v>30538</v>
      </c>
      <c r="S32" s="258"/>
      <c r="T32" s="326" t="s">
        <v>533</v>
      </c>
    </row>
    <row r="33" spans="1:20" s="81" customFormat="1" ht="13.5">
      <c r="A33" s="334">
        <v>20</v>
      </c>
      <c r="B33" s="192" t="s">
        <v>257</v>
      </c>
      <c r="C33" s="192" t="s">
        <v>276</v>
      </c>
      <c r="D33" s="192" t="s">
        <v>221</v>
      </c>
      <c r="E33" s="192" t="s">
        <v>277</v>
      </c>
      <c r="F33" s="192"/>
      <c r="G33" s="340">
        <v>6144234</v>
      </c>
      <c r="H33" s="341" t="s">
        <v>197</v>
      </c>
      <c r="I33" s="328" t="s">
        <v>369</v>
      </c>
      <c r="J33" s="342" t="s">
        <v>563</v>
      </c>
      <c r="K33" s="369">
        <v>45084</v>
      </c>
      <c r="L33" s="343">
        <v>68828724</v>
      </c>
      <c r="M33" s="348" t="s">
        <v>410</v>
      </c>
      <c r="N33" s="344" t="s">
        <v>453</v>
      </c>
      <c r="O33" s="198" t="s">
        <v>379</v>
      </c>
      <c r="P33" s="345" t="s">
        <v>492</v>
      </c>
      <c r="Q33" s="337" t="s">
        <v>669</v>
      </c>
      <c r="R33" s="338">
        <v>31150</v>
      </c>
      <c r="S33" s="258"/>
      <c r="T33" s="326" t="s">
        <v>534</v>
      </c>
    </row>
    <row r="34" spans="1:20" s="81" customFormat="1" ht="13.5">
      <c r="A34" s="334">
        <v>21</v>
      </c>
      <c r="B34" s="192" t="s">
        <v>278</v>
      </c>
      <c r="C34" s="192" t="s">
        <v>279</v>
      </c>
      <c r="D34" s="192" t="s">
        <v>280</v>
      </c>
      <c r="E34" s="192" t="s">
        <v>281</v>
      </c>
      <c r="F34" s="192"/>
      <c r="G34" s="340">
        <v>4319305</v>
      </c>
      <c r="H34" s="341" t="s">
        <v>197</v>
      </c>
      <c r="I34" s="328" t="s">
        <v>369</v>
      </c>
      <c r="J34" s="342" t="s">
        <v>563</v>
      </c>
      <c r="K34" s="369">
        <v>45084</v>
      </c>
      <c r="L34" s="343">
        <v>67030880</v>
      </c>
      <c r="M34" s="348" t="s">
        <v>411</v>
      </c>
      <c r="N34" s="344" t="s">
        <v>454</v>
      </c>
      <c r="O34" s="198" t="s">
        <v>382</v>
      </c>
      <c r="P34" s="345" t="s">
        <v>493</v>
      </c>
      <c r="Q34" s="337" t="s">
        <v>669</v>
      </c>
      <c r="R34" s="338">
        <v>27959</v>
      </c>
      <c r="S34" s="258"/>
      <c r="T34" s="326" t="s">
        <v>535</v>
      </c>
    </row>
    <row r="35" spans="1:20" s="81" customFormat="1" ht="13.5">
      <c r="A35" s="334">
        <v>22</v>
      </c>
      <c r="B35" s="192" t="s">
        <v>282</v>
      </c>
      <c r="C35" s="192" t="s">
        <v>283</v>
      </c>
      <c r="D35" s="192" t="s">
        <v>284</v>
      </c>
      <c r="E35" s="192" t="s">
        <v>285</v>
      </c>
      <c r="F35" s="192"/>
      <c r="G35" s="340">
        <v>5509843</v>
      </c>
      <c r="H35" s="341" t="s">
        <v>286</v>
      </c>
      <c r="I35" s="329" t="s">
        <v>683</v>
      </c>
      <c r="J35" s="342" t="s">
        <v>564</v>
      </c>
      <c r="K35" s="369">
        <v>45084</v>
      </c>
      <c r="L35" s="343">
        <v>76669414</v>
      </c>
      <c r="M35" s="348" t="s">
        <v>412</v>
      </c>
      <c r="N35" s="344" t="s">
        <v>455</v>
      </c>
      <c r="O35" s="198" t="s">
        <v>388</v>
      </c>
      <c r="P35" s="345" t="s">
        <v>494</v>
      </c>
      <c r="Q35" s="337" t="s">
        <v>669</v>
      </c>
      <c r="R35" s="338">
        <v>29466</v>
      </c>
      <c r="S35" s="258"/>
      <c r="T35" s="326" t="s">
        <v>536</v>
      </c>
    </row>
    <row r="36" spans="1:20" s="81" customFormat="1" ht="13.5">
      <c r="A36" s="334">
        <v>23</v>
      </c>
      <c r="B36" s="198" t="s">
        <v>15</v>
      </c>
      <c r="C36" s="198" t="s">
        <v>287</v>
      </c>
      <c r="D36" s="198" t="s">
        <v>288</v>
      </c>
      <c r="E36" s="198" t="s">
        <v>289</v>
      </c>
      <c r="F36" s="331"/>
      <c r="G36" s="321">
        <v>7277873</v>
      </c>
      <c r="H36" s="331" t="s">
        <v>290</v>
      </c>
      <c r="I36" s="328" t="s">
        <v>705</v>
      </c>
      <c r="J36" s="342" t="s">
        <v>564</v>
      </c>
      <c r="K36" s="368">
        <v>43857</v>
      </c>
      <c r="L36" s="332">
        <v>76088991</v>
      </c>
      <c r="M36" s="348" t="s">
        <v>413</v>
      </c>
      <c r="N36" s="327" t="s">
        <v>456</v>
      </c>
      <c r="O36" s="198" t="s">
        <v>389</v>
      </c>
      <c r="P36" s="345" t="s">
        <v>678</v>
      </c>
      <c r="Q36" s="337" t="s">
        <v>669</v>
      </c>
      <c r="R36" s="345" t="s">
        <v>518</v>
      </c>
      <c r="S36" s="258"/>
      <c r="T36" s="198" t="s">
        <v>537</v>
      </c>
    </row>
    <row r="37" spans="1:20" s="81" customFormat="1" ht="13.5">
      <c r="A37" s="334">
        <v>24</v>
      </c>
      <c r="B37" s="192" t="s">
        <v>278</v>
      </c>
      <c r="C37" s="192" t="s">
        <v>291</v>
      </c>
      <c r="D37" s="192" t="s">
        <v>292</v>
      </c>
      <c r="E37" s="192" t="s">
        <v>293</v>
      </c>
      <c r="F37" s="192"/>
      <c r="G37" s="340">
        <v>6901662</v>
      </c>
      <c r="H37" s="341" t="s">
        <v>197</v>
      </c>
      <c r="I37" s="328" t="s">
        <v>369</v>
      </c>
      <c r="J37" s="342" t="s">
        <v>563</v>
      </c>
      <c r="K37" s="369">
        <v>45084</v>
      </c>
      <c r="L37" s="343">
        <v>67834238</v>
      </c>
      <c r="M37" s="348" t="s">
        <v>414</v>
      </c>
      <c r="N37" s="344" t="s">
        <v>457</v>
      </c>
      <c r="O37" s="198" t="s">
        <v>379</v>
      </c>
      <c r="P37" s="332" t="s">
        <v>496</v>
      </c>
      <c r="Q37" s="337" t="s">
        <v>669</v>
      </c>
      <c r="R37" s="338">
        <v>32688</v>
      </c>
      <c r="S37" s="258"/>
      <c r="T37" s="198" t="s">
        <v>538</v>
      </c>
    </row>
    <row r="38" spans="1:20" s="81" customFormat="1" ht="13.5">
      <c r="A38" s="334">
        <v>25</v>
      </c>
      <c r="B38" s="192" t="s">
        <v>278</v>
      </c>
      <c r="C38" s="192" t="s">
        <v>294</v>
      </c>
      <c r="D38" s="192" t="s">
        <v>295</v>
      </c>
      <c r="E38" s="192" t="s">
        <v>285</v>
      </c>
      <c r="F38" s="192" t="s">
        <v>296</v>
      </c>
      <c r="G38" s="340">
        <v>6819455</v>
      </c>
      <c r="H38" s="341" t="s">
        <v>197</v>
      </c>
      <c r="I38" s="329" t="s">
        <v>368</v>
      </c>
      <c r="J38" s="342" t="s">
        <v>563</v>
      </c>
      <c r="K38" s="369">
        <v>45084</v>
      </c>
      <c r="L38" s="343">
        <v>78161608</v>
      </c>
      <c r="M38" s="348" t="s">
        <v>415</v>
      </c>
      <c r="N38" s="344" t="s">
        <v>458</v>
      </c>
      <c r="O38" s="198" t="s">
        <v>383</v>
      </c>
      <c r="P38" s="332" t="s">
        <v>497</v>
      </c>
      <c r="Q38" s="337" t="s">
        <v>669</v>
      </c>
      <c r="R38" s="338">
        <v>32285</v>
      </c>
      <c r="S38" s="258"/>
      <c r="T38" s="326" t="s">
        <v>539</v>
      </c>
    </row>
    <row r="39" spans="1:20" s="81" customFormat="1" ht="26.45" customHeight="1">
      <c r="A39" s="334">
        <v>26</v>
      </c>
      <c r="B39" s="198" t="s">
        <v>15</v>
      </c>
      <c r="C39" s="198" t="s">
        <v>297</v>
      </c>
      <c r="D39" s="198" t="s">
        <v>298</v>
      </c>
      <c r="E39" s="198" t="s">
        <v>299</v>
      </c>
      <c r="F39" s="331"/>
      <c r="G39" s="321">
        <v>7018817</v>
      </c>
      <c r="H39" s="331" t="s">
        <v>203</v>
      </c>
      <c r="I39" s="328" t="s">
        <v>371</v>
      </c>
      <c r="J39" s="342" t="s">
        <v>564</v>
      </c>
      <c r="K39" s="368">
        <v>43697</v>
      </c>
      <c r="L39" s="332">
        <v>72006799</v>
      </c>
      <c r="M39" s="348" t="s">
        <v>416</v>
      </c>
      <c r="N39" s="327" t="s">
        <v>459</v>
      </c>
      <c r="O39" s="198" t="s">
        <v>193</v>
      </c>
      <c r="P39" s="345" t="s">
        <v>495</v>
      </c>
      <c r="Q39" s="337" t="s">
        <v>669</v>
      </c>
      <c r="R39" s="338">
        <v>32146</v>
      </c>
      <c r="S39" s="375" t="s">
        <v>636</v>
      </c>
      <c r="T39" s="326" t="s">
        <v>540</v>
      </c>
    </row>
    <row r="40" spans="1:20" s="81" customFormat="1" ht="13.5">
      <c r="A40" s="334">
        <v>27</v>
      </c>
      <c r="B40" s="198" t="s">
        <v>15</v>
      </c>
      <c r="C40" s="198" t="s">
        <v>300</v>
      </c>
      <c r="D40" s="198" t="s">
        <v>301</v>
      </c>
      <c r="E40" s="198" t="s">
        <v>302</v>
      </c>
      <c r="F40" s="331" t="s">
        <v>303</v>
      </c>
      <c r="G40" s="321">
        <v>7348148</v>
      </c>
      <c r="H40" s="331" t="s">
        <v>253</v>
      </c>
      <c r="I40" s="328" t="s">
        <v>672</v>
      </c>
      <c r="J40" s="342" t="s">
        <v>564</v>
      </c>
      <c r="K40" s="368">
        <v>44187</v>
      </c>
      <c r="L40" s="332">
        <v>67256178</v>
      </c>
      <c r="M40" s="348" t="s">
        <v>417</v>
      </c>
      <c r="N40" s="327" t="s">
        <v>460</v>
      </c>
      <c r="O40" s="198" t="s">
        <v>390</v>
      </c>
      <c r="P40" s="383" t="s">
        <v>498</v>
      </c>
      <c r="Q40" s="337" t="s">
        <v>670</v>
      </c>
      <c r="R40" s="338">
        <v>34072</v>
      </c>
      <c r="S40" s="258"/>
      <c r="T40" s="198" t="s">
        <v>541</v>
      </c>
    </row>
    <row r="41" spans="1:20" s="81" customFormat="1" ht="13.5">
      <c r="A41" s="334">
        <v>28</v>
      </c>
      <c r="B41" s="192" t="s">
        <v>318</v>
      </c>
      <c r="C41" s="192" t="s">
        <v>267</v>
      </c>
      <c r="D41" s="192" t="s">
        <v>267</v>
      </c>
      <c r="E41" s="192" t="s">
        <v>329</v>
      </c>
      <c r="F41" s="192"/>
      <c r="G41" s="340">
        <v>7872668</v>
      </c>
      <c r="H41" s="341" t="s">
        <v>192</v>
      </c>
      <c r="I41" s="328" t="s">
        <v>369</v>
      </c>
      <c r="J41" s="342" t="s">
        <v>563</v>
      </c>
      <c r="K41" s="369">
        <v>45084</v>
      </c>
      <c r="L41" s="343">
        <v>76848765</v>
      </c>
      <c r="M41" s="348" t="s">
        <v>425</v>
      </c>
      <c r="N41" s="327" t="s">
        <v>437</v>
      </c>
      <c r="O41" s="198" t="s">
        <v>383</v>
      </c>
      <c r="P41" s="332" t="s">
        <v>505</v>
      </c>
      <c r="Q41" s="337" t="s">
        <v>669</v>
      </c>
      <c r="R41" s="338">
        <v>34128</v>
      </c>
      <c r="S41" s="258"/>
      <c r="T41" s="326" t="s">
        <v>549</v>
      </c>
    </row>
    <row r="42" spans="1:20" s="81" customFormat="1" ht="13.5">
      <c r="A42" s="334">
        <v>29</v>
      </c>
      <c r="B42" s="198" t="s">
        <v>304</v>
      </c>
      <c r="C42" s="198" t="s">
        <v>305</v>
      </c>
      <c r="D42" s="198" t="s">
        <v>306</v>
      </c>
      <c r="E42" s="198" t="s">
        <v>307</v>
      </c>
      <c r="F42" s="331"/>
      <c r="G42" s="321">
        <v>7277293</v>
      </c>
      <c r="H42" s="331" t="s">
        <v>253</v>
      </c>
      <c r="I42" s="328" t="s">
        <v>372</v>
      </c>
      <c r="J42" s="342" t="s">
        <v>564</v>
      </c>
      <c r="K42" s="370">
        <v>44951</v>
      </c>
      <c r="L42" s="332">
        <v>76064366</v>
      </c>
      <c r="M42" s="348" t="s">
        <v>418</v>
      </c>
      <c r="N42" s="327" t="s">
        <v>461</v>
      </c>
      <c r="O42" s="198" t="s">
        <v>391</v>
      </c>
      <c r="P42" s="383" t="s">
        <v>499</v>
      </c>
      <c r="Q42" s="337" t="s">
        <v>669</v>
      </c>
      <c r="R42" s="338">
        <v>32898</v>
      </c>
      <c r="S42" s="258"/>
      <c r="T42" s="198" t="s">
        <v>542</v>
      </c>
    </row>
    <row r="43" spans="1:20" s="81" customFormat="1" ht="13.5">
      <c r="A43" s="334">
        <v>30</v>
      </c>
      <c r="B43" s="192" t="s">
        <v>318</v>
      </c>
      <c r="C43" s="192" t="s">
        <v>323</v>
      </c>
      <c r="D43" s="192" t="s">
        <v>305</v>
      </c>
      <c r="E43" s="192" t="s">
        <v>324</v>
      </c>
      <c r="F43" s="192" t="s">
        <v>263</v>
      </c>
      <c r="G43" s="340">
        <v>8874169</v>
      </c>
      <c r="H43" s="341" t="s">
        <v>238</v>
      </c>
      <c r="I43" s="328" t="s">
        <v>368</v>
      </c>
      <c r="J43" s="342" t="s">
        <v>563</v>
      </c>
      <c r="K43" s="369">
        <v>45084</v>
      </c>
      <c r="L43" s="343">
        <v>77075892</v>
      </c>
      <c r="M43" s="348" t="s">
        <v>423</v>
      </c>
      <c r="N43" s="344" t="s">
        <v>465</v>
      </c>
      <c r="O43" s="198" t="s">
        <v>388</v>
      </c>
      <c r="P43" s="345" t="s">
        <v>503</v>
      </c>
      <c r="Q43" s="337" t="s">
        <v>669</v>
      </c>
      <c r="R43" s="338">
        <v>27493</v>
      </c>
      <c r="S43" s="258"/>
      <c r="T43" s="326" t="s">
        <v>547</v>
      </c>
    </row>
    <row r="44" spans="1:20" s="81" customFormat="1" ht="13.5">
      <c r="A44" s="334">
        <v>31</v>
      </c>
      <c r="B44" s="192" t="s">
        <v>318</v>
      </c>
      <c r="C44" s="192" t="s">
        <v>319</v>
      </c>
      <c r="D44" s="192" t="s">
        <v>195</v>
      </c>
      <c r="E44" s="192" t="s">
        <v>320</v>
      </c>
      <c r="F44" s="192"/>
      <c r="G44" s="340">
        <v>8107648</v>
      </c>
      <c r="H44" s="341" t="s">
        <v>238</v>
      </c>
      <c r="I44" s="329" t="s">
        <v>368</v>
      </c>
      <c r="J44" s="342" t="s">
        <v>564</v>
      </c>
      <c r="K44" s="369">
        <v>45084</v>
      </c>
      <c r="L44" s="343">
        <v>63399330</v>
      </c>
      <c r="M44" s="348" t="s">
        <v>421</v>
      </c>
      <c r="N44" s="344" t="s">
        <v>463</v>
      </c>
      <c r="O44" s="198" t="s">
        <v>383</v>
      </c>
      <c r="P44" s="332" t="s">
        <v>501</v>
      </c>
      <c r="Q44" s="337" t="s">
        <v>669</v>
      </c>
      <c r="R44" s="338">
        <v>35268</v>
      </c>
      <c r="S44" s="258"/>
      <c r="T44" s="326" t="s">
        <v>545</v>
      </c>
    </row>
    <row r="45" spans="1:20" s="81" customFormat="1" ht="13.5">
      <c r="A45" s="334">
        <v>32</v>
      </c>
      <c r="B45" s="192" t="s">
        <v>318</v>
      </c>
      <c r="C45" s="192" t="s">
        <v>321</v>
      </c>
      <c r="D45" s="192" t="s">
        <v>266</v>
      </c>
      <c r="E45" s="192" t="s">
        <v>322</v>
      </c>
      <c r="F45" s="192"/>
      <c r="G45" s="340">
        <v>6246772</v>
      </c>
      <c r="H45" s="341" t="s">
        <v>238</v>
      </c>
      <c r="I45" s="328" t="s">
        <v>369</v>
      </c>
      <c r="J45" s="342" t="s">
        <v>563</v>
      </c>
      <c r="K45" s="369">
        <v>45084</v>
      </c>
      <c r="L45" s="343">
        <v>77883917</v>
      </c>
      <c r="M45" s="348" t="s">
        <v>422</v>
      </c>
      <c r="N45" s="344" t="s">
        <v>464</v>
      </c>
      <c r="O45" s="198" t="s">
        <v>379</v>
      </c>
      <c r="P45" s="332" t="s">
        <v>502</v>
      </c>
      <c r="Q45" s="337" t="s">
        <v>669</v>
      </c>
      <c r="R45" s="338">
        <v>34410</v>
      </c>
      <c r="S45" s="258"/>
      <c r="T45" s="326" t="s">
        <v>546</v>
      </c>
    </row>
    <row r="46" spans="1:20" s="81" customFormat="1" ht="13.5">
      <c r="A46" s="334">
        <v>33</v>
      </c>
      <c r="B46" s="192" t="s">
        <v>318</v>
      </c>
      <c r="C46" s="192" t="s">
        <v>325</v>
      </c>
      <c r="D46" s="192" t="s">
        <v>326</v>
      </c>
      <c r="E46" s="192" t="s">
        <v>327</v>
      </c>
      <c r="F46" s="192" t="s">
        <v>328</v>
      </c>
      <c r="G46" s="340">
        <v>7060385</v>
      </c>
      <c r="H46" s="341" t="s">
        <v>197</v>
      </c>
      <c r="I46" s="328" t="s">
        <v>369</v>
      </c>
      <c r="J46" s="342" t="s">
        <v>563</v>
      </c>
      <c r="K46" s="369">
        <v>45084</v>
      </c>
      <c r="L46" s="343">
        <v>78540898</v>
      </c>
      <c r="M46" s="348" t="s">
        <v>424</v>
      </c>
      <c r="N46" s="344" t="s">
        <v>466</v>
      </c>
      <c r="O46" s="198" t="s">
        <v>379</v>
      </c>
      <c r="P46" s="332" t="s">
        <v>504</v>
      </c>
      <c r="Q46" s="337" t="s">
        <v>669</v>
      </c>
      <c r="R46" s="338">
        <v>31924</v>
      </c>
      <c r="S46" s="258"/>
      <c r="T46" s="326" t="s">
        <v>548</v>
      </c>
    </row>
    <row r="47" spans="1:20" s="81" customFormat="1" ht="12.6" customHeight="1">
      <c r="A47" s="334">
        <v>34</v>
      </c>
      <c r="B47" s="192" t="s">
        <v>318</v>
      </c>
      <c r="C47" s="192" t="s">
        <v>330</v>
      </c>
      <c r="D47" s="192" t="s">
        <v>331</v>
      </c>
      <c r="E47" s="192" t="s">
        <v>223</v>
      </c>
      <c r="F47" s="192" t="s">
        <v>311</v>
      </c>
      <c r="G47" s="340">
        <v>8068393</v>
      </c>
      <c r="H47" s="341" t="s">
        <v>238</v>
      </c>
      <c r="I47" s="328" t="s">
        <v>368</v>
      </c>
      <c r="J47" s="342" t="s">
        <v>563</v>
      </c>
      <c r="K47" s="369">
        <v>45084</v>
      </c>
      <c r="L47" s="343">
        <v>71088967</v>
      </c>
      <c r="M47" s="348" t="s">
        <v>426</v>
      </c>
      <c r="N47" s="344" t="s">
        <v>467</v>
      </c>
      <c r="O47" s="198" t="s">
        <v>392</v>
      </c>
      <c r="P47" s="332" t="s">
        <v>506</v>
      </c>
      <c r="Q47" s="337" t="s">
        <v>669</v>
      </c>
      <c r="R47" s="338">
        <v>33593</v>
      </c>
      <c r="S47" s="258"/>
      <c r="T47" s="326" t="s">
        <v>550</v>
      </c>
    </row>
    <row r="48" spans="1:20" s="81" customFormat="1" ht="13.5">
      <c r="A48" s="334">
        <v>35</v>
      </c>
      <c r="B48" s="192" t="s">
        <v>308</v>
      </c>
      <c r="C48" s="192" t="s">
        <v>312</v>
      </c>
      <c r="D48" s="192" t="s">
        <v>313</v>
      </c>
      <c r="E48" s="192" t="s">
        <v>314</v>
      </c>
      <c r="F48" s="192" t="s">
        <v>315</v>
      </c>
      <c r="G48" s="340">
        <v>8860109</v>
      </c>
      <c r="H48" s="192" t="s">
        <v>238</v>
      </c>
      <c r="I48" s="329" t="s">
        <v>683</v>
      </c>
      <c r="J48" s="342" t="s">
        <v>564</v>
      </c>
      <c r="K48" s="372">
        <v>45128</v>
      </c>
      <c r="L48" s="345">
        <v>62148044</v>
      </c>
      <c r="M48" s="349" t="s">
        <v>420</v>
      </c>
      <c r="N48" s="327" t="s">
        <v>437</v>
      </c>
      <c r="O48" s="198" t="s">
        <v>193</v>
      </c>
      <c r="P48" s="332" t="s">
        <v>507</v>
      </c>
      <c r="Q48" s="337" t="s">
        <v>669</v>
      </c>
      <c r="R48" s="338">
        <v>33093</v>
      </c>
      <c r="S48" s="258"/>
      <c r="T48" s="198" t="s">
        <v>544</v>
      </c>
    </row>
    <row r="49" spans="1:20" s="81" customFormat="1" ht="13.5">
      <c r="A49" s="334">
        <v>36</v>
      </c>
      <c r="B49" s="192" t="s">
        <v>308</v>
      </c>
      <c r="C49" s="192" t="s">
        <v>692</v>
      </c>
      <c r="D49" s="192" t="s">
        <v>693</v>
      </c>
      <c r="E49" s="192" t="s">
        <v>694</v>
      </c>
      <c r="F49" s="192"/>
      <c r="G49" s="340">
        <v>8862207</v>
      </c>
      <c r="H49" s="192" t="s">
        <v>238</v>
      </c>
      <c r="I49" s="328" t="s">
        <v>368</v>
      </c>
      <c r="J49" s="342" t="s">
        <v>563</v>
      </c>
      <c r="K49" s="372">
        <v>45381</v>
      </c>
      <c r="L49" s="345">
        <v>73177072</v>
      </c>
      <c r="M49" s="387" t="s">
        <v>695</v>
      </c>
      <c r="N49" s="327" t="s">
        <v>696</v>
      </c>
      <c r="O49" s="198" t="s">
        <v>388</v>
      </c>
      <c r="P49" s="332" t="s">
        <v>697</v>
      </c>
      <c r="Q49" s="337" t="s">
        <v>669</v>
      </c>
      <c r="R49" s="338">
        <v>33871</v>
      </c>
      <c r="S49" s="258"/>
      <c r="T49" s="198" t="s">
        <v>698</v>
      </c>
    </row>
    <row r="50" spans="1:20" s="81" customFormat="1" ht="13.5">
      <c r="A50" s="334">
        <v>37</v>
      </c>
      <c r="B50" s="198" t="s">
        <v>308</v>
      </c>
      <c r="C50" s="198" t="s">
        <v>309</v>
      </c>
      <c r="D50" s="198" t="s">
        <v>255</v>
      </c>
      <c r="E50" s="198" t="s">
        <v>310</v>
      </c>
      <c r="F50" s="331" t="s">
        <v>311</v>
      </c>
      <c r="G50" s="321">
        <v>7054084</v>
      </c>
      <c r="H50" s="331" t="s">
        <v>203</v>
      </c>
      <c r="I50" s="328" t="s">
        <v>375</v>
      </c>
      <c r="J50" s="342" t="s">
        <v>564</v>
      </c>
      <c r="K50" s="368">
        <v>44769</v>
      </c>
      <c r="L50" s="332">
        <v>70064333</v>
      </c>
      <c r="M50" s="336" t="s">
        <v>419</v>
      </c>
      <c r="N50" s="327" t="s">
        <v>462</v>
      </c>
      <c r="O50" s="198" t="s">
        <v>193</v>
      </c>
      <c r="P50" s="383" t="s">
        <v>500</v>
      </c>
      <c r="Q50" s="337" t="s">
        <v>669</v>
      </c>
      <c r="R50" s="338">
        <v>34604</v>
      </c>
      <c r="S50" s="258"/>
      <c r="T50" s="198" t="s">
        <v>543</v>
      </c>
    </row>
    <row r="51" spans="1:20" s="81" customFormat="1" ht="13.5">
      <c r="A51" s="334">
        <v>38</v>
      </c>
      <c r="B51" s="198" t="s">
        <v>308</v>
      </c>
      <c r="C51" s="192" t="s">
        <v>333</v>
      </c>
      <c r="D51" s="192" t="s">
        <v>334</v>
      </c>
      <c r="E51" s="192" t="s">
        <v>263</v>
      </c>
      <c r="F51" s="192"/>
      <c r="G51" s="340">
        <v>9412003</v>
      </c>
      <c r="H51" s="341" t="s">
        <v>192</v>
      </c>
      <c r="I51" s="328" t="s">
        <v>369</v>
      </c>
      <c r="J51" s="342" t="s">
        <v>563</v>
      </c>
      <c r="K51" s="369">
        <v>45084</v>
      </c>
      <c r="L51" s="343">
        <v>67546396</v>
      </c>
      <c r="M51" s="348" t="s">
        <v>427</v>
      </c>
      <c r="N51" s="344" t="s">
        <v>468</v>
      </c>
      <c r="O51" s="198" t="s">
        <v>379</v>
      </c>
      <c r="P51" s="345" t="s">
        <v>508</v>
      </c>
      <c r="Q51" s="337" t="s">
        <v>669</v>
      </c>
      <c r="R51" s="338">
        <v>35313</v>
      </c>
      <c r="S51" s="258"/>
      <c r="T51" s="326" t="s">
        <v>551</v>
      </c>
    </row>
    <row r="52" spans="1:20" s="81" customFormat="1" ht="13.5">
      <c r="A52" s="334">
        <v>39</v>
      </c>
      <c r="B52" s="198" t="s">
        <v>308</v>
      </c>
      <c r="C52" s="192" t="s">
        <v>199</v>
      </c>
      <c r="D52" s="192" t="s">
        <v>280</v>
      </c>
      <c r="E52" s="192" t="s">
        <v>335</v>
      </c>
      <c r="F52" s="192"/>
      <c r="G52" s="340">
        <v>9077468</v>
      </c>
      <c r="H52" s="341" t="s">
        <v>197</v>
      </c>
      <c r="I52" s="328" t="s">
        <v>681</v>
      </c>
      <c r="J52" s="342" t="s">
        <v>563</v>
      </c>
      <c r="K52" s="369">
        <v>45084</v>
      </c>
      <c r="L52" s="343">
        <v>67062421</v>
      </c>
      <c r="M52" s="348" t="s">
        <v>428</v>
      </c>
      <c r="N52" s="344" t="s">
        <v>469</v>
      </c>
      <c r="O52" s="198" t="s">
        <v>379</v>
      </c>
      <c r="P52" s="345" t="s">
        <v>509</v>
      </c>
      <c r="Q52" s="337" t="s">
        <v>670</v>
      </c>
      <c r="R52" s="338">
        <v>35024</v>
      </c>
      <c r="S52" s="258"/>
      <c r="T52" s="326" t="s">
        <v>552</v>
      </c>
    </row>
    <row r="53" spans="1:20" s="81" customFormat="1" ht="13.5">
      <c r="A53" s="334">
        <v>40</v>
      </c>
      <c r="B53" s="192" t="s">
        <v>332</v>
      </c>
      <c r="C53" s="192" t="s">
        <v>336</v>
      </c>
      <c r="D53" s="192" t="s">
        <v>337</v>
      </c>
      <c r="E53" s="192" t="s">
        <v>338</v>
      </c>
      <c r="F53" s="192"/>
      <c r="G53" s="340">
        <v>9906086</v>
      </c>
      <c r="H53" s="341" t="s">
        <v>197</v>
      </c>
      <c r="I53" s="328" t="s">
        <v>681</v>
      </c>
      <c r="J53" s="342" t="s">
        <v>563</v>
      </c>
      <c r="K53" s="369">
        <v>45084</v>
      </c>
      <c r="L53" s="343">
        <v>73500388</v>
      </c>
      <c r="M53" s="348" t="s">
        <v>429</v>
      </c>
      <c r="N53" s="344" t="s">
        <v>470</v>
      </c>
      <c r="O53" s="198" t="s">
        <v>379</v>
      </c>
      <c r="P53" s="345" t="s">
        <v>510</v>
      </c>
      <c r="Q53" s="337" t="s">
        <v>669</v>
      </c>
      <c r="R53" s="338">
        <v>36619</v>
      </c>
      <c r="S53" s="258"/>
      <c r="T53" s="326" t="s">
        <v>553</v>
      </c>
    </row>
    <row r="54" spans="1:20" s="81" customFormat="1" ht="13.5">
      <c r="A54" s="334">
        <v>41</v>
      </c>
      <c r="B54" s="192" t="s">
        <v>332</v>
      </c>
      <c r="C54" s="192" t="s">
        <v>339</v>
      </c>
      <c r="D54" s="192" t="s">
        <v>340</v>
      </c>
      <c r="E54" s="192" t="s">
        <v>341</v>
      </c>
      <c r="F54" s="192"/>
      <c r="G54" s="340">
        <v>12948856</v>
      </c>
      <c r="H54" s="341" t="s">
        <v>238</v>
      </c>
      <c r="I54" s="328" t="s">
        <v>369</v>
      </c>
      <c r="J54" s="342" t="s">
        <v>563</v>
      </c>
      <c r="K54" s="369">
        <v>45084</v>
      </c>
      <c r="L54" s="343">
        <v>69021982</v>
      </c>
      <c r="M54" s="348" t="s">
        <v>430</v>
      </c>
      <c r="N54" s="344" t="s">
        <v>471</v>
      </c>
      <c r="O54" s="198" t="s">
        <v>379</v>
      </c>
      <c r="P54" s="345" t="s">
        <v>511</v>
      </c>
      <c r="Q54" s="337" t="s">
        <v>669</v>
      </c>
      <c r="R54" s="345" t="s">
        <v>519</v>
      </c>
      <c r="S54" s="258"/>
      <c r="T54" s="326" t="s">
        <v>554</v>
      </c>
    </row>
    <row r="55" spans="1:20" s="81" customFormat="1" ht="13.5">
      <c r="A55" s="334">
        <v>42</v>
      </c>
      <c r="B55" s="192" t="s">
        <v>332</v>
      </c>
      <c r="C55" s="192" t="s">
        <v>342</v>
      </c>
      <c r="D55" s="192" t="s">
        <v>343</v>
      </c>
      <c r="E55" s="192" t="s">
        <v>344</v>
      </c>
      <c r="F55" s="192" t="s">
        <v>345</v>
      </c>
      <c r="G55" s="340">
        <v>9771998</v>
      </c>
      <c r="H55" s="341" t="s">
        <v>238</v>
      </c>
      <c r="I55" s="328" t="s">
        <v>368</v>
      </c>
      <c r="J55" s="342" t="s">
        <v>563</v>
      </c>
      <c r="K55" s="369">
        <v>45084</v>
      </c>
      <c r="L55" s="343">
        <v>72129127</v>
      </c>
      <c r="M55" s="348" t="s">
        <v>431</v>
      </c>
      <c r="N55" s="344" t="s">
        <v>472</v>
      </c>
      <c r="O55" s="198" t="s">
        <v>392</v>
      </c>
      <c r="P55" s="345" t="s">
        <v>512</v>
      </c>
      <c r="Q55" s="337" t="s">
        <v>669</v>
      </c>
      <c r="R55" s="338">
        <v>36096</v>
      </c>
      <c r="S55" s="258"/>
      <c r="T55" s="326" t="s">
        <v>555</v>
      </c>
    </row>
    <row r="56" spans="1:20" s="81" customFormat="1" ht="13.5">
      <c r="A56" s="334">
        <v>43</v>
      </c>
      <c r="B56" s="192" t="s">
        <v>332</v>
      </c>
      <c r="C56" s="192" t="s">
        <v>346</v>
      </c>
      <c r="D56" s="192" t="s">
        <v>347</v>
      </c>
      <c r="E56" s="192" t="s">
        <v>348</v>
      </c>
      <c r="F56" s="192" t="s">
        <v>349</v>
      </c>
      <c r="G56" s="340">
        <v>8378545</v>
      </c>
      <c r="H56" s="341" t="s">
        <v>197</v>
      </c>
      <c r="I56" s="328" t="s">
        <v>369</v>
      </c>
      <c r="J56" s="342" t="s">
        <v>563</v>
      </c>
      <c r="K56" s="369">
        <v>45084</v>
      </c>
      <c r="L56" s="343">
        <v>67298920</v>
      </c>
      <c r="M56" s="348" t="s">
        <v>432</v>
      </c>
      <c r="N56" s="344" t="s">
        <v>473</v>
      </c>
      <c r="O56" s="198" t="s">
        <v>379</v>
      </c>
      <c r="P56" s="345" t="s">
        <v>513</v>
      </c>
      <c r="Q56" s="337" t="s">
        <v>670</v>
      </c>
      <c r="R56" s="338">
        <v>36114</v>
      </c>
      <c r="S56" s="258"/>
      <c r="T56" s="326" t="s">
        <v>556</v>
      </c>
    </row>
    <row r="57" spans="1:20" s="81" customFormat="1" ht="13.5">
      <c r="A57" s="334">
        <v>44</v>
      </c>
      <c r="B57" s="198" t="s">
        <v>350</v>
      </c>
      <c r="C57" s="198" t="s">
        <v>351</v>
      </c>
      <c r="D57" s="198" t="s">
        <v>352</v>
      </c>
      <c r="E57" s="198" t="s">
        <v>310</v>
      </c>
      <c r="F57" s="331" t="s">
        <v>353</v>
      </c>
      <c r="G57" s="321">
        <v>6288269</v>
      </c>
      <c r="H57" s="331" t="s">
        <v>354</v>
      </c>
      <c r="I57" s="327" t="s">
        <v>373</v>
      </c>
      <c r="J57" s="342" t="s">
        <v>564</v>
      </c>
      <c r="K57" s="368">
        <v>44939</v>
      </c>
      <c r="L57" s="332">
        <v>77309877</v>
      </c>
      <c r="M57" s="336" t="s">
        <v>433</v>
      </c>
      <c r="N57" s="327" t="s">
        <v>474</v>
      </c>
      <c r="O57" s="198" t="s">
        <v>193</v>
      </c>
      <c r="P57" s="384" t="s">
        <v>514</v>
      </c>
      <c r="Q57" s="337" t="s">
        <v>669</v>
      </c>
      <c r="R57" s="338">
        <v>36148</v>
      </c>
      <c r="S57" s="258"/>
      <c r="T57" s="198" t="s">
        <v>557</v>
      </c>
    </row>
    <row r="58" spans="1:20" s="81" customFormat="1" ht="13.5">
      <c r="A58" s="334">
        <v>45</v>
      </c>
      <c r="B58" s="198" t="s">
        <v>350</v>
      </c>
      <c r="C58" s="198" t="s">
        <v>276</v>
      </c>
      <c r="D58" s="198" t="s">
        <v>355</v>
      </c>
      <c r="E58" s="198" t="s">
        <v>356</v>
      </c>
      <c r="F58" s="331"/>
      <c r="G58" s="321">
        <v>9734078</v>
      </c>
      <c r="H58" s="331" t="s">
        <v>354</v>
      </c>
      <c r="I58" s="328" t="s">
        <v>679</v>
      </c>
      <c r="J58" s="342" t="s">
        <v>564</v>
      </c>
      <c r="K58" s="368">
        <v>44939</v>
      </c>
      <c r="L58" s="332">
        <v>76853446</v>
      </c>
      <c r="M58" s="336" t="s">
        <v>434</v>
      </c>
      <c r="N58" s="327" t="s">
        <v>475</v>
      </c>
      <c r="O58" s="198" t="s">
        <v>193</v>
      </c>
      <c r="P58" s="384" t="s">
        <v>515</v>
      </c>
      <c r="Q58" s="337" t="s">
        <v>670</v>
      </c>
      <c r="R58" s="338">
        <v>36844</v>
      </c>
      <c r="S58" s="258"/>
      <c r="T58" s="198" t="s">
        <v>558</v>
      </c>
    </row>
    <row r="59" spans="1:20" s="81" customFormat="1" ht="13.5">
      <c r="A59" s="334">
        <v>46</v>
      </c>
      <c r="B59" s="331" t="s">
        <v>332</v>
      </c>
      <c r="C59" s="331" t="s">
        <v>357</v>
      </c>
      <c r="D59" s="331" t="s">
        <v>358</v>
      </c>
      <c r="E59" s="331" t="s">
        <v>359</v>
      </c>
      <c r="F59" s="331"/>
      <c r="G59" s="321">
        <v>4695759</v>
      </c>
      <c r="H59" s="332" t="s">
        <v>238</v>
      </c>
      <c r="I59" s="328" t="s">
        <v>376</v>
      </c>
      <c r="J59" s="342" t="s">
        <v>563</v>
      </c>
      <c r="K59" s="368">
        <v>45141</v>
      </c>
      <c r="L59" s="345">
        <v>75643419</v>
      </c>
      <c r="M59" s="349" t="s">
        <v>435</v>
      </c>
      <c r="N59" s="327" t="s">
        <v>476</v>
      </c>
      <c r="O59" s="198" t="s">
        <v>193</v>
      </c>
      <c r="P59" s="345" t="s">
        <v>516</v>
      </c>
      <c r="Q59" s="337" t="s">
        <v>669</v>
      </c>
      <c r="R59" s="338">
        <v>27294</v>
      </c>
      <c r="S59" s="258"/>
      <c r="T59" s="326" t="s">
        <v>559</v>
      </c>
    </row>
    <row r="60" spans="1:20" s="81" customFormat="1" ht="27">
      <c r="A60" s="334">
        <v>47</v>
      </c>
      <c r="B60" s="198" t="s">
        <v>360</v>
      </c>
      <c r="C60" s="198" t="s">
        <v>361</v>
      </c>
      <c r="D60" s="198" t="s">
        <v>362</v>
      </c>
      <c r="E60" s="198" t="s">
        <v>363</v>
      </c>
      <c r="F60" s="331" t="s">
        <v>364</v>
      </c>
      <c r="G60" s="321">
        <v>1039546</v>
      </c>
      <c r="H60" s="331" t="s">
        <v>365</v>
      </c>
      <c r="I60" s="328" t="s">
        <v>374</v>
      </c>
      <c r="J60" s="198" t="s">
        <v>378</v>
      </c>
      <c r="K60" s="368">
        <v>44599</v>
      </c>
      <c r="L60" s="332">
        <v>77615655</v>
      </c>
      <c r="M60" s="336" t="s">
        <v>436</v>
      </c>
      <c r="N60" s="327" t="s">
        <v>477</v>
      </c>
      <c r="O60" s="198" t="s">
        <v>393</v>
      </c>
      <c r="P60" s="345" t="s">
        <v>517</v>
      </c>
      <c r="Q60" s="337" t="s">
        <v>669</v>
      </c>
      <c r="R60" s="338">
        <v>20512</v>
      </c>
      <c r="S60" s="375" t="s">
        <v>637</v>
      </c>
      <c r="T60" s="198" t="s">
        <v>560</v>
      </c>
    </row>
    <row r="61" spans="1:20" s="81" customFormat="1" ht="12.75">
      <c r="A61" s="247"/>
      <c r="B61" s="310"/>
      <c r="C61" s="311"/>
      <c r="D61" s="311"/>
      <c r="E61" s="311"/>
      <c r="F61" s="311"/>
      <c r="G61" s="312"/>
      <c r="H61" s="247"/>
      <c r="I61" s="310"/>
      <c r="J61" s="247"/>
      <c r="K61" s="313"/>
      <c r="L61" s="314"/>
      <c r="M61" s="315"/>
      <c r="N61" s="316"/>
      <c r="O61" s="316"/>
      <c r="P61" s="317"/>
      <c r="Q61" s="318"/>
      <c r="R61" s="319"/>
      <c r="S61" s="261"/>
      <c r="T61" s="320"/>
    </row>
    <row r="62" spans="1:20" ht="12" customHeight="1">
      <c r="A62" s="49" t="s">
        <v>656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182"/>
      <c r="R62"/>
      <c r="S62"/>
      <c r="T62"/>
    </row>
    <row r="63" spans="1:20" ht="12" customHeight="1">
      <c r="A63" s="84" t="s">
        <v>611</v>
      </c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186"/>
      <c r="R63"/>
      <c r="S63"/>
      <c r="T63"/>
    </row>
    <row r="64" spans="1:20" ht="14.45" customHeight="1">
      <c r="A64" s="432" t="s">
        <v>689</v>
      </c>
      <c r="B64" s="433"/>
      <c r="C64" s="433"/>
      <c r="D64" s="433"/>
      <c r="E64" s="46"/>
      <c r="F64" s="47"/>
      <c r="G64" s="48"/>
      <c r="H64" s="47"/>
      <c r="I64" s="47"/>
      <c r="J64" s="47"/>
      <c r="K64" s="48"/>
      <c r="L64" s="47"/>
      <c r="M64" s="50"/>
      <c r="N64"/>
      <c r="O64"/>
      <c r="P64" s="11"/>
      <c r="R64"/>
      <c r="S64"/>
      <c r="T64"/>
    </row>
    <row r="65" spans="1:20">
      <c r="A65" s="295"/>
      <c r="B65" s="293"/>
      <c r="C65" s="293"/>
      <c r="D65" s="293"/>
      <c r="E65" s="292"/>
      <c r="F65" s="292"/>
      <c r="G65" s="291"/>
      <c r="H65" s="127"/>
      <c r="I65" s="296"/>
      <c r="J65" s="296"/>
      <c r="K65" s="294"/>
      <c r="L65" s="293"/>
      <c r="M65" s="295"/>
      <c r="N65" s="264"/>
      <c r="O65" s="229"/>
      <c r="P65" s="9"/>
      <c r="Q65" s="9"/>
      <c r="R65" s="228"/>
      <c r="T65"/>
    </row>
    <row r="66" spans="1:20">
      <c r="A66" s="295"/>
      <c r="B66" s="293"/>
      <c r="C66" s="293"/>
      <c r="D66" s="293"/>
      <c r="E66" s="292"/>
      <c r="F66" s="292"/>
      <c r="G66" s="291"/>
      <c r="H66" s="127"/>
      <c r="I66" s="296"/>
      <c r="J66" s="296"/>
      <c r="K66" s="294"/>
      <c r="L66" s="293"/>
      <c r="M66" s="295"/>
      <c r="N66" s="264"/>
      <c r="O66" s="229"/>
      <c r="P66" s="9"/>
      <c r="Q66" s="9"/>
      <c r="R66" s="228"/>
      <c r="T66"/>
    </row>
    <row r="67" spans="1:20">
      <c r="A67" s="295"/>
      <c r="B67" s="293"/>
      <c r="C67" s="293"/>
      <c r="D67" s="293"/>
      <c r="E67" s="292"/>
      <c r="F67" s="292"/>
      <c r="G67" s="291"/>
      <c r="H67" s="127"/>
      <c r="I67" s="296"/>
      <c r="J67" s="296"/>
      <c r="K67" s="294"/>
      <c r="L67" s="293"/>
      <c r="M67" s="295"/>
      <c r="N67" s="264"/>
      <c r="O67" s="229"/>
      <c r="P67" s="9"/>
      <c r="Q67" s="9"/>
      <c r="R67" s="228"/>
      <c r="T67"/>
    </row>
    <row r="68" spans="1:20">
      <c r="A68" s="295"/>
      <c r="B68" s="293"/>
      <c r="C68" s="293"/>
      <c r="D68" s="293"/>
      <c r="E68" s="292"/>
      <c r="F68" s="292"/>
      <c r="G68" s="291"/>
      <c r="H68" s="127"/>
      <c r="I68" s="296"/>
      <c r="J68" s="296"/>
      <c r="K68" s="294"/>
      <c r="L68" s="293"/>
      <c r="M68" s="295"/>
      <c r="N68" s="264"/>
      <c r="O68" s="229"/>
      <c r="P68" s="9"/>
      <c r="Q68" s="9"/>
      <c r="R68" s="228"/>
      <c r="T68"/>
    </row>
    <row r="69" spans="1:20">
      <c r="A69" s="42"/>
      <c r="B69"/>
      <c r="G69" s="259"/>
      <c r="H69" s="82"/>
      <c r="I69"/>
      <c r="K69" s="297"/>
      <c r="L69"/>
      <c r="M69" s="42"/>
      <c r="N69" s="247"/>
      <c r="O69" s="81"/>
      <c r="P69" s="224"/>
      <c r="Q69" s="224"/>
      <c r="R69" s="219"/>
      <c r="T69"/>
    </row>
    <row r="70" spans="1:20">
      <c r="A70" s="175"/>
      <c r="B70"/>
      <c r="E70" s="296"/>
      <c r="G70" s="259"/>
      <c r="H70" s="82"/>
      <c r="I70"/>
      <c r="K70" s="297"/>
      <c r="L70"/>
      <c r="M70" s="42"/>
      <c r="N70" s="247"/>
      <c r="O70" s="81"/>
      <c r="P70" s="224"/>
      <c r="Q70" s="224"/>
      <c r="R70" s="219"/>
      <c r="T70"/>
    </row>
    <row r="71" spans="1:20">
      <c r="A71" s="175"/>
      <c r="B71"/>
      <c r="F71" s="476" t="s">
        <v>610</v>
      </c>
      <c r="G71" s="476"/>
      <c r="H71" s="476"/>
      <c r="I71" s="476"/>
      <c r="J71" s="11"/>
      <c r="K71" s="297"/>
      <c r="L71"/>
      <c r="M71" s="476" t="s">
        <v>690</v>
      </c>
      <c r="N71" s="476"/>
      <c r="O71" s="220"/>
      <c r="P71" s="224"/>
      <c r="Q71" s="224"/>
      <c r="R71" s="220"/>
      <c r="T71"/>
    </row>
    <row r="72" spans="1:20">
      <c r="A72" s="42"/>
      <c r="B72"/>
      <c r="F72" s="477" t="s">
        <v>167</v>
      </c>
      <c r="G72" s="477"/>
      <c r="H72" s="477"/>
      <c r="I72" s="477"/>
      <c r="J72" s="11"/>
      <c r="K72" s="297"/>
      <c r="L72"/>
      <c r="M72" s="477" t="s">
        <v>691</v>
      </c>
      <c r="N72" s="477"/>
      <c r="O72" s="220"/>
      <c r="P72" s="224"/>
      <c r="Q72" s="224"/>
      <c r="R72" s="220"/>
      <c r="T72"/>
    </row>
    <row r="73" spans="1:20">
      <c r="A73" s="42"/>
      <c r="B73"/>
      <c r="D73" s="24"/>
      <c r="E73" s="24"/>
      <c r="F73" s="24"/>
      <c r="G73" s="298"/>
      <c r="H73" s="82"/>
      <c r="I73"/>
      <c r="K73" s="297"/>
      <c r="L73"/>
      <c r="M73" s="42"/>
      <c r="N73" s="247"/>
      <c r="O73" s="81"/>
      <c r="P73" s="224"/>
      <c r="Q73" s="224"/>
      <c r="R73" s="219"/>
      <c r="T73"/>
    </row>
    <row r="74" spans="1:20">
      <c r="A74" s="42"/>
      <c r="B74"/>
      <c r="G74" s="259"/>
      <c r="H74" s="82"/>
      <c r="I74"/>
      <c r="K74" s="297"/>
      <c r="L74"/>
      <c r="M74" s="42"/>
      <c r="N74" s="247"/>
      <c r="O74" s="167"/>
      <c r="P74" s="224"/>
      <c r="Q74" s="224"/>
      <c r="R74" s="218"/>
      <c r="T74"/>
    </row>
    <row r="75" spans="1:20">
      <c r="A75" s="167"/>
      <c r="T75"/>
    </row>
    <row r="76" spans="1:20">
      <c r="A76"/>
      <c r="G76"/>
      <c r="H76" s="259"/>
      <c r="I76" s="82"/>
      <c r="L76" s="297"/>
      <c r="O76" s="247"/>
      <c r="P76"/>
      <c r="Q76" s="224"/>
      <c r="S76" s="42"/>
      <c r="T76"/>
    </row>
    <row r="77" spans="1:20">
      <c r="A77"/>
      <c r="G77"/>
      <c r="H77" s="259"/>
      <c r="I77" s="82"/>
      <c r="L77" s="297"/>
      <c r="O77" s="247"/>
      <c r="P77"/>
      <c r="Q77" s="224"/>
      <c r="S77" s="42"/>
      <c r="T77"/>
    </row>
    <row r="78" spans="1:20">
      <c r="A78"/>
      <c r="G78"/>
      <c r="H78" s="259"/>
      <c r="I78" s="82"/>
      <c r="O78" s="247"/>
      <c r="P78"/>
      <c r="Q78" s="224"/>
      <c r="S78" s="42"/>
      <c r="T78"/>
    </row>
    <row r="79" spans="1:20">
      <c r="A79"/>
      <c r="G79"/>
      <c r="H79" s="259"/>
      <c r="I79" s="82"/>
      <c r="O79" s="247"/>
      <c r="P79"/>
      <c r="Q79" s="224"/>
      <c r="S79" s="42"/>
      <c r="T79"/>
    </row>
    <row r="80" spans="1:20">
      <c r="A80"/>
      <c r="G80"/>
      <c r="H80" s="259"/>
      <c r="I80" s="82"/>
      <c r="O80" s="247"/>
      <c r="P80"/>
      <c r="Q80" s="224"/>
      <c r="S80" s="42"/>
      <c r="T80"/>
    </row>
    <row r="81" spans="1:20">
      <c r="A81"/>
      <c r="G81"/>
      <c r="H81" s="259"/>
      <c r="I81" s="82"/>
      <c r="O81" s="247"/>
      <c r="P81"/>
      <c r="Q81" s="224"/>
      <c r="S81" s="42"/>
      <c r="T81"/>
    </row>
    <row r="82" spans="1:20">
      <c r="A82"/>
      <c r="G82"/>
      <c r="H82" s="259"/>
      <c r="I82" s="82"/>
      <c r="O82" s="247"/>
      <c r="P82"/>
      <c r="Q82" s="224"/>
      <c r="S82" s="42"/>
      <c r="T82"/>
    </row>
    <row r="83" spans="1:20">
      <c r="A83"/>
      <c r="G83"/>
      <c r="H83" s="259"/>
      <c r="I83" s="82"/>
      <c r="O83" s="247"/>
      <c r="P83"/>
      <c r="Q83" s="224"/>
      <c r="S83" s="42"/>
      <c r="T83"/>
    </row>
    <row r="84" spans="1:20">
      <c r="A84"/>
      <c r="G84"/>
      <c r="H84" s="259"/>
      <c r="I84" s="82"/>
      <c r="O84" s="247"/>
      <c r="P84"/>
      <c r="Q84" s="224"/>
      <c r="S84" s="42"/>
      <c r="T84"/>
    </row>
    <row r="85" spans="1:20">
      <c r="A85"/>
      <c r="G85"/>
      <c r="H85" s="259"/>
      <c r="I85" s="82"/>
      <c r="O85" s="247"/>
      <c r="P85"/>
      <c r="Q85" s="224"/>
      <c r="S85" s="42"/>
      <c r="T85"/>
    </row>
    <row r="86" spans="1:20">
      <c r="A86"/>
      <c r="G86"/>
      <c r="H86" s="259"/>
      <c r="I86" s="82"/>
      <c r="O86" s="247"/>
      <c r="P86"/>
      <c r="Q86" s="224"/>
      <c r="S86" s="42"/>
      <c r="T86"/>
    </row>
    <row r="87" spans="1:20">
      <c r="A87"/>
      <c r="G87"/>
      <c r="H87" s="259"/>
      <c r="I87" s="82"/>
      <c r="O87" s="247"/>
      <c r="P87"/>
      <c r="Q87" s="224"/>
      <c r="S87" s="42"/>
      <c r="T87"/>
    </row>
    <row r="88" spans="1:20">
      <c r="A88"/>
      <c r="G88"/>
      <c r="H88" s="259"/>
      <c r="I88" s="82"/>
      <c r="O88" s="247"/>
      <c r="P88"/>
      <c r="Q88" s="224"/>
      <c r="S88" s="42"/>
      <c r="T88"/>
    </row>
    <row r="89" spans="1:20">
      <c r="A89"/>
      <c r="G89"/>
      <c r="H89" s="259"/>
      <c r="I89" s="82"/>
      <c r="O89" s="247"/>
      <c r="P89"/>
      <c r="Q89" s="224"/>
      <c r="S89" s="42"/>
      <c r="T89"/>
    </row>
    <row r="90" spans="1:20">
      <c r="A90"/>
      <c r="G90"/>
      <c r="H90" s="259"/>
      <c r="I90" s="82"/>
      <c r="O90" s="247"/>
      <c r="P90"/>
      <c r="Q90" s="224"/>
      <c r="S90" s="42"/>
      <c r="T90"/>
    </row>
    <row r="91" spans="1:20">
      <c r="A91"/>
      <c r="G91"/>
      <c r="H91" s="259"/>
      <c r="I91" s="82"/>
      <c r="O91" s="247"/>
      <c r="P91"/>
      <c r="Q91" s="224"/>
      <c r="S91" s="42"/>
      <c r="T91"/>
    </row>
    <row r="92" spans="1:20">
      <c r="A92"/>
      <c r="G92"/>
      <c r="H92" s="259"/>
      <c r="I92" s="82"/>
      <c r="O92" s="247"/>
      <c r="P92"/>
      <c r="Q92" s="224"/>
      <c r="S92" s="42"/>
      <c r="T92"/>
    </row>
    <row r="93" spans="1:20">
      <c r="A93"/>
      <c r="G93"/>
      <c r="H93" s="259"/>
      <c r="I93" s="82"/>
      <c r="O93" s="247"/>
      <c r="P93"/>
      <c r="Q93" s="224"/>
      <c r="S93" s="42"/>
      <c r="T93"/>
    </row>
    <row r="94" spans="1:20">
      <c r="A94"/>
      <c r="G94"/>
      <c r="H94" s="259"/>
      <c r="I94" s="82"/>
      <c r="O94" s="247"/>
      <c r="P94"/>
      <c r="Q94" s="224"/>
      <c r="S94" s="42"/>
      <c r="T94"/>
    </row>
    <row r="95" spans="1:20">
      <c r="O95" s="247"/>
      <c r="P95"/>
      <c r="Q95" s="224"/>
      <c r="S95" s="202"/>
      <c r="T95"/>
    </row>
    <row r="96" spans="1:20">
      <c r="O96" s="247"/>
      <c r="P96"/>
      <c r="Q96" s="224"/>
      <c r="S96" s="202"/>
      <c r="T96"/>
    </row>
    <row r="97" spans="15:20">
      <c r="O97" s="247"/>
      <c r="P97"/>
      <c r="Q97" s="224"/>
      <c r="S97" s="202"/>
      <c r="T97"/>
    </row>
    <row r="98" spans="15:20">
      <c r="O98" s="247"/>
      <c r="P98"/>
      <c r="Q98" s="224"/>
      <c r="S98" s="202"/>
      <c r="T98"/>
    </row>
    <row r="99" spans="15:20">
      <c r="O99" s="247"/>
      <c r="P99"/>
      <c r="Q99" s="224"/>
      <c r="S99" s="202"/>
      <c r="T99"/>
    </row>
    <row r="100" spans="15:20">
      <c r="O100" s="247"/>
      <c r="P100"/>
      <c r="Q100" s="224"/>
      <c r="S100" s="202"/>
      <c r="T100"/>
    </row>
    <row r="101" spans="15:20">
      <c r="O101" s="247"/>
      <c r="P101"/>
      <c r="Q101" s="224"/>
      <c r="S101" s="202"/>
      <c r="T101"/>
    </row>
    <row r="102" spans="15:20">
      <c r="O102" s="247"/>
      <c r="P102"/>
      <c r="Q102" s="224"/>
      <c r="S102" s="202"/>
      <c r="T102"/>
    </row>
    <row r="103" spans="15:20">
      <c r="O103" s="247"/>
      <c r="P103"/>
      <c r="Q103" s="224"/>
      <c r="S103" s="202"/>
      <c r="T103"/>
    </row>
    <row r="104" spans="15:20">
      <c r="O104" s="247"/>
      <c r="P104"/>
      <c r="Q104" s="224"/>
      <c r="S104" s="202"/>
      <c r="T104"/>
    </row>
    <row r="105" spans="15:20">
      <c r="O105" s="247"/>
      <c r="P105"/>
      <c r="Q105" s="224"/>
      <c r="S105" s="202"/>
      <c r="T105"/>
    </row>
    <row r="106" spans="15:20">
      <c r="O106" s="247"/>
      <c r="P106"/>
      <c r="Q106" s="224"/>
      <c r="S106" s="202"/>
      <c r="T106"/>
    </row>
    <row r="107" spans="15:20">
      <c r="O107" s="247"/>
      <c r="P107"/>
      <c r="Q107" s="224"/>
      <c r="S107" s="202"/>
      <c r="T107"/>
    </row>
    <row r="108" spans="15:20">
      <c r="O108" s="247"/>
      <c r="P108"/>
      <c r="Q108" s="224"/>
      <c r="S108" s="202"/>
      <c r="T108"/>
    </row>
    <row r="109" spans="15:20">
      <c r="O109" s="247"/>
      <c r="P109"/>
      <c r="Q109" s="224"/>
      <c r="S109" s="202"/>
      <c r="T109"/>
    </row>
    <row r="110" spans="15:20">
      <c r="O110" s="247"/>
      <c r="P110"/>
      <c r="Q110" s="224"/>
      <c r="S110" s="202"/>
      <c r="T110"/>
    </row>
    <row r="111" spans="15:20">
      <c r="O111" s="247"/>
      <c r="P111"/>
      <c r="Q111" s="224"/>
      <c r="S111" s="202"/>
      <c r="T111"/>
    </row>
    <row r="112" spans="15:20">
      <c r="O112" s="247"/>
      <c r="P112"/>
      <c r="Q112" s="224"/>
      <c r="S112" s="202"/>
      <c r="T112"/>
    </row>
    <row r="113" spans="15:20">
      <c r="O113" s="247"/>
      <c r="P113"/>
      <c r="Q113" s="224"/>
      <c r="S113" s="202"/>
      <c r="T113"/>
    </row>
    <row r="114" spans="15:20">
      <c r="O114" s="247"/>
      <c r="P114"/>
      <c r="Q114" s="224"/>
      <c r="S114" s="202"/>
      <c r="T114"/>
    </row>
    <row r="115" spans="15:20">
      <c r="O115" s="247"/>
      <c r="P115"/>
      <c r="Q115" s="224"/>
      <c r="S115" s="202"/>
      <c r="T115"/>
    </row>
    <row r="116" spans="15:20">
      <c r="O116" s="247"/>
      <c r="P116"/>
      <c r="Q116" s="224"/>
      <c r="S116" s="202"/>
      <c r="T116"/>
    </row>
    <row r="117" spans="15:20">
      <c r="O117" s="247"/>
      <c r="P117"/>
      <c r="Q117" s="224"/>
      <c r="S117" s="202"/>
      <c r="T117"/>
    </row>
    <row r="118" spans="15:20">
      <c r="O118" s="247"/>
      <c r="P118"/>
      <c r="Q118" s="224"/>
      <c r="S118" s="202"/>
      <c r="T118"/>
    </row>
    <row r="119" spans="15:20">
      <c r="O119" s="247"/>
      <c r="P119"/>
      <c r="Q119" s="224"/>
      <c r="S119" s="202"/>
      <c r="T119"/>
    </row>
    <row r="120" spans="15:20">
      <c r="O120" s="247"/>
      <c r="P120"/>
      <c r="Q120" s="224"/>
      <c r="S120" s="202"/>
      <c r="T120"/>
    </row>
    <row r="121" spans="15:20">
      <c r="O121" s="247"/>
      <c r="P121"/>
      <c r="Q121" s="224"/>
      <c r="S121" s="202"/>
      <c r="T121"/>
    </row>
    <row r="122" spans="15:20">
      <c r="O122" s="247"/>
      <c r="P122"/>
      <c r="Q122" s="224"/>
      <c r="S122" s="202"/>
      <c r="T122"/>
    </row>
    <row r="123" spans="15:20">
      <c r="O123" s="247"/>
      <c r="P123"/>
      <c r="Q123" s="224"/>
      <c r="S123" s="202"/>
      <c r="T123"/>
    </row>
    <row r="124" spans="15:20">
      <c r="O124" s="247"/>
      <c r="P124"/>
      <c r="Q124" s="224"/>
      <c r="S124" s="202"/>
      <c r="T124"/>
    </row>
    <row r="125" spans="15:20">
      <c r="O125" s="247"/>
      <c r="P125"/>
      <c r="Q125" s="224"/>
      <c r="S125" s="202"/>
      <c r="T125"/>
    </row>
    <row r="126" spans="15:20">
      <c r="O126" s="247"/>
      <c r="P126"/>
      <c r="Q126" s="224"/>
      <c r="S126" s="202"/>
      <c r="T126"/>
    </row>
    <row r="127" spans="15:20">
      <c r="O127" s="247"/>
      <c r="P127"/>
      <c r="Q127" s="224"/>
      <c r="S127" s="202"/>
      <c r="T127"/>
    </row>
    <row r="128" spans="15:20">
      <c r="O128" s="247"/>
      <c r="P128"/>
      <c r="Q128" s="224"/>
      <c r="S128" s="202"/>
      <c r="T128"/>
    </row>
    <row r="129" spans="15:20">
      <c r="O129" s="247"/>
      <c r="P129"/>
      <c r="Q129" s="224"/>
      <c r="S129" s="202"/>
      <c r="T129"/>
    </row>
    <row r="130" spans="15:20">
      <c r="O130" s="247"/>
      <c r="P130"/>
      <c r="Q130" s="224"/>
      <c r="S130" s="202"/>
      <c r="T130"/>
    </row>
    <row r="131" spans="15:20">
      <c r="O131" s="247"/>
      <c r="P131"/>
      <c r="Q131" s="224"/>
      <c r="S131" s="202"/>
      <c r="T131"/>
    </row>
    <row r="132" spans="15:20">
      <c r="O132" s="247"/>
      <c r="P132"/>
      <c r="Q132" s="224"/>
      <c r="S132" s="202"/>
      <c r="T132"/>
    </row>
    <row r="133" spans="15:20">
      <c r="O133" s="247"/>
      <c r="P133"/>
      <c r="Q133" s="224"/>
      <c r="S133" s="202"/>
      <c r="T133"/>
    </row>
    <row r="134" spans="15:20">
      <c r="O134" s="247"/>
      <c r="P134"/>
      <c r="Q134" s="224"/>
      <c r="S134" s="202"/>
      <c r="T134"/>
    </row>
    <row r="135" spans="15:20">
      <c r="O135" s="247"/>
      <c r="P135"/>
      <c r="Q135" s="224"/>
      <c r="S135" s="202"/>
      <c r="T135"/>
    </row>
    <row r="136" spans="15:20">
      <c r="O136" s="247"/>
      <c r="P136"/>
      <c r="Q136" s="224"/>
      <c r="S136" s="202"/>
      <c r="T136"/>
    </row>
    <row r="137" spans="15:20">
      <c r="O137" s="247"/>
      <c r="P137"/>
      <c r="Q137" s="224"/>
      <c r="S137" s="202"/>
      <c r="T137"/>
    </row>
    <row r="138" spans="15:20">
      <c r="O138" s="247"/>
      <c r="P138"/>
      <c r="Q138" s="224"/>
      <c r="S138" s="202"/>
      <c r="T138"/>
    </row>
    <row r="139" spans="15:20">
      <c r="O139" s="247"/>
      <c r="P139"/>
      <c r="Q139" s="224"/>
      <c r="S139" s="202"/>
      <c r="T139"/>
    </row>
    <row r="140" spans="15:20">
      <c r="O140" s="247"/>
      <c r="P140"/>
      <c r="Q140" s="224"/>
      <c r="S140" s="202"/>
      <c r="T140"/>
    </row>
    <row r="141" spans="15:20">
      <c r="O141" s="247"/>
      <c r="P141"/>
      <c r="Q141" s="224"/>
      <c r="S141" s="202"/>
      <c r="T141"/>
    </row>
    <row r="142" spans="15:20">
      <c r="O142" s="247"/>
      <c r="P142"/>
      <c r="Q142" s="224"/>
      <c r="S142" s="202"/>
      <c r="T142"/>
    </row>
    <row r="143" spans="15:20">
      <c r="O143" s="247"/>
      <c r="P143"/>
      <c r="Q143" s="224"/>
      <c r="S143" s="202"/>
      <c r="T143"/>
    </row>
    <row r="144" spans="15:20">
      <c r="O144" s="247"/>
      <c r="P144"/>
      <c r="Q144" s="224"/>
      <c r="S144" s="202"/>
      <c r="T144"/>
    </row>
    <row r="145" spans="15:20">
      <c r="O145" s="247"/>
      <c r="P145"/>
      <c r="Q145" s="224"/>
      <c r="S145" s="202"/>
      <c r="T145"/>
    </row>
    <row r="146" spans="15:20">
      <c r="O146" s="247"/>
      <c r="P146"/>
      <c r="Q146" s="224"/>
      <c r="S146" s="202"/>
      <c r="T146"/>
    </row>
    <row r="147" spans="15:20">
      <c r="O147" s="247"/>
      <c r="P147"/>
      <c r="Q147" s="224"/>
      <c r="S147" s="202"/>
      <c r="T147"/>
    </row>
    <row r="148" spans="15:20">
      <c r="O148" s="247"/>
      <c r="P148"/>
      <c r="Q148" s="224"/>
      <c r="S148" s="202"/>
      <c r="T148"/>
    </row>
    <row r="149" spans="15:20">
      <c r="O149" s="247"/>
      <c r="P149"/>
      <c r="Q149" s="224"/>
      <c r="S149" s="202"/>
      <c r="T149"/>
    </row>
    <row r="150" spans="15:20">
      <c r="O150" s="247"/>
      <c r="P150"/>
      <c r="Q150" s="224"/>
      <c r="S150" s="202"/>
      <c r="T150"/>
    </row>
    <row r="151" spans="15:20">
      <c r="O151" s="247"/>
      <c r="P151"/>
      <c r="Q151" s="224"/>
      <c r="S151" s="202"/>
      <c r="T151"/>
    </row>
    <row r="152" spans="15:20">
      <c r="O152" s="247"/>
      <c r="P152"/>
      <c r="Q152" s="224"/>
      <c r="S152" s="202"/>
      <c r="T152"/>
    </row>
    <row r="153" spans="15:20">
      <c r="O153" s="247"/>
      <c r="P153"/>
      <c r="Q153" s="224"/>
      <c r="S153" s="202"/>
      <c r="T153"/>
    </row>
    <row r="154" spans="15:20">
      <c r="O154" s="247"/>
      <c r="P154"/>
      <c r="Q154" s="224"/>
      <c r="S154" s="202"/>
      <c r="T154"/>
    </row>
    <row r="155" spans="15:20">
      <c r="O155" s="247"/>
      <c r="P155"/>
      <c r="Q155" s="224"/>
      <c r="S155" s="202"/>
      <c r="T155"/>
    </row>
    <row r="156" spans="15:20">
      <c r="O156" s="247"/>
      <c r="P156"/>
      <c r="Q156" s="224"/>
      <c r="S156" s="202"/>
      <c r="T156"/>
    </row>
    <row r="157" spans="15:20">
      <c r="O157" s="247"/>
      <c r="P157"/>
      <c r="Q157" s="224"/>
      <c r="S157" s="202"/>
      <c r="T157"/>
    </row>
    <row r="158" spans="15:20">
      <c r="O158" s="247"/>
      <c r="P158"/>
      <c r="Q158" s="224"/>
      <c r="S158" s="202"/>
      <c r="T158"/>
    </row>
    <row r="159" spans="15:20">
      <c r="O159" s="247"/>
      <c r="P159"/>
      <c r="Q159" s="224"/>
      <c r="S159" s="202"/>
      <c r="T159"/>
    </row>
    <row r="160" spans="15:20">
      <c r="O160" s="247"/>
      <c r="P160"/>
      <c r="Q160" s="224"/>
      <c r="S160" s="202"/>
      <c r="T160"/>
    </row>
    <row r="161" spans="15:20">
      <c r="O161" s="247"/>
      <c r="P161"/>
      <c r="Q161" s="224"/>
      <c r="S161" s="202"/>
      <c r="T161"/>
    </row>
    <row r="162" spans="15:20">
      <c r="O162" s="247"/>
      <c r="P162"/>
      <c r="Q162" s="224"/>
      <c r="S162" s="202"/>
      <c r="T162"/>
    </row>
    <row r="163" spans="15:20">
      <c r="O163" s="247"/>
      <c r="P163"/>
      <c r="Q163" s="224"/>
      <c r="S163" s="202"/>
      <c r="T163"/>
    </row>
    <row r="164" spans="15:20">
      <c r="O164" s="247"/>
      <c r="P164"/>
      <c r="Q164" s="224"/>
      <c r="S164" s="202"/>
      <c r="T164"/>
    </row>
    <row r="165" spans="15:20">
      <c r="O165" s="247"/>
      <c r="P165"/>
      <c r="Q165" s="224"/>
      <c r="S165" s="202"/>
      <c r="T165"/>
    </row>
    <row r="166" spans="15:20">
      <c r="O166" s="247"/>
      <c r="P166"/>
      <c r="Q166" s="224"/>
      <c r="S166" s="202"/>
      <c r="T166"/>
    </row>
    <row r="167" spans="15:20">
      <c r="O167" s="247"/>
      <c r="P167"/>
      <c r="Q167" s="224"/>
      <c r="S167" s="202"/>
      <c r="T167"/>
    </row>
    <row r="168" spans="15:20">
      <c r="O168" s="247"/>
      <c r="P168"/>
      <c r="Q168" s="224"/>
      <c r="S168" s="202"/>
      <c r="T168"/>
    </row>
    <row r="169" spans="15:20">
      <c r="O169" s="247"/>
      <c r="P169"/>
      <c r="Q169" s="224"/>
      <c r="S169" s="202"/>
      <c r="T169"/>
    </row>
    <row r="170" spans="15:20">
      <c r="O170" s="247"/>
      <c r="P170"/>
      <c r="Q170" s="224"/>
      <c r="S170" s="202"/>
      <c r="T170"/>
    </row>
    <row r="171" spans="15:20">
      <c r="O171" s="247"/>
      <c r="P171"/>
      <c r="Q171" s="224"/>
      <c r="S171" s="202"/>
      <c r="T171"/>
    </row>
    <row r="172" spans="15:20">
      <c r="O172" s="247"/>
      <c r="P172"/>
      <c r="Q172" s="224"/>
      <c r="S172" s="202"/>
      <c r="T172"/>
    </row>
    <row r="173" spans="15:20">
      <c r="O173" s="247"/>
      <c r="P173"/>
      <c r="Q173" s="224"/>
      <c r="S173" s="202"/>
      <c r="T173"/>
    </row>
    <row r="174" spans="15:20">
      <c r="O174" s="247"/>
      <c r="P174"/>
      <c r="Q174" s="224"/>
      <c r="S174" s="202"/>
      <c r="T174"/>
    </row>
    <row r="175" spans="15:20">
      <c r="O175" s="247"/>
      <c r="P175"/>
      <c r="Q175" s="224"/>
      <c r="S175" s="202"/>
      <c r="T175"/>
    </row>
    <row r="176" spans="15:20">
      <c r="O176" s="247"/>
      <c r="P176"/>
      <c r="Q176" s="224"/>
      <c r="S176" s="202"/>
      <c r="T176"/>
    </row>
    <row r="177" spans="15:20">
      <c r="O177" s="247"/>
      <c r="P177"/>
      <c r="Q177" s="224"/>
      <c r="S177" s="202"/>
      <c r="T177"/>
    </row>
    <row r="178" spans="15:20">
      <c r="O178" s="247"/>
      <c r="P178"/>
      <c r="Q178" s="224"/>
      <c r="S178" s="202"/>
      <c r="T178"/>
    </row>
    <row r="179" spans="15:20">
      <c r="O179" s="247"/>
      <c r="P179"/>
      <c r="Q179" s="224"/>
      <c r="S179" s="202"/>
      <c r="T179"/>
    </row>
    <row r="180" spans="15:20">
      <c r="O180" s="247"/>
      <c r="P180"/>
      <c r="Q180" s="224"/>
      <c r="S180" s="202"/>
      <c r="T180"/>
    </row>
    <row r="181" spans="15:20">
      <c r="O181" s="247"/>
      <c r="P181"/>
      <c r="Q181" s="224"/>
      <c r="S181" s="202"/>
      <c r="T181"/>
    </row>
    <row r="182" spans="15:20">
      <c r="O182" s="247"/>
      <c r="P182"/>
      <c r="Q182" s="224"/>
      <c r="S182" s="202"/>
      <c r="T182"/>
    </row>
    <row r="183" spans="15:20">
      <c r="O183" s="247"/>
      <c r="P183"/>
      <c r="Q183" s="224"/>
      <c r="S183" s="202"/>
      <c r="T183"/>
    </row>
    <row r="184" spans="15:20">
      <c r="O184" s="247"/>
      <c r="P184"/>
      <c r="Q184" s="224"/>
      <c r="S184" s="202"/>
      <c r="T184"/>
    </row>
    <row r="185" spans="15:20">
      <c r="O185" s="247"/>
      <c r="P185"/>
      <c r="Q185" s="224"/>
      <c r="S185" s="202"/>
      <c r="T185"/>
    </row>
    <row r="186" spans="15:20">
      <c r="O186" s="247"/>
      <c r="P186"/>
      <c r="Q186" s="224"/>
      <c r="S186" s="202"/>
      <c r="T186"/>
    </row>
    <row r="187" spans="15:20">
      <c r="O187" s="247"/>
      <c r="P187"/>
      <c r="Q187" s="224"/>
      <c r="S187" s="202"/>
      <c r="T187"/>
    </row>
    <row r="188" spans="15:20">
      <c r="O188" s="247"/>
      <c r="P188"/>
      <c r="Q188" s="224"/>
      <c r="S188" s="202"/>
      <c r="T188"/>
    </row>
    <row r="189" spans="15:20">
      <c r="O189" s="247"/>
      <c r="P189"/>
      <c r="Q189" s="224"/>
      <c r="S189" s="202"/>
      <c r="T189"/>
    </row>
    <row r="190" spans="15:20">
      <c r="O190" s="247"/>
      <c r="P190"/>
      <c r="Q190" s="224"/>
      <c r="S190" s="202"/>
      <c r="T190"/>
    </row>
    <row r="191" spans="15:20">
      <c r="O191" s="247"/>
      <c r="P191"/>
      <c r="Q191" s="224"/>
      <c r="S191" s="202"/>
      <c r="T191"/>
    </row>
    <row r="192" spans="15:20">
      <c r="O192" s="247"/>
      <c r="P192"/>
      <c r="Q192" s="224"/>
      <c r="S192" s="202"/>
      <c r="T192"/>
    </row>
    <row r="193" spans="15:20">
      <c r="O193" s="247"/>
      <c r="P193"/>
      <c r="Q193" s="224"/>
      <c r="S193" s="202"/>
      <c r="T193"/>
    </row>
    <row r="194" spans="15:20">
      <c r="O194" s="247"/>
      <c r="P194"/>
      <c r="Q194" s="224"/>
      <c r="S194" s="202"/>
      <c r="T194"/>
    </row>
    <row r="195" spans="15:20">
      <c r="O195" s="247"/>
      <c r="P195"/>
      <c r="Q195" s="224"/>
      <c r="S195" s="202"/>
      <c r="T195"/>
    </row>
    <row r="196" spans="15:20">
      <c r="O196" s="247"/>
      <c r="P196"/>
      <c r="Q196" s="224"/>
      <c r="S196" s="202"/>
      <c r="T196"/>
    </row>
    <row r="197" spans="15:20">
      <c r="O197" s="247"/>
      <c r="P197"/>
      <c r="Q197" s="224"/>
      <c r="S197" s="202"/>
      <c r="T197"/>
    </row>
    <row r="198" spans="15:20">
      <c r="O198" s="247"/>
      <c r="P198"/>
      <c r="Q198" s="224"/>
      <c r="S198" s="202"/>
      <c r="T198"/>
    </row>
    <row r="199" spans="15:20">
      <c r="O199" s="247"/>
      <c r="P199"/>
      <c r="Q199" s="224"/>
      <c r="S199" s="202"/>
      <c r="T199"/>
    </row>
    <row r="200" spans="15:20">
      <c r="O200" s="247"/>
      <c r="P200"/>
      <c r="Q200" s="224"/>
      <c r="S200" s="202"/>
      <c r="T200"/>
    </row>
    <row r="201" spans="15:20">
      <c r="O201" s="247"/>
      <c r="P201"/>
      <c r="Q201" s="224"/>
      <c r="S201" s="202"/>
      <c r="T201"/>
    </row>
    <row r="202" spans="15:20">
      <c r="O202" s="247"/>
      <c r="P202"/>
      <c r="Q202" s="224"/>
      <c r="S202" s="202"/>
      <c r="T202"/>
    </row>
    <row r="203" spans="15:20">
      <c r="O203" s="247"/>
      <c r="P203"/>
      <c r="Q203" s="224"/>
      <c r="S203" s="202"/>
      <c r="T203"/>
    </row>
    <row r="204" spans="15:20">
      <c r="O204" s="247"/>
      <c r="P204"/>
      <c r="Q204" s="224"/>
      <c r="S204" s="202"/>
      <c r="T204"/>
    </row>
    <row r="205" spans="15:20">
      <c r="O205" s="247"/>
      <c r="P205"/>
      <c r="Q205" s="224"/>
      <c r="S205" s="202"/>
      <c r="T205"/>
    </row>
    <row r="206" spans="15:20">
      <c r="O206" s="247"/>
      <c r="P206"/>
      <c r="Q206" s="224"/>
      <c r="S206" s="202"/>
      <c r="T206"/>
    </row>
    <row r="207" spans="15:20">
      <c r="O207" s="247"/>
      <c r="P207"/>
      <c r="Q207" s="224"/>
      <c r="S207" s="202"/>
      <c r="T207"/>
    </row>
    <row r="208" spans="15:20">
      <c r="O208" s="247"/>
      <c r="P208"/>
      <c r="Q208" s="224"/>
      <c r="S208" s="202"/>
      <c r="T208"/>
    </row>
    <row r="209" spans="15:20">
      <c r="O209" s="247"/>
      <c r="P209"/>
      <c r="Q209" s="224"/>
      <c r="S209" s="202"/>
      <c r="T209"/>
    </row>
    <row r="210" spans="15:20">
      <c r="O210" s="247"/>
      <c r="P210"/>
      <c r="Q210" s="224"/>
      <c r="S210" s="202"/>
      <c r="T210"/>
    </row>
    <row r="211" spans="15:20">
      <c r="O211" s="247"/>
      <c r="P211"/>
      <c r="Q211" s="224"/>
      <c r="S211" s="202"/>
      <c r="T211"/>
    </row>
    <row r="212" spans="15:20">
      <c r="O212" s="247"/>
      <c r="P212"/>
      <c r="Q212" s="224"/>
      <c r="S212" s="202"/>
      <c r="T212"/>
    </row>
    <row r="213" spans="15:20">
      <c r="O213" s="247"/>
      <c r="P213"/>
      <c r="Q213" s="224"/>
      <c r="S213" s="202"/>
      <c r="T213"/>
    </row>
    <row r="214" spans="15:20">
      <c r="O214" s="247"/>
      <c r="P214"/>
      <c r="Q214" s="224"/>
      <c r="S214" s="202"/>
      <c r="T214"/>
    </row>
    <row r="215" spans="15:20">
      <c r="O215" s="247"/>
      <c r="P215"/>
      <c r="Q215" s="224"/>
      <c r="S215" s="202"/>
      <c r="T215"/>
    </row>
    <row r="216" spans="15:20">
      <c r="O216" s="247"/>
      <c r="P216"/>
      <c r="Q216" s="224"/>
      <c r="S216" s="202"/>
      <c r="T216"/>
    </row>
    <row r="217" spans="15:20">
      <c r="O217" s="247"/>
      <c r="P217"/>
      <c r="Q217" s="224"/>
      <c r="S217" s="202"/>
      <c r="T217"/>
    </row>
    <row r="218" spans="15:20">
      <c r="O218" s="247"/>
      <c r="P218"/>
      <c r="Q218" s="224"/>
      <c r="S218" s="202"/>
      <c r="T218"/>
    </row>
    <row r="219" spans="15:20">
      <c r="O219" s="247"/>
      <c r="P219"/>
      <c r="Q219" s="224"/>
      <c r="S219" s="202"/>
      <c r="T219"/>
    </row>
    <row r="220" spans="15:20">
      <c r="O220" s="247"/>
      <c r="P220"/>
      <c r="Q220" s="224"/>
      <c r="S220" s="202"/>
      <c r="T220"/>
    </row>
    <row r="221" spans="15:20">
      <c r="O221" s="247"/>
      <c r="P221"/>
      <c r="Q221" s="224"/>
      <c r="S221" s="202"/>
      <c r="T221"/>
    </row>
    <row r="222" spans="15:20">
      <c r="O222" s="247"/>
      <c r="P222"/>
      <c r="Q222" s="224"/>
      <c r="S222" s="202"/>
      <c r="T222"/>
    </row>
    <row r="223" spans="15:20">
      <c r="O223" s="247"/>
      <c r="P223"/>
      <c r="Q223" s="224"/>
      <c r="S223" s="202"/>
      <c r="T223"/>
    </row>
    <row r="224" spans="15:20">
      <c r="O224" s="247"/>
      <c r="P224"/>
      <c r="Q224" s="224"/>
      <c r="S224" s="202"/>
      <c r="T224"/>
    </row>
    <row r="225" spans="15:20">
      <c r="O225" s="247"/>
      <c r="P225"/>
      <c r="Q225" s="224"/>
      <c r="S225" s="202"/>
      <c r="T225"/>
    </row>
    <row r="226" spans="15:20">
      <c r="O226" s="247"/>
      <c r="P226"/>
      <c r="Q226" s="224"/>
      <c r="S226" s="202"/>
      <c r="T226"/>
    </row>
    <row r="227" spans="15:20">
      <c r="O227" s="247"/>
      <c r="P227"/>
      <c r="Q227" s="224"/>
      <c r="S227" s="202"/>
      <c r="T227"/>
    </row>
    <row r="228" spans="15:20">
      <c r="O228" s="247"/>
      <c r="P228"/>
      <c r="Q228" s="224"/>
      <c r="S228" s="202"/>
      <c r="T228"/>
    </row>
    <row r="229" spans="15:20">
      <c r="O229" s="247"/>
      <c r="P229"/>
      <c r="Q229" s="224"/>
      <c r="S229" s="202"/>
      <c r="T229"/>
    </row>
    <row r="230" spans="15:20">
      <c r="O230" s="247"/>
      <c r="P230"/>
      <c r="Q230" s="224"/>
      <c r="S230" s="202"/>
      <c r="T230"/>
    </row>
    <row r="231" spans="15:20">
      <c r="O231" s="247"/>
      <c r="P231"/>
      <c r="Q231" s="224"/>
      <c r="S231" s="202"/>
      <c r="T231"/>
    </row>
    <row r="232" spans="15:20">
      <c r="O232" s="247"/>
      <c r="P232"/>
      <c r="Q232" s="224"/>
      <c r="S232" s="202"/>
      <c r="T232"/>
    </row>
    <row r="233" spans="15:20">
      <c r="O233" s="247"/>
      <c r="P233"/>
      <c r="Q233" s="224"/>
      <c r="S233" s="202"/>
      <c r="T233"/>
    </row>
    <row r="234" spans="15:20">
      <c r="O234" s="247"/>
      <c r="P234"/>
      <c r="Q234" s="224"/>
      <c r="S234" s="202"/>
      <c r="T234"/>
    </row>
    <row r="235" spans="15:20">
      <c r="O235" s="247"/>
      <c r="P235"/>
      <c r="Q235" s="224"/>
      <c r="S235" s="202"/>
      <c r="T235"/>
    </row>
    <row r="236" spans="15:20">
      <c r="O236" s="247"/>
      <c r="P236"/>
      <c r="Q236" s="224"/>
      <c r="S236" s="202"/>
      <c r="T236"/>
    </row>
    <row r="237" spans="15:20">
      <c r="O237" s="247"/>
      <c r="P237"/>
      <c r="Q237" s="224"/>
      <c r="S237" s="202"/>
      <c r="T237"/>
    </row>
    <row r="238" spans="15:20">
      <c r="O238" s="247"/>
      <c r="P238"/>
      <c r="Q238" s="224"/>
      <c r="S238" s="202"/>
      <c r="T238"/>
    </row>
    <row r="239" spans="15:20">
      <c r="O239" s="247"/>
      <c r="P239"/>
      <c r="Q239" s="224"/>
      <c r="S239" s="202"/>
      <c r="T239"/>
    </row>
    <row r="240" spans="15:20">
      <c r="O240" s="247"/>
      <c r="P240"/>
      <c r="Q240" s="224"/>
      <c r="S240" s="202"/>
      <c r="T240"/>
    </row>
    <row r="241" spans="15:20">
      <c r="O241" s="247"/>
      <c r="P241"/>
      <c r="Q241" s="224"/>
      <c r="S241" s="202"/>
      <c r="T241"/>
    </row>
    <row r="242" spans="15:20">
      <c r="O242" s="247"/>
      <c r="P242"/>
      <c r="Q242" s="224"/>
      <c r="S242" s="202"/>
      <c r="T242"/>
    </row>
    <row r="243" spans="15:20">
      <c r="O243" s="247"/>
      <c r="P243"/>
      <c r="Q243" s="224"/>
      <c r="S243" s="202"/>
      <c r="T243"/>
    </row>
    <row r="244" spans="15:20">
      <c r="O244" s="247"/>
      <c r="P244"/>
      <c r="Q244" s="224"/>
      <c r="S244" s="202"/>
      <c r="T244"/>
    </row>
    <row r="245" spans="15:20">
      <c r="O245" s="247"/>
      <c r="P245"/>
      <c r="Q245" s="224"/>
      <c r="S245" s="202"/>
      <c r="T245"/>
    </row>
    <row r="246" spans="15:20">
      <c r="O246" s="247"/>
      <c r="P246"/>
      <c r="Q246" s="224"/>
      <c r="S246" s="202"/>
      <c r="T246"/>
    </row>
    <row r="247" spans="15:20">
      <c r="O247" s="247"/>
      <c r="P247"/>
      <c r="Q247" s="224"/>
      <c r="S247" s="202"/>
      <c r="T247"/>
    </row>
    <row r="248" spans="15:20">
      <c r="O248" s="247"/>
      <c r="P248"/>
      <c r="Q248" s="224"/>
      <c r="S248" s="202"/>
      <c r="T248"/>
    </row>
    <row r="249" spans="15:20">
      <c r="O249" s="247"/>
      <c r="P249"/>
      <c r="Q249" s="224"/>
      <c r="S249" s="202"/>
      <c r="T249"/>
    </row>
    <row r="250" spans="15:20">
      <c r="O250" s="247"/>
      <c r="P250"/>
      <c r="Q250" s="224"/>
      <c r="S250" s="202"/>
      <c r="T250"/>
    </row>
    <row r="251" spans="15:20">
      <c r="O251" s="247"/>
      <c r="P251"/>
      <c r="Q251" s="224"/>
      <c r="S251" s="202"/>
      <c r="T251"/>
    </row>
    <row r="252" spans="15:20">
      <c r="O252" s="247"/>
      <c r="P252"/>
      <c r="Q252" s="224"/>
      <c r="S252" s="202"/>
      <c r="T252"/>
    </row>
    <row r="253" spans="15:20">
      <c r="O253" s="247"/>
      <c r="P253"/>
      <c r="Q253" s="224"/>
      <c r="S253" s="202"/>
      <c r="T253"/>
    </row>
    <row r="254" spans="15:20">
      <c r="O254" s="247"/>
      <c r="P254"/>
      <c r="Q254" s="224"/>
      <c r="S254" s="202"/>
      <c r="T254"/>
    </row>
    <row r="255" spans="15:20">
      <c r="O255" s="247"/>
      <c r="P255"/>
      <c r="Q255" s="224"/>
      <c r="S255" s="202"/>
      <c r="T255"/>
    </row>
    <row r="256" spans="15:20">
      <c r="O256" s="247"/>
      <c r="P256"/>
      <c r="Q256" s="224"/>
      <c r="S256" s="202"/>
      <c r="T256"/>
    </row>
    <row r="257" spans="15:20">
      <c r="O257" s="247"/>
      <c r="P257"/>
      <c r="Q257" s="224"/>
      <c r="S257" s="202"/>
      <c r="T257"/>
    </row>
    <row r="258" spans="15:20">
      <c r="O258" s="247"/>
      <c r="P258"/>
      <c r="Q258" s="224"/>
      <c r="S258" s="202"/>
      <c r="T258"/>
    </row>
    <row r="259" spans="15:20">
      <c r="O259" s="247"/>
      <c r="P259"/>
      <c r="Q259" s="224"/>
      <c r="S259" s="202"/>
      <c r="T259"/>
    </row>
    <row r="260" spans="15:20">
      <c r="O260" s="247"/>
      <c r="P260"/>
      <c r="Q260" s="224"/>
      <c r="S260" s="202"/>
      <c r="T260"/>
    </row>
    <row r="261" spans="15:20">
      <c r="O261" s="247"/>
      <c r="P261"/>
      <c r="Q261" s="224"/>
      <c r="S261" s="202"/>
      <c r="T261"/>
    </row>
    <row r="262" spans="15:20">
      <c r="O262" s="247"/>
      <c r="P262"/>
      <c r="Q262" s="224"/>
      <c r="S262" s="202"/>
      <c r="T262"/>
    </row>
    <row r="263" spans="15:20">
      <c r="O263" s="247"/>
      <c r="P263"/>
      <c r="Q263" s="224"/>
      <c r="S263" s="202"/>
      <c r="T263"/>
    </row>
    <row r="264" spans="15:20">
      <c r="O264" s="247"/>
      <c r="P264"/>
      <c r="Q264" s="224"/>
      <c r="S264" s="202"/>
      <c r="T264"/>
    </row>
    <row r="265" spans="15:20">
      <c r="O265" s="247"/>
      <c r="P265"/>
      <c r="Q265" s="224"/>
      <c r="S265" s="202"/>
      <c r="T265"/>
    </row>
    <row r="266" spans="15:20">
      <c r="O266" s="247"/>
      <c r="P266"/>
      <c r="Q266" s="224"/>
      <c r="S266" s="202"/>
      <c r="T266"/>
    </row>
    <row r="267" spans="15:20">
      <c r="O267" s="247"/>
      <c r="P267"/>
      <c r="Q267" s="224"/>
      <c r="S267" s="202"/>
      <c r="T267"/>
    </row>
    <row r="268" spans="15:20">
      <c r="O268" s="247"/>
      <c r="P268"/>
      <c r="Q268" s="224"/>
      <c r="S268" s="202"/>
      <c r="T268"/>
    </row>
    <row r="269" spans="15:20">
      <c r="O269" s="247"/>
      <c r="P269"/>
      <c r="Q269" s="224"/>
      <c r="S269" s="202"/>
      <c r="T269"/>
    </row>
    <row r="270" spans="15:20">
      <c r="O270" s="247"/>
      <c r="P270"/>
      <c r="Q270" s="224"/>
      <c r="S270" s="202"/>
      <c r="T270"/>
    </row>
    <row r="271" spans="15:20">
      <c r="O271" s="247"/>
      <c r="P271"/>
      <c r="Q271" s="224"/>
      <c r="S271" s="202"/>
      <c r="T271"/>
    </row>
    <row r="272" spans="15:20">
      <c r="O272" s="247"/>
      <c r="P272"/>
      <c r="Q272" s="224"/>
      <c r="S272" s="202"/>
      <c r="T272"/>
    </row>
    <row r="273" spans="15:20">
      <c r="O273" s="247"/>
      <c r="P273"/>
      <c r="Q273" s="224"/>
      <c r="S273" s="202"/>
      <c r="T273"/>
    </row>
    <row r="274" spans="15:20">
      <c r="O274" s="247"/>
      <c r="P274"/>
      <c r="Q274" s="224"/>
      <c r="S274" s="202"/>
      <c r="T274"/>
    </row>
    <row r="275" spans="15:20">
      <c r="O275" s="247"/>
      <c r="P275"/>
      <c r="Q275" s="224"/>
      <c r="S275" s="202"/>
      <c r="T275"/>
    </row>
    <row r="276" spans="15:20">
      <c r="O276" s="247"/>
      <c r="P276"/>
      <c r="Q276" s="224"/>
      <c r="S276" s="202"/>
      <c r="T276"/>
    </row>
    <row r="277" spans="15:20">
      <c r="O277" s="247"/>
      <c r="P277"/>
      <c r="Q277" s="224"/>
      <c r="S277" s="202"/>
      <c r="T277"/>
    </row>
    <row r="278" spans="15:20">
      <c r="O278" s="247"/>
      <c r="P278"/>
      <c r="Q278" s="224"/>
      <c r="S278" s="202"/>
      <c r="T278"/>
    </row>
    <row r="279" spans="15:20">
      <c r="O279" s="247"/>
      <c r="P279"/>
      <c r="Q279" s="224"/>
      <c r="S279" s="202"/>
      <c r="T279"/>
    </row>
    <row r="280" spans="15:20">
      <c r="O280" s="247"/>
      <c r="P280"/>
      <c r="Q280" s="224"/>
      <c r="S280" s="202"/>
      <c r="T280"/>
    </row>
    <row r="281" spans="15:20">
      <c r="O281" s="247"/>
      <c r="P281"/>
      <c r="Q281" s="224"/>
      <c r="S281" s="202"/>
      <c r="T281"/>
    </row>
    <row r="282" spans="15:20">
      <c r="O282" s="247"/>
      <c r="P282"/>
      <c r="Q282" s="224"/>
      <c r="S282" s="202"/>
      <c r="T282"/>
    </row>
    <row r="283" spans="15:20">
      <c r="O283" s="247"/>
      <c r="P283"/>
      <c r="Q283" s="224"/>
      <c r="S283" s="202"/>
      <c r="T283"/>
    </row>
    <row r="284" spans="15:20">
      <c r="O284" s="247"/>
      <c r="P284"/>
      <c r="Q284" s="224"/>
      <c r="S284" s="202"/>
      <c r="T284"/>
    </row>
    <row r="285" spans="15:20">
      <c r="O285" s="247"/>
      <c r="P285"/>
      <c r="Q285" s="224"/>
      <c r="S285" s="202"/>
      <c r="T285"/>
    </row>
    <row r="286" spans="15:20">
      <c r="O286" s="247"/>
      <c r="P286"/>
      <c r="Q286" s="224"/>
      <c r="S286" s="202"/>
      <c r="T286"/>
    </row>
    <row r="287" spans="15:20">
      <c r="O287" s="247"/>
      <c r="P287"/>
      <c r="Q287" s="224"/>
      <c r="S287" s="202"/>
      <c r="T287"/>
    </row>
    <row r="288" spans="15:20">
      <c r="O288" s="247"/>
      <c r="P288"/>
      <c r="Q288" s="224"/>
      <c r="S288" s="202"/>
      <c r="T288"/>
    </row>
    <row r="289" spans="15:20">
      <c r="O289" s="247"/>
      <c r="P289"/>
      <c r="Q289" s="224"/>
      <c r="S289" s="202"/>
      <c r="T289"/>
    </row>
    <row r="290" spans="15:20">
      <c r="O290" s="247"/>
      <c r="P290"/>
      <c r="Q290" s="224"/>
      <c r="S290" s="202"/>
      <c r="T290"/>
    </row>
    <row r="291" spans="15:20">
      <c r="O291" s="247"/>
      <c r="P291"/>
      <c r="Q291" s="224"/>
      <c r="S291" s="202"/>
      <c r="T291"/>
    </row>
    <row r="292" spans="15:20">
      <c r="O292" s="247"/>
      <c r="P292"/>
      <c r="Q292" s="224"/>
      <c r="S292" s="202"/>
      <c r="T292"/>
    </row>
    <row r="293" spans="15:20">
      <c r="O293" s="247"/>
      <c r="P293"/>
      <c r="Q293" s="224"/>
      <c r="S293" s="202"/>
      <c r="T293"/>
    </row>
    <row r="294" spans="15:20">
      <c r="O294" s="247"/>
      <c r="P294"/>
      <c r="Q294" s="224"/>
      <c r="S294" s="202"/>
      <c r="T294"/>
    </row>
    <row r="295" spans="15:20">
      <c r="O295" s="247"/>
      <c r="P295"/>
      <c r="Q295" s="224"/>
      <c r="S295" s="202"/>
      <c r="T295"/>
    </row>
    <row r="296" spans="15:20">
      <c r="O296" s="247"/>
      <c r="P296"/>
      <c r="Q296" s="224"/>
      <c r="S296" s="202"/>
      <c r="T296"/>
    </row>
    <row r="297" spans="15:20">
      <c r="O297" s="247"/>
      <c r="P297"/>
      <c r="Q297" s="224"/>
      <c r="S297" s="202"/>
      <c r="T297"/>
    </row>
    <row r="298" spans="15:20">
      <c r="O298" s="247"/>
      <c r="P298"/>
      <c r="Q298" s="224"/>
      <c r="S298" s="202"/>
      <c r="T298"/>
    </row>
    <row r="299" spans="15:20">
      <c r="O299" s="247"/>
      <c r="P299"/>
      <c r="Q299" s="224"/>
      <c r="S299" s="202"/>
      <c r="T299"/>
    </row>
    <row r="300" spans="15:20">
      <c r="O300" s="247"/>
      <c r="P300"/>
      <c r="Q300" s="224"/>
      <c r="S300" s="202"/>
      <c r="T300"/>
    </row>
    <row r="301" spans="15:20">
      <c r="O301" s="247"/>
      <c r="P301"/>
      <c r="Q301" s="224"/>
      <c r="S301" s="202"/>
      <c r="T301"/>
    </row>
    <row r="302" spans="15:20">
      <c r="O302" s="247"/>
      <c r="P302"/>
      <c r="Q302" s="224"/>
      <c r="S302" s="202"/>
      <c r="T302"/>
    </row>
    <row r="303" spans="15:20">
      <c r="O303" s="247"/>
      <c r="P303"/>
      <c r="Q303" s="224"/>
      <c r="S303" s="202"/>
      <c r="T303"/>
    </row>
    <row r="304" spans="15:20">
      <c r="O304" s="247"/>
      <c r="P304"/>
      <c r="Q304" s="224"/>
      <c r="S304" s="202"/>
      <c r="T304"/>
    </row>
    <row r="305" spans="15:20">
      <c r="O305" s="247"/>
      <c r="P305"/>
      <c r="Q305" s="224"/>
      <c r="S305" s="202"/>
      <c r="T305"/>
    </row>
    <row r="306" spans="15:20">
      <c r="O306" s="247"/>
      <c r="P306"/>
      <c r="Q306" s="224"/>
      <c r="S306" s="202"/>
      <c r="T306"/>
    </row>
    <row r="307" spans="15:20">
      <c r="O307" s="247"/>
      <c r="P307"/>
      <c r="Q307" s="224"/>
      <c r="S307" s="202"/>
      <c r="T307"/>
    </row>
    <row r="308" spans="15:20">
      <c r="O308" s="247"/>
      <c r="P308"/>
      <c r="Q308" s="224"/>
      <c r="S308" s="202"/>
      <c r="T308"/>
    </row>
    <row r="309" spans="15:20">
      <c r="O309" s="247"/>
      <c r="P309"/>
      <c r="Q309" s="224"/>
      <c r="S309" s="202"/>
      <c r="T309"/>
    </row>
    <row r="310" spans="15:20">
      <c r="O310" s="247"/>
      <c r="P310"/>
      <c r="Q310" s="224"/>
      <c r="S310" s="202"/>
      <c r="T310"/>
    </row>
    <row r="311" spans="15:20">
      <c r="O311" s="247"/>
      <c r="P311"/>
      <c r="Q311" s="224"/>
      <c r="S311" s="202"/>
      <c r="T311"/>
    </row>
    <row r="312" spans="15:20">
      <c r="O312" s="247"/>
      <c r="P312"/>
      <c r="Q312" s="224"/>
      <c r="S312" s="202"/>
      <c r="T312"/>
    </row>
    <row r="313" spans="15:20">
      <c r="O313" s="247"/>
      <c r="P313"/>
      <c r="Q313" s="224"/>
      <c r="S313" s="202"/>
      <c r="T313"/>
    </row>
    <row r="314" spans="15:20">
      <c r="O314" s="247"/>
      <c r="P314"/>
      <c r="Q314" s="224"/>
      <c r="S314" s="202"/>
      <c r="T314"/>
    </row>
    <row r="315" spans="15:20">
      <c r="O315" s="247"/>
      <c r="P315"/>
      <c r="Q315" s="224"/>
      <c r="S315" s="202"/>
      <c r="T315"/>
    </row>
    <row r="316" spans="15:20">
      <c r="O316" s="247"/>
      <c r="P316"/>
      <c r="Q316" s="224"/>
      <c r="S316" s="202"/>
      <c r="T316"/>
    </row>
    <row r="317" spans="15:20">
      <c r="O317" s="247"/>
      <c r="P317"/>
      <c r="Q317" s="224"/>
      <c r="S317" s="202"/>
      <c r="T317"/>
    </row>
    <row r="318" spans="15:20">
      <c r="O318" s="247"/>
      <c r="P318"/>
      <c r="Q318" s="224"/>
      <c r="S318" s="202"/>
      <c r="T318"/>
    </row>
    <row r="319" spans="15:20">
      <c r="O319" s="247"/>
      <c r="P319"/>
      <c r="Q319" s="224"/>
      <c r="S319" s="202"/>
      <c r="T319"/>
    </row>
    <row r="320" spans="15:20">
      <c r="O320" s="247"/>
      <c r="P320"/>
      <c r="Q320" s="224"/>
      <c r="S320" s="202"/>
      <c r="T320"/>
    </row>
    <row r="321" spans="15:20">
      <c r="O321" s="247"/>
      <c r="P321"/>
      <c r="Q321" s="224"/>
      <c r="S321" s="202"/>
      <c r="T321"/>
    </row>
    <row r="322" spans="15:20">
      <c r="O322" s="247"/>
      <c r="P322"/>
      <c r="Q322" s="224"/>
      <c r="S322" s="202"/>
      <c r="T322"/>
    </row>
    <row r="323" spans="15:20">
      <c r="O323" s="247"/>
      <c r="P323"/>
      <c r="Q323" s="224"/>
      <c r="S323" s="202"/>
      <c r="T323"/>
    </row>
    <row r="324" spans="15:20">
      <c r="O324" s="247"/>
      <c r="P324"/>
      <c r="Q324" s="224"/>
      <c r="S324" s="202"/>
      <c r="T324"/>
    </row>
    <row r="325" spans="15:20">
      <c r="O325" s="247"/>
      <c r="P325"/>
      <c r="Q325" s="224"/>
      <c r="S325" s="202"/>
      <c r="T325"/>
    </row>
    <row r="326" spans="15:20">
      <c r="O326" s="247"/>
      <c r="P326"/>
      <c r="Q326" s="224"/>
      <c r="S326" s="202"/>
      <c r="T326"/>
    </row>
    <row r="327" spans="15:20">
      <c r="O327" s="247"/>
      <c r="P327"/>
      <c r="Q327" s="224"/>
      <c r="S327" s="202"/>
      <c r="T327"/>
    </row>
    <row r="328" spans="15:20">
      <c r="O328" s="247"/>
      <c r="P328"/>
      <c r="Q328" s="224"/>
      <c r="S328" s="202"/>
      <c r="T328"/>
    </row>
    <row r="329" spans="15:20">
      <c r="O329" s="247"/>
      <c r="P329"/>
      <c r="Q329" s="224"/>
      <c r="S329" s="202"/>
      <c r="T329"/>
    </row>
    <row r="330" spans="15:20">
      <c r="O330" s="247"/>
      <c r="P330"/>
      <c r="Q330" s="224"/>
      <c r="S330" s="202"/>
      <c r="T330"/>
    </row>
    <row r="331" spans="15:20">
      <c r="O331" s="247"/>
      <c r="P331"/>
      <c r="Q331" s="224"/>
      <c r="S331" s="202"/>
      <c r="T331"/>
    </row>
    <row r="332" spans="15:20">
      <c r="O332" s="247"/>
      <c r="P332"/>
      <c r="Q332" s="224"/>
      <c r="S332" s="202"/>
      <c r="T332"/>
    </row>
    <row r="333" spans="15:20">
      <c r="O333" s="247"/>
      <c r="P333"/>
      <c r="Q333" s="224"/>
      <c r="S333" s="202"/>
      <c r="T333"/>
    </row>
    <row r="334" spans="15:20">
      <c r="O334" s="247"/>
      <c r="P334"/>
      <c r="Q334" s="224"/>
      <c r="S334" s="202"/>
      <c r="T334"/>
    </row>
    <row r="335" spans="15:20">
      <c r="O335" s="247"/>
      <c r="P335"/>
      <c r="Q335" s="224"/>
      <c r="S335" s="202"/>
      <c r="T335"/>
    </row>
    <row r="336" spans="15:20">
      <c r="O336" s="247"/>
      <c r="P336"/>
      <c r="Q336" s="224"/>
      <c r="S336" s="202"/>
      <c r="T336"/>
    </row>
    <row r="337" spans="15:20">
      <c r="O337" s="247"/>
      <c r="P337"/>
      <c r="Q337" s="224"/>
      <c r="S337" s="202"/>
      <c r="T337"/>
    </row>
    <row r="338" spans="15:20">
      <c r="O338" s="247"/>
      <c r="P338"/>
      <c r="Q338" s="224"/>
      <c r="S338" s="202"/>
      <c r="T338"/>
    </row>
    <row r="339" spans="15:20">
      <c r="O339" s="247"/>
      <c r="P339"/>
      <c r="Q339" s="224"/>
      <c r="S339" s="202"/>
      <c r="T339"/>
    </row>
    <row r="340" spans="15:20">
      <c r="O340" s="247"/>
      <c r="P340"/>
      <c r="Q340" s="224"/>
      <c r="S340" s="202"/>
      <c r="T340"/>
    </row>
    <row r="341" spans="15:20">
      <c r="O341" s="247"/>
      <c r="P341"/>
      <c r="Q341" s="224"/>
      <c r="S341" s="202"/>
      <c r="T341"/>
    </row>
    <row r="342" spans="15:20">
      <c r="O342" s="247"/>
      <c r="P342"/>
      <c r="Q342" s="224"/>
      <c r="S342" s="202"/>
      <c r="T342"/>
    </row>
    <row r="343" spans="15:20">
      <c r="O343" s="247"/>
      <c r="P343"/>
      <c r="Q343" s="224"/>
      <c r="S343" s="202"/>
      <c r="T343"/>
    </row>
    <row r="344" spans="15:20">
      <c r="O344" s="247"/>
      <c r="P344"/>
      <c r="Q344" s="224"/>
      <c r="S344" s="202"/>
      <c r="T344"/>
    </row>
    <row r="345" spans="15:20">
      <c r="O345" s="247"/>
      <c r="P345"/>
      <c r="Q345" s="224"/>
      <c r="S345" s="202"/>
      <c r="T345"/>
    </row>
    <row r="346" spans="15:20">
      <c r="O346" s="247"/>
      <c r="P346"/>
      <c r="Q346" s="224"/>
      <c r="S346" s="202"/>
      <c r="T346"/>
    </row>
    <row r="347" spans="15:20">
      <c r="O347" s="247"/>
      <c r="P347"/>
      <c r="Q347" s="224"/>
      <c r="S347" s="202"/>
      <c r="T347"/>
    </row>
    <row r="348" spans="15:20">
      <c r="O348" s="247"/>
      <c r="P348"/>
      <c r="Q348" s="224"/>
      <c r="S348" s="202"/>
      <c r="T348"/>
    </row>
    <row r="349" spans="15:20">
      <c r="O349" s="247"/>
      <c r="P349"/>
      <c r="Q349" s="224"/>
      <c r="S349" s="202"/>
      <c r="T349"/>
    </row>
    <row r="350" spans="15:20">
      <c r="O350" s="247"/>
      <c r="P350"/>
      <c r="Q350" s="224"/>
      <c r="S350" s="202"/>
      <c r="T350"/>
    </row>
    <row r="351" spans="15:20">
      <c r="O351" s="247"/>
      <c r="P351"/>
      <c r="Q351" s="224"/>
      <c r="S351" s="202"/>
      <c r="T351"/>
    </row>
    <row r="352" spans="15:20">
      <c r="O352" s="247"/>
      <c r="P352"/>
      <c r="Q352" s="224"/>
      <c r="S352" s="202"/>
      <c r="T352"/>
    </row>
    <row r="353" spans="15:20">
      <c r="O353" s="247"/>
      <c r="P353"/>
      <c r="Q353" s="224"/>
      <c r="S353" s="202"/>
      <c r="T353"/>
    </row>
    <row r="354" spans="15:20">
      <c r="O354" s="247"/>
      <c r="P354"/>
      <c r="Q354" s="224"/>
      <c r="S354" s="202"/>
      <c r="T354"/>
    </row>
    <row r="355" spans="15:20">
      <c r="O355" s="247"/>
      <c r="P355"/>
      <c r="Q355" s="224"/>
      <c r="S355" s="202"/>
      <c r="T355"/>
    </row>
    <row r="356" spans="15:20">
      <c r="O356" s="247"/>
      <c r="P356"/>
      <c r="Q356" s="224"/>
      <c r="S356" s="202"/>
      <c r="T356"/>
    </row>
    <row r="357" spans="15:20">
      <c r="O357" s="247"/>
      <c r="P357"/>
      <c r="Q357" s="224"/>
      <c r="S357" s="202"/>
      <c r="T357"/>
    </row>
    <row r="358" spans="15:20">
      <c r="O358" s="247"/>
      <c r="P358"/>
      <c r="Q358" s="224"/>
      <c r="S358" s="202"/>
      <c r="T358"/>
    </row>
    <row r="359" spans="15:20">
      <c r="O359" s="247"/>
      <c r="P359"/>
      <c r="Q359" s="224"/>
      <c r="S359" s="202"/>
      <c r="T359"/>
    </row>
    <row r="360" spans="15:20">
      <c r="O360" s="247"/>
      <c r="P360"/>
      <c r="Q360" s="224"/>
      <c r="S360" s="202"/>
      <c r="T360"/>
    </row>
    <row r="361" spans="15:20">
      <c r="O361" s="247"/>
      <c r="P361"/>
      <c r="Q361" s="224"/>
      <c r="S361" s="202"/>
      <c r="T361"/>
    </row>
    <row r="362" spans="15:20">
      <c r="O362" s="247"/>
      <c r="P362"/>
      <c r="Q362" s="224"/>
      <c r="S362" s="202"/>
      <c r="T362"/>
    </row>
    <row r="363" spans="15:20">
      <c r="O363" s="247"/>
      <c r="P363"/>
      <c r="Q363" s="224"/>
      <c r="S363" s="202"/>
      <c r="T363"/>
    </row>
    <row r="364" spans="15:20">
      <c r="O364" s="247"/>
      <c r="P364"/>
      <c r="Q364" s="224"/>
      <c r="S364" s="202"/>
      <c r="T364"/>
    </row>
    <row r="365" spans="15:20">
      <c r="O365" s="247"/>
      <c r="P365"/>
      <c r="Q365" s="224"/>
      <c r="S365" s="202"/>
      <c r="T365"/>
    </row>
    <row r="366" spans="15:20">
      <c r="O366" s="247"/>
      <c r="P366"/>
      <c r="Q366" s="224"/>
      <c r="S366" s="202"/>
      <c r="T366"/>
    </row>
    <row r="367" spans="15:20">
      <c r="O367" s="247"/>
      <c r="P367"/>
      <c r="Q367" s="224"/>
      <c r="S367" s="202"/>
      <c r="T367"/>
    </row>
    <row r="368" spans="15:20">
      <c r="O368" s="247"/>
      <c r="P368"/>
      <c r="Q368" s="224"/>
      <c r="S368" s="202"/>
      <c r="T368"/>
    </row>
    <row r="369" spans="15:20">
      <c r="O369" s="247"/>
      <c r="P369"/>
      <c r="Q369" s="224"/>
      <c r="S369" s="202"/>
      <c r="T369"/>
    </row>
    <row r="370" spans="15:20">
      <c r="O370" s="247"/>
      <c r="P370"/>
      <c r="Q370" s="224"/>
      <c r="S370" s="202"/>
      <c r="T370"/>
    </row>
    <row r="371" spans="15:20">
      <c r="O371" s="247"/>
      <c r="P371"/>
      <c r="Q371" s="224"/>
      <c r="S371" s="202"/>
      <c r="T371"/>
    </row>
    <row r="372" spans="15:20">
      <c r="O372" s="247"/>
      <c r="P372"/>
      <c r="Q372" s="224"/>
      <c r="S372" s="202"/>
      <c r="T372"/>
    </row>
    <row r="373" spans="15:20">
      <c r="O373" s="247"/>
      <c r="P373"/>
      <c r="Q373" s="224"/>
      <c r="S373" s="202"/>
      <c r="T373"/>
    </row>
    <row r="374" spans="15:20">
      <c r="O374" s="247"/>
      <c r="P374"/>
      <c r="Q374" s="224"/>
      <c r="S374" s="202"/>
      <c r="T374"/>
    </row>
    <row r="375" spans="15:20">
      <c r="O375" s="247"/>
      <c r="P375"/>
      <c r="Q375" s="224"/>
      <c r="S375" s="202"/>
      <c r="T375"/>
    </row>
    <row r="376" spans="15:20">
      <c r="O376" s="247"/>
      <c r="P376"/>
      <c r="Q376" s="224"/>
      <c r="S376" s="202"/>
      <c r="T376"/>
    </row>
    <row r="377" spans="15:20">
      <c r="O377" s="247"/>
      <c r="P377"/>
      <c r="Q377" s="224"/>
      <c r="S377" s="202"/>
      <c r="T377"/>
    </row>
    <row r="378" spans="15:20">
      <c r="O378" s="247"/>
      <c r="P378"/>
      <c r="Q378" s="224"/>
      <c r="S378" s="202"/>
      <c r="T378"/>
    </row>
    <row r="379" spans="15:20">
      <c r="O379" s="247"/>
      <c r="P379"/>
      <c r="Q379" s="224"/>
      <c r="S379" s="202"/>
      <c r="T379"/>
    </row>
    <row r="380" spans="15:20">
      <c r="O380" s="247"/>
      <c r="P380"/>
      <c r="Q380" s="224"/>
      <c r="S380" s="202"/>
      <c r="T380"/>
    </row>
    <row r="381" spans="15:20">
      <c r="O381" s="247"/>
      <c r="P381"/>
      <c r="Q381" s="224"/>
      <c r="S381" s="202"/>
      <c r="T381"/>
    </row>
    <row r="382" spans="15:20">
      <c r="O382" s="247"/>
      <c r="P382"/>
      <c r="Q382" s="224"/>
      <c r="S382" s="202"/>
      <c r="T382"/>
    </row>
    <row r="383" spans="15:20">
      <c r="O383" s="247"/>
      <c r="P383"/>
      <c r="Q383" s="224"/>
      <c r="S383" s="202"/>
      <c r="T383"/>
    </row>
    <row r="384" spans="15:20">
      <c r="O384" s="247"/>
      <c r="P384"/>
      <c r="Q384" s="224"/>
      <c r="S384" s="202"/>
      <c r="T384"/>
    </row>
    <row r="385" spans="15:20">
      <c r="O385" s="247"/>
      <c r="P385"/>
      <c r="Q385" s="224"/>
      <c r="S385" s="202"/>
      <c r="T385"/>
    </row>
    <row r="386" spans="15:20">
      <c r="O386" s="247"/>
      <c r="P386"/>
      <c r="Q386" s="224"/>
      <c r="S386" s="202"/>
      <c r="T386"/>
    </row>
    <row r="387" spans="15:20">
      <c r="O387" s="247"/>
      <c r="P387"/>
      <c r="Q387" s="224"/>
      <c r="S387" s="202"/>
      <c r="T387"/>
    </row>
    <row r="388" spans="15:20">
      <c r="O388" s="247"/>
      <c r="P388"/>
      <c r="Q388" s="224"/>
      <c r="S388" s="202"/>
      <c r="T388"/>
    </row>
    <row r="389" spans="15:20">
      <c r="O389" s="247"/>
      <c r="P389"/>
      <c r="Q389" s="224"/>
      <c r="S389" s="202"/>
      <c r="T389"/>
    </row>
    <row r="390" spans="15:20">
      <c r="O390" s="247"/>
      <c r="P390"/>
      <c r="Q390" s="224"/>
      <c r="S390" s="202"/>
      <c r="T390"/>
    </row>
    <row r="391" spans="15:20">
      <c r="O391" s="247"/>
      <c r="P391"/>
      <c r="Q391" s="224"/>
      <c r="S391" s="202"/>
      <c r="T391"/>
    </row>
    <row r="392" spans="15:20">
      <c r="O392" s="247"/>
      <c r="P392"/>
      <c r="Q392" s="224"/>
      <c r="S392" s="202"/>
      <c r="T392"/>
    </row>
    <row r="393" spans="15:20">
      <c r="O393" s="247"/>
      <c r="P393"/>
      <c r="Q393" s="224"/>
      <c r="S393" s="202"/>
      <c r="T393"/>
    </row>
    <row r="394" spans="15:20">
      <c r="O394" s="247"/>
      <c r="P394"/>
      <c r="Q394" s="224"/>
      <c r="S394" s="202"/>
      <c r="T394"/>
    </row>
    <row r="395" spans="15:20">
      <c r="O395" s="247"/>
      <c r="P395"/>
      <c r="Q395" s="224"/>
      <c r="S395" s="202"/>
      <c r="T395"/>
    </row>
    <row r="396" spans="15:20">
      <c r="O396" s="247"/>
      <c r="P396"/>
      <c r="Q396" s="224"/>
      <c r="S396" s="202"/>
      <c r="T396"/>
    </row>
    <row r="397" spans="15:20">
      <c r="O397" s="247"/>
      <c r="P397"/>
      <c r="Q397" s="224"/>
      <c r="S397" s="202"/>
      <c r="T397"/>
    </row>
    <row r="398" spans="15:20">
      <c r="O398" s="247"/>
      <c r="P398"/>
      <c r="Q398" s="224"/>
      <c r="S398" s="202"/>
      <c r="T398"/>
    </row>
    <row r="399" spans="15:20">
      <c r="O399" s="247"/>
      <c r="P399"/>
      <c r="Q399" s="224"/>
      <c r="S399" s="202"/>
      <c r="T399"/>
    </row>
    <row r="400" spans="15:20">
      <c r="O400" s="247"/>
      <c r="P400"/>
      <c r="Q400" s="224"/>
      <c r="S400" s="202"/>
      <c r="T400"/>
    </row>
    <row r="401" spans="15:20">
      <c r="O401" s="247"/>
      <c r="P401"/>
      <c r="Q401" s="224"/>
      <c r="S401" s="202"/>
      <c r="T401"/>
    </row>
    <row r="402" spans="15:20">
      <c r="O402" s="247"/>
      <c r="P402"/>
      <c r="Q402" s="224"/>
      <c r="S402" s="202"/>
      <c r="T402"/>
    </row>
    <row r="403" spans="15:20">
      <c r="O403" s="247"/>
      <c r="P403"/>
      <c r="Q403" s="224"/>
      <c r="S403" s="202"/>
      <c r="T403"/>
    </row>
    <row r="404" spans="15:20">
      <c r="O404" s="247"/>
      <c r="P404"/>
      <c r="Q404" s="224"/>
      <c r="S404" s="202"/>
      <c r="T404"/>
    </row>
    <row r="405" spans="15:20">
      <c r="O405" s="247"/>
      <c r="P405"/>
      <c r="Q405" s="224"/>
      <c r="S405" s="202"/>
      <c r="T405"/>
    </row>
    <row r="406" spans="15:20">
      <c r="O406" s="247"/>
      <c r="P406"/>
      <c r="Q406" s="224"/>
      <c r="S406" s="202"/>
      <c r="T406"/>
    </row>
    <row r="407" spans="15:20">
      <c r="O407" s="247"/>
      <c r="P407"/>
      <c r="Q407" s="224"/>
      <c r="S407" s="202"/>
      <c r="T407"/>
    </row>
    <row r="408" spans="15:20">
      <c r="O408" s="247"/>
      <c r="P408"/>
      <c r="Q408" s="224"/>
      <c r="S408" s="202"/>
      <c r="T408"/>
    </row>
    <row r="409" spans="15:20">
      <c r="O409" s="247"/>
      <c r="P409"/>
      <c r="Q409" s="224"/>
      <c r="S409" s="202"/>
      <c r="T409"/>
    </row>
    <row r="410" spans="15:20">
      <c r="O410" s="247"/>
      <c r="P410"/>
      <c r="Q410" s="224"/>
      <c r="S410" s="202"/>
      <c r="T410"/>
    </row>
    <row r="411" spans="15:20">
      <c r="O411" s="247"/>
      <c r="P411"/>
      <c r="Q411" s="224"/>
      <c r="S411" s="202"/>
      <c r="T411"/>
    </row>
    <row r="412" spans="15:20">
      <c r="O412" s="247"/>
      <c r="P412"/>
      <c r="Q412" s="224"/>
      <c r="S412" s="202"/>
      <c r="T412"/>
    </row>
    <row r="413" spans="15:20">
      <c r="O413" s="247"/>
      <c r="P413"/>
      <c r="Q413" s="224"/>
      <c r="S413" s="202"/>
      <c r="T413"/>
    </row>
    <row r="414" spans="15:20">
      <c r="O414" s="247"/>
      <c r="P414"/>
      <c r="Q414" s="224"/>
      <c r="S414" s="202"/>
      <c r="T414"/>
    </row>
    <row r="415" spans="15:20">
      <c r="O415" s="247"/>
      <c r="P415"/>
      <c r="Q415" s="224"/>
      <c r="S415" s="202"/>
      <c r="T415"/>
    </row>
    <row r="416" spans="15:20">
      <c r="O416" s="247"/>
      <c r="P416"/>
      <c r="Q416" s="224"/>
      <c r="S416" s="202"/>
      <c r="T416"/>
    </row>
    <row r="417" spans="15:20">
      <c r="O417" s="247"/>
      <c r="P417"/>
      <c r="Q417" s="224"/>
      <c r="S417" s="202"/>
      <c r="T417"/>
    </row>
    <row r="418" spans="15:20">
      <c r="O418" s="247"/>
      <c r="P418"/>
      <c r="Q418" s="224"/>
      <c r="S418" s="202"/>
      <c r="T418"/>
    </row>
    <row r="419" spans="15:20">
      <c r="O419" s="247"/>
      <c r="P419"/>
      <c r="Q419" s="224"/>
      <c r="S419" s="202"/>
      <c r="T419"/>
    </row>
    <row r="420" spans="15:20">
      <c r="O420" s="247"/>
      <c r="P420"/>
      <c r="Q420" s="224"/>
      <c r="S420" s="202"/>
      <c r="T420"/>
    </row>
    <row r="421" spans="15:20">
      <c r="O421" s="247"/>
      <c r="P421"/>
      <c r="Q421" s="224"/>
      <c r="S421" s="202"/>
      <c r="T421"/>
    </row>
    <row r="422" spans="15:20">
      <c r="O422" s="247"/>
      <c r="P422"/>
      <c r="Q422" s="224"/>
      <c r="S422" s="202"/>
      <c r="T422"/>
    </row>
    <row r="423" spans="15:20">
      <c r="O423" s="247"/>
      <c r="P423"/>
      <c r="Q423" s="224"/>
      <c r="S423" s="202"/>
      <c r="T423"/>
    </row>
    <row r="424" spans="15:20">
      <c r="O424" s="247"/>
      <c r="P424"/>
      <c r="Q424" s="224"/>
      <c r="S424" s="202"/>
      <c r="T424"/>
    </row>
    <row r="425" spans="15:20">
      <c r="O425" s="247"/>
      <c r="P425"/>
      <c r="Q425" s="224"/>
      <c r="S425" s="202"/>
      <c r="T425"/>
    </row>
    <row r="426" spans="15:20">
      <c r="O426" s="247"/>
      <c r="P426"/>
      <c r="Q426" s="224"/>
      <c r="S426" s="202"/>
      <c r="T426"/>
    </row>
    <row r="427" spans="15:20">
      <c r="O427" s="247"/>
      <c r="P427"/>
      <c r="Q427" s="224"/>
      <c r="S427" s="202"/>
      <c r="T427"/>
    </row>
    <row r="428" spans="15:20">
      <c r="O428" s="247"/>
      <c r="P428"/>
      <c r="Q428" s="224"/>
      <c r="S428" s="202"/>
      <c r="T428"/>
    </row>
    <row r="429" spans="15:20">
      <c r="O429" s="247"/>
      <c r="P429"/>
      <c r="Q429" s="224"/>
      <c r="S429" s="202"/>
      <c r="T429"/>
    </row>
    <row r="430" spans="15:20">
      <c r="O430" s="247"/>
      <c r="P430"/>
      <c r="Q430" s="224"/>
      <c r="S430" s="202"/>
      <c r="T430"/>
    </row>
    <row r="431" spans="15:20">
      <c r="O431" s="247"/>
      <c r="P431"/>
      <c r="Q431" s="224"/>
      <c r="S431" s="202"/>
      <c r="T431"/>
    </row>
    <row r="432" spans="15:20">
      <c r="O432" s="247"/>
      <c r="P432"/>
      <c r="Q432" s="224"/>
      <c r="S432" s="202"/>
      <c r="T432"/>
    </row>
    <row r="433" spans="15:20">
      <c r="O433" s="247"/>
      <c r="P433"/>
      <c r="Q433" s="224"/>
      <c r="S433" s="202"/>
      <c r="T433"/>
    </row>
    <row r="434" spans="15:20">
      <c r="O434" s="247"/>
      <c r="P434"/>
      <c r="Q434" s="224"/>
      <c r="S434" s="202"/>
      <c r="T434"/>
    </row>
    <row r="435" spans="15:20">
      <c r="O435" s="247"/>
      <c r="P435"/>
      <c r="Q435" s="224"/>
      <c r="S435" s="202"/>
      <c r="T435"/>
    </row>
    <row r="436" spans="15:20">
      <c r="O436" s="247"/>
      <c r="P436"/>
      <c r="Q436" s="224"/>
      <c r="S436" s="202"/>
      <c r="T436"/>
    </row>
    <row r="437" spans="15:20">
      <c r="O437" s="247"/>
      <c r="P437"/>
      <c r="Q437" s="224"/>
      <c r="S437" s="202"/>
      <c r="T437"/>
    </row>
    <row r="438" spans="15:20">
      <c r="O438" s="247"/>
      <c r="P438"/>
      <c r="Q438" s="224"/>
      <c r="S438" s="202"/>
      <c r="T438"/>
    </row>
    <row r="439" spans="15:20">
      <c r="O439" s="247"/>
      <c r="P439"/>
      <c r="Q439" s="224"/>
      <c r="S439" s="202"/>
      <c r="T439"/>
    </row>
    <row r="440" spans="15:20">
      <c r="O440" s="247"/>
      <c r="P440"/>
      <c r="Q440" s="224"/>
      <c r="S440" s="202"/>
      <c r="T440"/>
    </row>
    <row r="441" spans="15:20">
      <c r="O441" s="247"/>
      <c r="P441"/>
      <c r="Q441" s="224"/>
      <c r="S441" s="202"/>
      <c r="T441"/>
    </row>
    <row r="442" spans="15:20">
      <c r="O442" s="247"/>
      <c r="P442"/>
      <c r="Q442" s="224"/>
      <c r="S442" s="202"/>
      <c r="T442"/>
    </row>
    <row r="443" spans="15:20">
      <c r="O443" s="247"/>
      <c r="P443"/>
      <c r="Q443" s="224"/>
      <c r="S443" s="202"/>
      <c r="T443"/>
    </row>
    <row r="444" spans="15:20">
      <c r="O444" s="247"/>
      <c r="P444"/>
      <c r="Q444" s="224"/>
      <c r="S444" s="202"/>
      <c r="T444"/>
    </row>
    <row r="445" spans="15:20">
      <c r="O445" s="247"/>
      <c r="P445"/>
      <c r="Q445" s="224"/>
      <c r="S445" s="202"/>
      <c r="T445"/>
    </row>
    <row r="446" spans="15:20">
      <c r="O446" s="247"/>
      <c r="P446"/>
      <c r="Q446" s="224"/>
      <c r="S446" s="202"/>
      <c r="T446"/>
    </row>
    <row r="447" spans="15:20">
      <c r="O447" s="247"/>
      <c r="P447"/>
      <c r="Q447" s="224"/>
      <c r="S447" s="202"/>
      <c r="T447"/>
    </row>
    <row r="448" spans="15:20">
      <c r="O448" s="247"/>
      <c r="P448"/>
      <c r="Q448" s="224"/>
      <c r="S448" s="202"/>
      <c r="T448"/>
    </row>
    <row r="449" spans="15:20">
      <c r="O449" s="247"/>
      <c r="P449"/>
      <c r="Q449" s="224"/>
      <c r="S449" s="202"/>
      <c r="T449"/>
    </row>
    <row r="450" spans="15:20">
      <c r="O450" s="247"/>
      <c r="P450"/>
      <c r="Q450" s="224"/>
      <c r="S450" s="202"/>
      <c r="T450"/>
    </row>
    <row r="451" spans="15:20">
      <c r="O451" s="247"/>
      <c r="P451"/>
      <c r="Q451" s="224"/>
      <c r="S451" s="202"/>
      <c r="T451"/>
    </row>
    <row r="452" spans="15:20">
      <c r="O452" s="247"/>
      <c r="P452"/>
      <c r="Q452" s="224"/>
      <c r="S452" s="202"/>
      <c r="T452"/>
    </row>
    <row r="453" spans="15:20">
      <c r="O453" s="247"/>
      <c r="P453"/>
      <c r="Q453" s="224"/>
      <c r="S453" s="202"/>
      <c r="T453"/>
    </row>
    <row r="454" spans="15:20">
      <c r="O454" s="247"/>
      <c r="P454"/>
      <c r="Q454" s="224"/>
      <c r="S454" s="202"/>
      <c r="T454"/>
    </row>
    <row r="455" spans="15:20">
      <c r="O455" s="247"/>
      <c r="P455"/>
      <c r="Q455" s="224"/>
      <c r="S455" s="202"/>
      <c r="T455"/>
    </row>
    <row r="456" spans="15:20">
      <c r="O456" s="247"/>
      <c r="P456"/>
      <c r="Q456" s="224"/>
      <c r="S456" s="202"/>
      <c r="T456"/>
    </row>
    <row r="457" spans="15:20">
      <c r="O457" s="247"/>
      <c r="P457"/>
      <c r="Q457" s="224"/>
      <c r="S457" s="202"/>
      <c r="T457"/>
    </row>
    <row r="458" spans="15:20">
      <c r="O458" s="247"/>
      <c r="P458"/>
      <c r="Q458" s="224"/>
      <c r="S458" s="202"/>
      <c r="T458"/>
    </row>
    <row r="459" spans="15:20">
      <c r="O459" s="247"/>
      <c r="P459"/>
      <c r="Q459" s="224"/>
      <c r="S459" s="202"/>
      <c r="T459"/>
    </row>
    <row r="460" spans="15:20">
      <c r="O460" s="247"/>
      <c r="P460"/>
      <c r="Q460" s="224"/>
      <c r="S460" s="202"/>
      <c r="T460"/>
    </row>
    <row r="461" spans="15:20">
      <c r="O461" s="247"/>
      <c r="P461"/>
      <c r="Q461" s="224"/>
      <c r="S461" s="202"/>
      <c r="T461"/>
    </row>
    <row r="462" spans="15:20">
      <c r="O462" s="247"/>
      <c r="P462"/>
      <c r="Q462" s="224"/>
      <c r="S462" s="202"/>
      <c r="T462"/>
    </row>
    <row r="463" spans="15:20">
      <c r="O463" s="247"/>
      <c r="P463"/>
      <c r="Q463" s="224"/>
      <c r="S463" s="202"/>
      <c r="T463"/>
    </row>
    <row r="464" spans="15:20">
      <c r="O464" s="247"/>
      <c r="P464"/>
      <c r="Q464" s="224"/>
      <c r="S464" s="202"/>
      <c r="T464"/>
    </row>
    <row r="465" spans="15:20">
      <c r="O465" s="247"/>
      <c r="P465"/>
      <c r="Q465" s="224"/>
      <c r="S465" s="202"/>
      <c r="T465"/>
    </row>
    <row r="466" spans="15:20">
      <c r="O466" s="247"/>
      <c r="P466"/>
      <c r="Q466" s="224"/>
      <c r="S466" s="202"/>
      <c r="T466"/>
    </row>
    <row r="467" spans="15:20">
      <c r="O467" s="247"/>
      <c r="P467"/>
      <c r="Q467" s="224"/>
      <c r="S467" s="202"/>
      <c r="T467"/>
    </row>
    <row r="468" spans="15:20">
      <c r="O468" s="247"/>
      <c r="P468"/>
      <c r="Q468" s="224"/>
      <c r="S468" s="202"/>
      <c r="T468"/>
    </row>
    <row r="469" spans="15:20">
      <c r="O469" s="247"/>
      <c r="P469"/>
      <c r="Q469" s="224"/>
      <c r="S469" s="202"/>
      <c r="T469"/>
    </row>
    <row r="470" spans="15:20">
      <c r="O470" s="247"/>
      <c r="P470"/>
      <c r="Q470" s="224"/>
      <c r="S470" s="202"/>
      <c r="T470"/>
    </row>
    <row r="471" spans="15:20">
      <c r="O471" s="247"/>
      <c r="P471"/>
      <c r="Q471" s="224"/>
      <c r="S471" s="202"/>
      <c r="T471"/>
    </row>
    <row r="472" spans="15:20">
      <c r="O472" s="247"/>
      <c r="P472"/>
      <c r="Q472" s="224"/>
      <c r="S472" s="202"/>
      <c r="T472"/>
    </row>
    <row r="473" spans="15:20">
      <c r="O473" s="247"/>
      <c r="P473"/>
      <c r="Q473" s="224"/>
      <c r="S473" s="202"/>
      <c r="T473"/>
    </row>
    <row r="474" spans="15:20">
      <c r="O474" s="247"/>
      <c r="P474"/>
      <c r="Q474" s="224"/>
      <c r="S474" s="202"/>
      <c r="T474"/>
    </row>
    <row r="475" spans="15:20">
      <c r="O475" s="247"/>
      <c r="P475"/>
      <c r="Q475" s="224"/>
      <c r="S475" s="202"/>
      <c r="T475"/>
    </row>
    <row r="476" spans="15:20">
      <c r="O476" s="247"/>
      <c r="P476"/>
      <c r="Q476" s="224"/>
      <c r="S476" s="202"/>
      <c r="T476"/>
    </row>
    <row r="477" spans="15:20">
      <c r="O477" s="247"/>
      <c r="P477"/>
      <c r="Q477" s="224"/>
      <c r="S477" s="202"/>
      <c r="T477"/>
    </row>
    <row r="478" spans="15:20">
      <c r="O478" s="247"/>
      <c r="P478"/>
      <c r="Q478" s="224"/>
      <c r="S478" s="202"/>
      <c r="T478"/>
    </row>
    <row r="479" spans="15:20">
      <c r="O479" s="247"/>
      <c r="P479"/>
      <c r="Q479" s="224"/>
      <c r="S479" s="202"/>
      <c r="T479"/>
    </row>
    <row r="480" spans="15:20">
      <c r="O480" s="247"/>
      <c r="P480"/>
      <c r="Q480" s="224"/>
      <c r="S480" s="202"/>
      <c r="T480"/>
    </row>
    <row r="481" spans="15:20">
      <c r="O481" s="247"/>
      <c r="P481"/>
      <c r="Q481" s="224"/>
      <c r="S481" s="202"/>
      <c r="T481"/>
    </row>
    <row r="482" spans="15:20">
      <c r="O482" s="247"/>
      <c r="P482"/>
      <c r="Q482" s="224"/>
      <c r="S482" s="202"/>
      <c r="T482"/>
    </row>
    <row r="483" spans="15:20">
      <c r="O483" s="247"/>
      <c r="P483"/>
      <c r="Q483" s="224"/>
      <c r="S483" s="202"/>
      <c r="T483"/>
    </row>
    <row r="484" spans="15:20">
      <c r="O484" s="247"/>
      <c r="P484"/>
      <c r="Q484" s="224"/>
      <c r="S484" s="202"/>
      <c r="T484"/>
    </row>
    <row r="485" spans="15:20">
      <c r="O485" s="247"/>
      <c r="P485"/>
      <c r="Q485" s="224"/>
      <c r="S485" s="202"/>
      <c r="T485"/>
    </row>
    <row r="486" spans="15:20">
      <c r="O486" s="247"/>
      <c r="P486"/>
      <c r="Q486" s="224"/>
      <c r="S486" s="202"/>
      <c r="T486"/>
    </row>
    <row r="487" spans="15:20">
      <c r="O487" s="247"/>
      <c r="P487"/>
      <c r="Q487" s="224"/>
      <c r="S487" s="202"/>
      <c r="T487"/>
    </row>
    <row r="488" spans="15:20">
      <c r="O488" s="247"/>
      <c r="P488"/>
      <c r="Q488" s="224"/>
      <c r="S488" s="202"/>
      <c r="T488"/>
    </row>
    <row r="489" spans="15:20">
      <c r="O489" s="247"/>
      <c r="P489"/>
      <c r="Q489" s="224"/>
      <c r="S489" s="202"/>
      <c r="T489"/>
    </row>
    <row r="490" spans="15:20">
      <c r="O490" s="247"/>
      <c r="P490"/>
      <c r="Q490" s="224"/>
      <c r="S490" s="202"/>
      <c r="T490"/>
    </row>
    <row r="491" spans="15:20">
      <c r="O491" s="247"/>
      <c r="P491"/>
      <c r="Q491" s="224"/>
      <c r="S491" s="202"/>
      <c r="T491"/>
    </row>
    <row r="492" spans="15:20">
      <c r="O492" s="247"/>
      <c r="P492"/>
      <c r="Q492" s="224"/>
      <c r="S492" s="202"/>
      <c r="T492"/>
    </row>
    <row r="493" spans="15:20">
      <c r="O493" s="247"/>
      <c r="P493"/>
      <c r="Q493" s="224"/>
      <c r="S493" s="202"/>
      <c r="T493"/>
    </row>
    <row r="494" spans="15:20">
      <c r="O494" s="247"/>
      <c r="P494"/>
      <c r="Q494" s="224"/>
      <c r="S494" s="202"/>
      <c r="T494"/>
    </row>
    <row r="495" spans="15:20">
      <c r="O495" s="247"/>
      <c r="P495"/>
      <c r="Q495" s="224"/>
      <c r="S495" s="202"/>
      <c r="T495"/>
    </row>
    <row r="496" spans="15:20">
      <c r="O496" s="247"/>
      <c r="P496"/>
      <c r="Q496" s="224"/>
      <c r="S496" s="202"/>
      <c r="T496"/>
    </row>
    <row r="497" spans="15:20">
      <c r="O497" s="247"/>
      <c r="P497"/>
      <c r="Q497" s="224"/>
      <c r="S497" s="202"/>
      <c r="T497"/>
    </row>
    <row r="498" spans="15:20">
      <c r="O498" s="247"/>
      <c r="P498"/>
      <c r="Q498" s="224"/>
      <c r="S498" s="202"/>
      <c r="T498"/>
    </row>
    <row r="499" spans="15:20">
      <c r="O499" s="247"/>
      <c r="P499"/>
      <c r="Q499" s="224"/>
      <c r="S499" s="202"/>
      <c r="T499"/>
    </row>
    <row r="500" spans="15:20">
      <c r="O500" s="247"/>
      <c r="P500"/>
      <c r="Q500" s="224"/>
      <c r="S500" s="202"/>
      <c r="T500"/>
    </row>
    <row r="501" spans="15:20">
      <c r="O501" s="247"/>
      <c r="P501"/>
      <c r="Q501" s="224"/>
      <c r="S501" s="202"/>
      <c r="T501"/>
    </row>
    <row r="502" spans="15:20">
      <c r="O502" s="247"/>
      <c r="P502"/>
      <c r="Q502" s="224"/>
      <c r="S502" s="202"/>
      <c r="T502"/>
    </row>
    <row r="503" spans="15:20">
      <c r="O503" s="247"/>
      <c r="P503"/>
      <c r="Q503" s="224"/>
      <c r="S503" s="202"/>
      <c r="T503"/>
    </row>
    <row r="504" spans="15:20">
      <c r="O504" s="247"/>
      <c r="P504"/>
      <c r="Q504" s="224"/>
      <c r="S504" s="202"/>
      <c r="T504"/>
    </row>
    <row r="505" spans="15:20">
      <c r="O505" s="247"/>
      <c r="P505"/>
      <c r="Q505" s="224"/>
      <c r="S505" s="202"/>
      <c r="T505"/>
    </row>
    <row r="506" spans="15:20">
      <c r="O506" s="247"/>
      <c r="P506"/>
      <c r="Q506" s="224"/>
      <c r="S506" s="202"/>
      <c r="T506"/>
    </row>
    <row r="507" spans="15:20">
      <c r="O507" s="247"/>
      <c r="P507"/>
      <c r="Q507" s="224"/>
      <c r="S507" s="202"/>
      <c r="T507"/>
    </row>
    <row r="508" spans="15:20">
      <c r="O508" s="247"/>
      <c r="P508"/>
      <c r="Q508" s="224"/>
      <c r="S508" s="202"/>
      <c r="T508"/>
    </row>
    <row r="509" spans="15:20">
      <c r="O509" s="247"/>
      <c r="P509"/>
      <c r="Q509" s="224"/>
      <c r="S509" s="202"/>
      <c r="T509"/>
    </row>
    <row r="510" spans="15:20">
      <c r="O510" s="247"/>
      <c r="P510"/>
      <c r="Q510" s="224"/>
      <c r="S510" s="202"/>
      <c r="T510"/>
    </row>
    <row r="511" spans="15:20">
      <c r="O511" s="247"/>
      <c r="P511"/>
      <c r="Q511" s="224"/>
      <c r="S511" s="202"/>
      <c r="T511"/>
    </row>
    <row r="512" spans="15:20">
      <c r="O512" s="247"/>
      <c r="P512"/>
      <c r="Q512" s="224"/>
      <c r="S512" s="202"/>
      <c r="T512"/>
    </row>
    <row r="513" spans="15:20">
      <c r="O513" s="247"/>
      <c r="P513"/>
      <c r="Q513" s="224"/>
      <c r="S513" s="202"/>
      <c r="T513"/>
    </row>
    <row r="514" spans="15:20">
      <c r="O514" s="247"/>
      <c r="P514"/>
      <c r="Q514" s="224"/>
      <c r="S514" s="202"/>
      <c r="T514"/>
    </row>
    <row r="515" spans="15:20">
      <c r="O515" s="247"/>
      <c r="P515"/>
      <c r="Q515" s="224"/>
      <c r="S515" s="202"/>
      <c r="T515"/>
    </row>
    <row r="516" spans="15:20">
      <c r="O516" s="247"/>
      <c r="P516"/>
      <c r="Q516" s="224"/>
      <c r="S516" s="202"/>
      <c r="T516"/>
    </row>
    <row r="517" spans="15:20">
      <c r="O517" s="247"/>
      <c r="P517"/>
      <c r="Q517" s="224"/>
      <c r="S517" s="202"/>
      <c r="T517"/>
    </row>
    <row r="518" spans="15:20">
      <c r="O518" s="247"/>
      <c r="P518"/>
      <c r="Q518" s="224"/>
      <c r="S518" s="202"/>
      <c r="T518"/>
    </row>
    <row r="519" spans="15:20">
      <c r="O519" s="247"/>
      <c r="P519"/>
      <c r="Q519" s="224"/>
      <c r="S519" s="202"/>
      <c r="T519"/>
    </row>
    <row r="520" spans="15:20">
      <c r="O520" s="247"/>
      <c r="P520"/>
      <c r="Q520" s="224"/>
      <c r="S520" s="202"/>
      <c r="T520"/>
    </row>
    <row r="521" spans="15:20">
      <c r="O521" s="247"/>
      <c r="P521"/>
      <c r="Q521" s="224"/>
      <c r="S521" s="202"/>
      <c r="T521"/>
    </row>
    <row r="522" spans="15:20">
      <c r="O522" s="247"/>
      <c r="P522"/>
      <c r="Q522" s="224"/>
      <c r="S522" s="202"/>
      <c r="T522"/>
    </row>
    <row r="523" spans="15:20">
      <c r="O523" s="247"/>
      <c r="P523"/>
      <c r="Q523" s="224"/>
      <c r="S523" s="202"/>
      <c r="T523"/>
    </row>
    <row r="524" spans="15:20">
      <c r="O524" s="247"/>
      <c r="P524"/>
      <c r="Q524" s="224"/>
      <c r="S524" s="202"/>
      <c r="T524"/>
    </row>
    <row r="525" spans="15:20">
      <c r="O525" s="247"/>
      <c r="P525"/>
      <c r="Q525" s="224"/>
      <c r="S525" s="202"/>
      <c r="T525"/>
    </row>
    <row r="526" spans="15:20">
      <c r="O526" s="247"/>
      <c r="P526"/>
      <c r="Q526" s="224"/>
      <c r="S526" s="202"/>
      <c r="T526"/>
    </row>
    <row r="527" spans="15:20">
      <c r="O527" s="247"/>
      <c r="P527"/>
      <c r="Q527" s="224"/>
      <c r="S527" s="202"/>
      <c r="T527"/>
    </row>
    <row r="528" spans="15:20">
      <c r="O528" s="247"/>
      <c r="P528"/>
      <c r="Q528" s="224"/>
      <c r="S528" s="202"/>
      <c r="T528"/>
    </row>
    <row r="529" spans="15:20">
      <c r="O529" s="247"/>
      <c r="P529"/>
      <c r="Q529" s="224"/>
      <c r="S529" s="202"/>
      <c r="T529"/>
    </row>
    <row r="530" spans="15:20">
      <c r="O530" s="247"/>
      <c r="P530"/>
      <c r="Q530" s="224"/>
      <c r="S530" s="202"/>
      <c r="T530"/>
    </row>
    <row r="531" spans="15:20">
      <c r="O531" s="247"/>
      <c r="P531"/>
      <c r="Q531" s="224"/>
      <c r="S531" s="202"/>
      <c r="T531"/>
    </row>
    <row r="532" spans="15:20">
      <c r="O532" s="247"/>
      <c r="P532"/>
      <c r="Q532" s="224"/>
      <c r="S532" s="202"/>
      <c r="T532"/>
    </row>
    <row r="533" spans="15:20">
      <c r="O533" s="247"/>
      <c r="P533"/>
      <c r="Q533" s="224"/>
      <c r="S533" s="202"/>
      <c r="T533"/>
    </row>
    <row r="534" spans="15:20">
      <c r="O534" s="247"/>
      <c r="P534"/>
      <c r="Q534" s="224"/>
      <c r="S534" s="202"/>
      <c r="T534"/>
    </row>
    <row r="535" spans="15:20">
      <c r="O535" s="247"/>
      <c r="P535"/>
      <c r="Q535" s="224"/>
      <c r="S535" s="202"/>
      <c r="T535"/>
    </row>
    <row r="536" spans="15:20">
      <c r="O536" s="247"/>
      <c r="P536"/>
      <c r="Q536" s="224"/>
      <c r="S536" s="202"/>
      <c r="T536"/>
    </row>
    <row r="537" spans="15:20">
      <c r="O537" s="247"/>
      <c r="P537"/>
      <c r="Q537" s="224"/>
      <c r="S537" s="202"/>
      <c r="T537"/>
    </row>
    <row r="538" spans="15:20">
      <c r="O538" s="247"/>
      <c r="P538"/>
      <c r="Q538" s="224"/>
      <c r="S538" s="202"/>
      <c r="T538"/>
    </row>
    <row r="539" spans="15:20">
      <c r="O539" s="247"/>
      <c r="P539"/>
      <c r="Q539" s="224"/>
      <c r="S539" s="202"/>
      <c r="T539"/>
    </row>
    <row r="540" spans="15:20">
      <c r="O540" s="247"/>
      <c r="P540"/>
      <c r="Q540" s="224"/>
      <c r="S540" s="202"/>
      <c r="T540"/>
    </row>
    <row r="541" spans="15:20">
      <c r="O541" s="247"/>
      <c r="P541"/>
      <c r="Q541" s="224"/>
      <c r="S541" s="202"/>
      <c r="T541"/>
    </row>
    <row r="542" spans="15:20">
      <c r="O542" s="247"/>
      <c r="P542"/>
      <c r="Q542" s="224"/>
      <c r="S542" s="202"/>
      <c r="T542"/>
    </row>
    <row r="543" spans="15:20">
      <c r="O543" s="247"/>
      <c r="P543"/>
      <c r="Q543" s="224"/>
      <c r="S543" s="202"/>
      <c r="T543"/>
    </row>
    <row r="544" spans="15:20">
      <c r="O544" s="247"/>
      <c r="P544"/>
      <c r="Q544" s="224"/>
      <c r="S544" s="202"/>
      <c r="T544"/>
    </row>
    <row r="545" spans="15:20">
      <c r="O545" s="247"/>
      <c r="P545"/>
      <c r="Q545" s="224"/>
      <c r="S545" s="202"/>
      <c r="T545"/>
    </row>
    <row r="546" spans="15:20">
      <c r="O546" s="247"/>
      <c r="P546"/>
      <c r="Q546" s="224"/>
      <c r="S546" s="202"/>
      <c r="T546"/>
    </row>
    <row r="547" spans="15:20">
      <c r="O547" s="247"/>
      <c r="P547"/>
      <c r="Q547" s="224"/>
      <c r="S547" s="202"/>
      <c r="T547"/>
    </row>
    <row r="548" spans="15:20">
      <c r="O548" s="247"/>
      <c r="P548"/>
      <c r="Q548" s="224"/>
      <c r="S548" s="202"/>
      <c r="T548"/>
    </row>
    <row r="549" spans="15:20">
      <c r="O549" s="247"/>
      <c r="P549"/>
      <c r="Q549" s="224"/>
      <c r="S549" s="202"/>
      <c r="T549"/>
    </row>
    <row r="550" spans="15:20">
      <c r="O550" s="247"/>
      <c r="P550"/>
      <c r="Q550" s="224"/>
      <c r="S550" s="202"/>
      <c r="T550"/>
    </row>
    <row r="551" spans="15:20">
      <c r="O551" s="247"/>
      <c r="P551"/>
      <c r="Q551" s="224"/>
      <c r="S551" s="202"/>
      <c r="T551"/>
    </row>
    <row r="552" spans="15:20">
      <c r="O552" s="247"/>
      <c r="P552"/>
      <c r="Q552" s="224"/>
      <c r="S552" s="202"/>
      <c r="T552"/>
    </row>
    <row r="553" spans="15:20">
      <c r="O553" s="247"/>
      <c r="P553"/>
      <c r="Q553" s="224"/>
      <c r="S553" s="202"/>
      <c r="T553"/>
    </row>
    <row r="554" spans="15:20">
      <c r="O554" s="247"/>
      <c r="P554"/>
      <c r="Q554" s="224"/>
      <c r="S554" s="202"/>
      <c r="T554"/>
    </row>
    <row r="555" spans="15:20">
      <c r="O555" s="247"/>
      <c r="P555"/>
      <c r="Q555" s="224"/>
      <c r="S555" s="202"/>
      <c r="T555"/>
    </row>
    <row r="556" spans="15:20">
      <c r="O556" s="247"/>
      <c r="P556"/>
      <c r="Q556" s="224"/>
      <c r="S556" s="202"/>
      <c r="T556"/>
    </row>
    <row r="557" spans="15:20">
      <c r="O557" s="247"/>
      <c r="P557"/>
      <c r="Q557" s="224"/>
      <c r="S557" s="202"/>
      <c r="T557"/>
    </row>
    <row r="558" spans="15:20">
      <c r="O558" s="247"/>
      <c r="P558"/>
      <c r="Q558" s="224"/>
      <c r="S558" s="202"/>
      <c r="T558"/>
    </row>
    <row r="559" spans="15:20">
      <c r="O559" s="247"/>
      <c r="P559"/>
      <c r="Q559" s="224"/>
      <c r="S559" s="202"/>
      <c r="T559"/>
    </row>
    <row r="560" spans="15:20">
      <c r="O560" s="247"/>
      <c r="P560"/>
      <c r="Q560" s="224"/>
      <c r="S560" s="202"/>
      <c r="T560"/>
    </row>
    <row r="561" spans="15:20">
      <c r="O561" s="247"/>
      <c r="P561"/>
      <c r="Q561" s="224"/>
      <c r="S561" s="202"/>
      <c r="T561"/>
    </row>
    <row r="562" spans="15:20">
      <c r="O562" s="247"/>
      <c r="P562"/>
      <c r="Q562" s="224"/>
      <c r="S562" s="202"/>
      <c r="T562"/>
    </row>
    <row r="563" spans="15:20">
      <c r="O563" s="247"/>
      <c r="P563"/>
      <c r="Q563" s="224"/>
      <c r="S563" s="202"/>
      <c r="T563"/>
    </row>
    <row r="564" spans="15:20">
      <c r="O564" s="247"/>
      <c r="P564"/>
      <c r="Q564" s="224"/>
      <c r="S564" s="202"/>
      <c r="T564"/>
    </row>
    <row r="565" spans="15:20">
      <c r="O565" s="247"/>
      <c r="P565"/>
      <c r="Q565" s="224"/>
      <c r="S565" s="202"/>
      <c r="T565"/>
    </row>
    <row r="566" spans="15:20">
      <c r="O566" s="247"/>
      <c r="P566"/>
      <c r="Q566" s="224"/>
      <c r="S566" s="202"/>
      <c r="T566"/>
    </row>
    <row r="567" spans="15:20">
      <c r="O567" s="247"/>
      <c r="P567"/>
      <c r="Q567" s="224"/>
      <c r="S567" s="202"/>
      <c r="T567"/>
    </row>
    <row r="568" spans="15:20">
      <c r="O568" s="247"/>
      <c r="P568"/>
      <c r="Q568" s="224"/>
      <c r="S568" s="202"/>
      <c r="T568"/>
    </row>
    <row r="569" spans="15:20">
      <c r="O569" s="247"/>
      <c r="P569"/>
      <c r="Q569" s="224"/>
      <c r="S569" s="202"/>
      <c r="T569"/>
    </row>
    <row r="570" spans="15:20">
      <c r="O570" s="247"/>
      <c r="P570"/>
      <c r="Q570" s="224"/>
      <c r="S570" s="202"/>
      <c r="T570"/>
    </row>
    <row r="571" spans="15:20">
      <c r="O571" s="247"/>
      <c r="P571"/>
      <c r="Q571" s="224"/>
      <c r="S571" s="202"/>
      <c r="T571"/>
    </row>
    <row r="572" spans="15:20">
      <c r="O572" s="247"/>
      <c r="P572"/>
      <c r="Q572" s="224"/>
      <c r="S572" s="202"/>
      <c r="T572"/>
    </row>
    <row r="573" spans="15:20">
      <c r="O573" s="247"/>
      <c r="P573"/>
      <c r="Q573" s="224"/>
      <c r="S573" s="202"/>
      <c r="T573"/>
    </row>
    <row r="574" spans="15:20">
      <c r="O574" s="247"/>
      <c r="P574"/>
      <c r="Q574" s="224"/>
      <c r="S574" s="202"/>
      <c r="T574"/>
    </row>
    <row r="575" spans="15:20">
      <c r="O575" s="247"/>
      <c r="P575"/>
      <c r="Q575" s="224"/>
      <c r="S575" s="202"/>
      <c r="T575"/>
    </row>
    <row r="576" spans="15:20">
      <c r="O576" s="247"/>
      <c r="P576"/>
      <c r="Q576" s="224"/>
      <c r="S576" s="202"/>
      <c r="T576"/>
    </row>
    <row r="577" spans="15:20">
      <c r="O577" s="247"/>
      <c r="P577"/>
      <c r="Q577" s="224"/>
      <c r="S577" s="202"/>
      <c r="T577"/>
    </row>
    <row r="578" spans="15:20">
      <c r="O578" s="247"/>
      <c r="P578"/>
      <c r="Q578" s="224"/>
      <c r="S578" s="202"/>
      <c r="T578"/>
    </row>
    <row r="579" spans="15:20">
      <c r="O579" s="247"/>
      <c r="P579"/>
      <c r="Q579" s="224"/>
      <c r="S579" s="202"/>
      <c r="T579"/>
    </row>
    <row r="580" spans="15:20">
      <c r="O580" s="247"/>
      <c r="P580"/>
      <c r="Q580" s="224"/>
      <c r="S580" s="202"/>
      <c r="T580"/>
    </row>
    <row r="581" spans="15:20">
      <c r="O581" s="247"/>
      <c r="P581"/>
      <c r="Q581" s="224"/>
      <c r="S581" s="202"/>
      <c r="T581"/>
    </row>
    <row r="582" spans="15:20">
      <c r="O582" s="247"/>
      <c r="P582"/>
      <c r="Q582" s="224"/>
      <c r="S582" s="202"/>
      <c r="T582"/>
    </row>
    <row r="583" spans="15:20">
      <c r="O583" s="247"/>
      <c r="P583"/>
      <c r="Q583" s="224"/>
      <c r="S583" s="202"/>
      <c r="T583"/>
    </row>
    <row r="584" spans="15:20">
      <c r="O584" s="247"/>
      <c r="P584"/>
      <c r="Q584" s="224"/>
      <c r="S584" s="202"/>
      <c r="T584"/>
    </row>
    <row r="585" spans="15:20">
      <c r="O585" s="247"/>
      <c r="P585"/>
      <c r="Q585" s="224"/>
      <c r="S585" s="202"/>
      <c r="T585"/>
    </row>
    <row r="586" spans="15:20">
      <c r="O586" s="247"/>
      <c r="P586"/>
      <c r="Q586" s="224"/>
      <c r="S586" s="202"/>
      <c r="T586"/>
    </row>
    <row r="587" spans="15:20">
      <c r="O587" s="247"/>
      <c r="P587"/>
      <c r="Q587" s="224"/>
      <c r="S587" s="202"/>
      <c r="T587"/>
    </row>
    <row r="588" spans="15:20">
      <c r="O588" s="247"/>
      <c r="P588"/>
      <c r="Q588" s="224"/>
      <c r="S588" s="202"/>
      <c r="T588"/>
    </row>
    <row r="589" spans="15:20">
      <c r="O589" s="247"/>
      <c r="P589"/>
      <c r="Q589" s="224"/>
      <c r="S589" s="202"/>
      <c r="T589"/>
    </row>
    <row r="590" spans="15:20">
      <c r="O590" s="247"/>
      <c r="P590"/>
      <c r="Q590" s="224"/>
      <c r="S590" s="202"/>
      <c r="T590"/>
    </row>
    <row r="591" spans="15:20">
      <c r="O591" s="247"/>
      <c r="P591"/>
      <c r="Q591" s="224"/>
      <c r="S591" s="202"/>
      <c r="T591"/>
    </row>
    <row r="592" spans="15:20">
      <c r="O592" s="247"/>
      <c r="P592"/>
      <c r="Q592" s="224"/>
      <c r="S592" s="202"/>
      <c r="T592"/>
    </row>
    <row r="593" spans="15:20">
      <c r="O593" s="247"/>
      <c r="P593"/>
      <c r="Q593" s="224"/>
      <c r="S593" s="202"/>
      <c r="T593"/>
    </row>
    <row r="594" spans="15:20">
      <c r="O594" s="247"/>
      <c r="P594"/>
      <c r="Q594" s="224"/>
      <c r="S594" s="202"/>
      <c r="T594"/>
    </row>
    <row r="595" spans="15:20">
      <c r="O595" s="247"/>
      <c r="P595"/>
      <c r="Q595" s="224"/>
      <c r="S595" s="202"/>
      <c r="T595"/>
    </row>
    <row r="596" spans="15:20">
      <c r="O596" s="247"/>
      <c r="P596"/>
      <c r="Q596" s="224"/>
      <c r="S596" s="202"/>
      <c r="T596"/>
    </row>
    <row r="597" spans="15:20">
      <c r="O597" s="247"/>
      <c r="P597"/>
      <c r="Q597" s="224"/>
      <c r="S597" s="202"/>
      <c r="T597"/>
    </row>
    <row r="598" spans="15:20">
      <c r="O598" s="247"/>
      <c r="P598"/>
      <c r="Q598" s="224"/>
      <c r="S598" s="202"/>
      <c r="T598"/>
    </row>
    <row r="599" spans="15:20">
      <c r="O599" s="247"/>
      <c r="P599"/>
      <c r="Q599" s="224"/>
      <c r="S599" s="202"/>
      <c r="T599"/>
    </row>
    <row r="600" spans="15:20">
      <c r="O600" s="247"/>
      <c r="P600"/>
      <c r="Q600" s="224"/>
      <c r="S600" s="202"/>
      <c r="T600"/>
    </row>
    <row r="601" spans="15:20">
      <c r="O601" s="247"/>
      <c r="P601"/>
      <c r="Q601" s="224"/>
      <c r="S601" s="202"/>
      <c r="T601"/>
    </row>
    <row r="602" spans="15:20">
      <c r="O602" s="247"/>
      <c r="P602"/>
      <c r="Q602" s="224"/>
      <c r="S602" s="202"/>
      <c r="T602"/>
    </row>
    <row r="603" spans="15:20">
      <c r="O603" s="247"/>
      <c r="P603"/>
      <c r="Q603" s="224"/>
      <c r="S603" s="202"/>
      <c r="T603"/>
    </row>
    <row r="604" spans="15:20">
      <c r="O604" s="247"/>
      <c r="P604"/>
      <c r="Q604" s="224"/>
      <c r="S604" s="202"/>
      <c r="T604"/>
    </row>
    <row r="605" spans="15:20">
      <c r="O605" s="247"/>
      <c r="P605"/>
      <c r="Q605" s="224"/>
      <c r="S605" s="202"/>
      <c r="T605"/>
    </row>
    <row r="606" spans="15:20">
      <c r="O606" s="247"/>
      <c r="P606"/>
      <c r="Q606" s="224"/>
      <c r="S606" s="202"/>
      <c r="T606"/>
    </row>
    <row r="607" spans="15:20">
      <c r="O607" s="247"/>
      <c r="P607"/>
      <c r="Q607" s="224"/>
      <c r="S607" s="202"/>
      <c r="T607"/>
    </row>
    <row r="608" spans="15:20">
      <c r="O608" s="247"/>
      <c r="P608"/>
      <c r="Q608" s="224"/>
      <c r="S608" s="202"/>
      <c r="T608"/>
    </row>
    <row r="609" spans="15:20">
      <c r="O609" s="247"/>
      <c r="P609"/>
      <c r="Q609" s="224"/>
      <c r="S609" s="202"/>
      <c r="T609"/>
    </row>
    <row r="610" spans="15:20">
      <c r="O610" s="247"/>
      <c r="P610"/>
      <c r="Q610" s="224"/>
      <c r="S610" s="202"/>
      <c r="T610"/>
    </row>
    <row r="611" spans="15:20">
      <c r="O611" s="247"/>
      <c r="P611"/>
      <c r="Q611" s="224"/>
      <c r="S611" s="202"/>
      <c r="T611"/>
    </row>
    <row r="612" spans="15:20">
      <c r="O612" s="247"/>
      <c r="P612"/>
      <c r="Q612" s="224"/>
      <c r="S612" s="202"/>
      <c r="T612"/>
    </row>
    <row r="613" spans="15:20">
      <c r="O613" s="247"/>
      <c r="P613"/>
      <c r="Q613" s="224"/>
      <c r="S613" s="202"/>
      <c r="T613"/>
    </row>
    <row r="614" spans="15:20">
      <c r="O614" s="247"/>
      <c r="P614"/>
      <c r="Q614" s="224"/>
      <c r="S614" s="202"/>
      <c r="T614"/>
    </row>
    <row r="615" spans="15:20">
      <c r="O615" s="247"/>
      <c r="P615"/>
      <c r="Q615" s="224"/>
      <c r="S615" s="202"/>
      <c r="T615"/>
    </row>
    <row r="616" spans="15:20">
      <c r="O616" s="247"/>
      <c r="P616"/>
      <c r="Q616" s="224"/>
      <c r="S616" s="202"/>
      <c r="T616"/>
    </row>
    <row r="617" spans="15:20">
      <c r="O617" s="247"/>
      <c r="P617"/>
      <c r="Q617" s="224"/>
      <c r="S617" s="202"/>
      <c r="T617"/>
    </row>
    <row r="618" spans="15:20">
      <c r="O618" s="247"/>
      <c r="P618"/>
      <c r="Q618" s="224"/>
      <c r="S618" s="202"/>
      <c r="T618"/>
    </row>
    <row r="619" spans="15:20">
      <c r="O619" s="247"/>
      <c r="P619"/>
      <c r="Q619" s="224"/>
      <c r="S619" s="202"/>
      <c r="T619"/>
    </row>
    <row r="620" spans="15:20">
      <c r="O620" s="247"/>
      <c r="P620"/>
      <c r="Q620" s="224"/>
      <c r="S620" s="202"/>
      <c r="T620"/>
    </row>
    <row r="621" spans="15:20">
      <c r="O621" s="247"/>
      <c r="P621"/>
      <c r="Q621" s="224"/>
      <c r="S621" s="202"/>
      <c r="T621"/>
    </row>
    <row r="622" spans="15:20">
      <c r="O622" s="247"/>
      <c r="P622"/>
      <c r="Q622" s="224"/>
      <c r="S622" s="202"/>
      <c r="T622"/>
    </row>
    <row r="623" spans="15:20">
      <c r="O623" s="247"/>
      <c r="P623"/>
      <c r="Q623" s="224"/>
      <c r="S623" s="202"/>
      <c r="T623"/>
    </row>
    <row r="624" spans="15:20">
      <c r="O624" s="247"/>
      <c r="P624"/>
      <c r="Q624" s="224"/>
      <c r="S624" s="202"/>
      <c r="T624"/>
    </row>
    <row r="625" spans="15:20">
      <c r="O625" s="247"/>
      <c r="P625"/>
      <c r="Q625" s="224"/>
      <c r="S625" s="202"/>
      <c r="T625"/>
    </row>
    <row r="626" spans="15:20">
      <c r="O626" s="247"/>
      <c r="P626"/>
      <c r="Q626" s="224"/>
      <c r="S626" s="202"/>
      <c r="T626"/>
    </row>
    <row r="627" spans="15:20">
      <c r="O627" s="247"/>
      <c r="P627"/>
      <c r="Q627" s="224"/>
      <c r="S627" s="202"/>
      <c r="T627"/>
    </row>
    <row r="628" spans="15:20">
      <c r="O628" s="247"/>
      <c r="P628"/>
      <c r="Q628" s="224"/>
      <c r="S628" s="202"/>
      <c r="T628"/>
    </row>
    <row r="629" spans="15:20">
      <c r="O629" s="247"/>
      <c r="P629"/>
      <c r="Q629" s="224"/>
      <c r="S629" s="202"/>
      <c r="T629"/>
    </row>
    <row r="630" spans="15:20">
      <c r="O630" s="247"/>
      <c r="P630"/>
      <c r="Q630" s="224"/>
      <c r="S630" s="202"/>
      <c r="T630"/>
    </row>
    <row r="631" spans="15:20">
      <c r="O631" s="247"/>
      <c r="P631"/>
      <c r="Q631" s="224"/>
      <c r="S631" s="202"/>
      <c r="T631"/>
    </row>
    <row r="632" spans="15:20">
      <c r="O632" s="247"/>
      <c r="P632"/>
      <c r="Q632" s="224"/>
      <c r="S632" s="202"/>
      <c r="T632"/>
    </row>
    <row r="633" spans="15:20">
      <c r="O633" s="247"/>
      <c r="P633"/>
      <c r="Q633" s="224"/>
      <c r="S633" s="202"/>
      <c r="T633"/>
    </row>
    <row r="634" spans="15:20">
      <c r="O634" s="247"/>
      <c r="P634"/>
      <c r="Q634" s="224"/>
      <c r="S634" s="202"/>
      <c r="T634"/>
    </row>
    <row r="635" spans="15:20">
      <c r="O635" s="247"/>
      <c r="P635"/>
      <c r="Q635" s="224"/>
      <c r="S635" s="202"/>
      <c r="T635"/>
    </row>
    <row r="636" spans="15:20">
      <c r="O636" s="247"/>
      <c r="P636"/>
      <c r="Q636" s="224"/>
      <c r="S636" s="202"/>
      <c r="T636"/>
    </row>
    <row r="637" spans="15:20">
      <c r="O637" s="247"/>
      <c r="P637"/>
      <c r="Q637" s="224"/>
      <c r="S637" s="202"/>
      <c r="T637"/>
    </row>
    <row r="638" spans="15:20">
      <c r="O638" s="247"/>
      <c r="P638"/>
      <c r="Q638" s="224"/>
      <c r="S638" s="202"/>
      <c r="T638"/>
    </row>
    <row r="639" spans="15:20">
      <c r="O639" s="247"/>
      <c r="P639"/>
      <c r="Q639" s="224"/>
      <c r="S639" s="202"/>
      <c r="T639"/>
    </row>
    <row r="640" spans="15:20">
      <c r="O640" s="247"/>
      <c r="P640"/>
      <c r="Q640" s="224"/>
      <c r="S640" s="202"/>
      <c r="T640"/>
    </row>
    <row r="641" spans="15:20">
      <c r="O641" s="247"/>
      <c r="P641"/>
      <c r="Q641" s="224"/>
      <c r="S641" s="202"/>
      <c r="T641"/>
    </row>
    <row r="642" spans="15:20">
      <c r="O642" s="247"/>
      <c r="P642"/>
      <c r="Q642" s="224"/>
      <c r="S642" s="202"/>
      <c r="T642"/>
    </row>
    <row r="643" spans="15:20">
      <c r="O643" s="247"/>
      <c r="P643"/>
      <c r="Q643" s="224"/>
      <c r="S643" s="202"/>
      <c r="T643"/>
    </row>
    <row r="644" spans="15:20">
      <c r="O644" s="247"/>
      <c r="P644"/>
      <c r="Q644" s="224"/>
      <c r="S644" s="202"/>
      <c r="T644"/>
    </row>
    <row r="645" spans="15:20">
      <c r="O645" s="247"/>
      <c r="P645"/>
      <c r="Q645" s="224"/>
      <c r="S645" s="202"/>
      <c r="T645"/>
    </row>
    <row r="646" spans="15:20">
      <c r="O646" s="247"/>
      <c r="P646"/>
      <c r="Q646" s="224"/>
      <c r="S646" s="202"/>
      <c r="T646"/>
    </row>
    <row r="647" spans="15:20">
      <c r="O647" s="247"/>
      <c r="P647"/>
      <c r="Q647" s="224"/>
      <c r="S647" s="202"/>
      <c r="T647"/>
    </row>
    <row r="648" spans="15:20">
      <c r="O648" s="247"/>
      <c r="P648"/>
      <c r="Q648" s="224"/>
      <c r="S648" s="202"/>
      <c r="T648"/>
    </row>
    <row r="649" spans="15:20">
      <c r="O649" s="247"/>
      <c r="P649"/>
      <c r="Q649" s="224"/>
      <c r="S649" s="202"/>
      <c r="T649"/>
    </row>
    <row r="650" spans="15:20">
      <c r="O650" s="247"/>
      <c r="P650"/>
      <c r="Q650" s="224"/>
      <c r="S650" s="202"/>
      <c r="T650"/>
    </row>
    <row r="651" spans="15:20">
      <c r="O651" s="247"/>
      <c r="P651"/>
      <c r="Q651" s="224"/>
      <c r="S651" s="202"/>
      <c r="T651"/>
    </row>
    <row r="652" spans="15:20">
      <c r="O652" s="247"/>
      <c r="P652"/>
      <c r="Q652" s="224"/>
      <c r="S652" s="202"/>
      <c r="T652"/>
    </row>
    <row r="653" spans="15:20">
      <c r="O653" s="247"/>
      <c r="P653"/>
      <c r="Q653" s="224"/>
      <c r="S653" s="202"/>
      <c r="T653"/>
    </row>
    <row r="654" spans="15:20">
      <c r="O654" s="247"/>
      <c r="P654"/>
      <c r="Q654" s="224"/>
      <c r="S654" s="202"/>
      <c r="T654"/>
    </row>
    <row r="655" spans="15:20">
      <c r="O655" s="247"/>
      <c r="P655"/>
      <c r="Q655" s="224"/>
      <c r="S655" s="202"/>
      <c r="T655"/>
    </row>
    <row r="656" spans="15:20">
      <c r="O656" s="247"/>
      <c r="P656"/>
      <c r="Q656" s="224"/>
      <c r="S656" s="202"/>
      <c r="T656"/>
    </row>
    <row r="657" spans="15:20">
      <c r="O657" s="247"/>
      <c r="P657"/>
      <c r="Q657" s="224"/>
      <c r="S657" s="202"/>
      <c r="T657"/>
    </row>
    <row r="658" spans="15:20">
      <c r="O658" s="247"/>
      <c r="P658"/>
      <c r="Q658" s="224"/>
      <c r="S658" s="202"/>
      <c r="T658"/>
    </row>
    <row r="659" spans="15:20">
      <c r="O659" s="247"/>
      <c r="P659"/>
      <c r="Q659" s="224"/>
      <c r="S659" s="202"/>
      <c r="T659"/>
    </row>
    <row r="660" spans="15:20">
      <c r="O660" s="247"/>
      <c r="P660"/>
      <c r="Q660" s="224"/>
      <c r="S660" s="202"/>
      <c r="T660"/>
    </row>
    <row r="661" spans="15:20">
      <c r="O661" s="247"/>
      <c r="P661"/>
      <c r="Q661" s="224"/>
      <c r="S661" s="202"/>
      <c r="T661"/>
    </row>
    <row r="662" spans="15:20">
      <c r="O662" s="247"/>
      <c r="P662"/>
      <c r="Q662" s="224"/>
      <c r="S662" s="202"/>
      <c r="T662"/>
    </row>
    <row r="663" spans="15:20">
      <c r="O663" s="247"/>
      <c r="P663"/>
      <c r="Q663" s="224"/>
      <c r="S663" s="202"/>
      <c r="T663"/>
    </row>
    <row r="664" spans="15:20">
      <c r="O664" s="247"/>
      <c r="P664"/>
      <c r="Q664" s="224"/>
      <c r="S664" s="202"/>
      <c r="T664"/>
    </row>
    <row r="665" spans="15:20">
      <c r="O665" s="247"/>
      <c r="P665"/>
      <c r="Q665" s="224"/>
      <c r="S665" s="202"/>
      <c r="T665"/>
    </row>
    <row r="666" spans="15:20">
      <c r="O666" s="247"/>
      <c r="P666"/>
      <c r="Q666" s="224"/>
      <c r="S666" s="202"/>
      <c r="T666"/>
    </row>
    <row r="667" spans="15:20">
      <c r="O667" s="247"/>
      <c r="P667"/>
      <c r="Q667" s="224"/>
      <c r="S667" s="202"/>
      <c r="T667"/>
    </row>
    <row r="668" spans="15:20">
      <c r="O668" s="247"/>
      <c r="P668"/>
      <c r="Q668" s="224"/>
      <c r="S668" s="202"/>
      <c r="T668"/>
    </row>
    <row r="669" spans="15:20">
      <c r="O669" s="247"/>
      <c r="P669"/>
      <c r="Q669" s="224"/>
      <c r="S669" s="202"/>
      <c r="T669"/>
    </row>
    <row r="670" spans="15:20">
      <c r="O670" s="247"/>
      <c r="P670"/>
      <c r="Q670" s="224"/>
      <c r="S670" s="202"/>
      <c r="T670"/>
    </row>
    <row r="671" spans="15:20">
      <c r="O671" s="247"/>
      <c r="P671"/>
      <c r="Q671" s="224"/>
      <c r="S671" s="202"/>
      <c r="T671"/>
    </row>
    <row r="672" spans="15:20">
      <c r="O672" s="247"/>
      <c r="P672"/>
      <c r="Q672" s="224"/>
      <c r="S672" s="202"/>
      <c r="T672"/>
    </row>
    <row r="673" spans="15:20">
      <c r="O673" s="247"/>
      <c r="P673"/>
      <c r="Q673" s="224"/>
      <c r="S673" s="202"/>
      <c r="T673"/>
    </row>
    <row r="674" spans="15:20">
      <c r="O674" s="247"/>
      <c r="P674"/>
      <c r="Q674" s="224"/>
      <c r="S674" s="202"/>
      <c r="T674"/>
    </row>
    <row r="675" spans="15:20">
      <c r="O675" s="247"/>
      <c r="P675"/>
      <c r="Q675" s="224"/>
      <c r="S675" s="202"/>
      <c r="T675"/>
    </row>
    <row r="676" spans="15:20">
      <c r="O676" s="247"/>
      <c r="P676"/>
      <c r="Q676" s="224"/>
      <c r="S676" s="202"/>
      <c r="T676"/>
    </row>
    <row r="677" spans="15:20">
      <c r="O677" s="247"/>
      <c r="P677"/>
      <c r="Q677" s="224"/>
      <c r="S677" s="202"/>
      <c r="T677"/>
    </row>
    <row r="678" spans="15:20">
      <c r="O678" s="247"/>
      <c r="P678"/>
      <c r="Q678" s="224"/>
      <c r="S678" s="202"/>
      <c r="T678"/>
    </row>
    <row r="679" spans="15:20">
      <c r="O679" s="247"/>
      <c r="P679"/>
      <c r="Q679" s="224"/>
      <c r="S679" s="202"/>
      <c r="T679"/>
    </row>
    <row r="680" spans="15:20">
      <c r="O680" s="247"/>
      <c r="P680"/>
      <c r="Q680" s="224"/>
      <c r="S680" s="202"/>
      <c r="T680"/>
    </row>
    <row r="681" spans="15:20">
      <c r="O681" s="247"/>
      <c r="P681"/>
      <c r="Q681" s="224"/>
      <c r="S681" s="202"/>
      <c r="T681"/>
    </row>
    <row r="682" spans="15:20">
      <c r="O682" s="247"/>
      <c r="P682"/>
      <c r="Q682" s="224"/>
      <c r="S682" s="202"/>
      <c r="T682"/>
    </row>
    <row r="683" spans="15:20">
      <c r="O683" s="247"/>
      <c r="P683"/>
      <c r="Q683" s="224"/>
      <c r="S683" s="202"/>
      <c r="T683"/>
    </row>
    <row r="684" spans="15:20">
      <c r="O684" s="247"/>
      <c r="P684"/>
      <c r="Q684" s="224"/>
      <c r="S684" s="202"/>
      <c r="T684"/>
    </row>
    <row r="685" spans="15:20">
      <c r="O685" s="247"/>
      <c r="P685"/>
      <c r="Q685" s="224"/>
      <c r="S685" s="202"/>
      <c r="T685"/>
    </row>
    <row r="686" spans="15:20">
      <c r="O686" s="247"/>
      <c r="P686"/>
      <c r="Q686" s="224"/>
      <c r="S686" s="202"/>
      <c r="T686"/>
    </row>
    <row r="687" spans="15:20">
      <c r="O687" s="247"/>
      <c r="P687"/>
      <c r="Q687" s="224"/>
      <c r="S687" s="202"/>
      <c r="T687"/>
    </row>
    <row r="688" spans="15:20">
      <c r="O688" s="247"/>
      <c r="P688"/>
      <c r="Q688" s="224"/>
      <c r="S688" s="202"/>
      <c r="T688"/>
    </row>
    <row r="689" spans="15:20">
      <c r="O689" s="247"/>
      <c r="P689"/>
      <c r="Q689" s="224"/>
      <c r="S689" s="202"/>
      <c r="T689"/>
    </row>
    <row r="690" spans="15:20">
      <c r="O690" s="247"/>
      <c r="P690"/>
      <c r="Q690" s="224"/>
      <c r="S690" s="202"/>
      <c r="T690"/>
    </row>
    <row r="691" spans="15:20">
      <c r="O691" s="247"/>
      <c r="P691"/>
      <c r="Q691" s="224"/>
      <c r="S691" s="202"/>
      <c r="T691"/>
    </row>
    <row r="692" spans="15:20">
      <c r="O692" s="247"/>
      <c r="P692"/>
      <c r="Q692" s="224"/>
      <c r="S692" s="202"/>
      <c r="T692"/>
    </row>
    <row r="693" spans="15:20">
      <c r="O693" s="247"/>
      <c r="P693"/>
      <c r="Q693" s="224"/>
      <c r="S693" s="202"/>
      <c r="T693"/>
    </row>
    <row r="694" spans="15:20">
      <c r="O694" s="247"/>
      <c r="P694"/>
      <c r="Q694" s="224"/>
      <c r="S694" s="202"/>
      <c r="T694"/>
    </row>
    <row r="695" spans="15:20">
      <c r="O695" s="247"/>
      <c r="P695"/>
      <c r="Q695" s="224"/>
      <c r="S695" s="202"/>
      <c r="T695"/>
    </row>
    <row r="696" spans="15:20">
      <c r="O696" s="247"/>
      <c r="P696"/>
      <c r="Q696" s="224"/>
      <c r="S696" s="202"/>
      <c r="T696"/>
    </row>
    <row r="697" spans="15:20">
      <c r="O697" s="247"/>
      <c r="P697"/>
      <c r="Q697" s="224"/>
      <c r="S697" s="202"/>
      <c r="T697"/>
    </row>
    <row r="698" spans="15:20">
      <c r="O698" s="247"/>
      <c r="P698"/>
      <c r="Q698" s="224"/>
      <c r="S698" s="202"/>
      <c r="T698"/>
    </row>
    <row r="699" spans="15:20">
      <c r="O699" s="247"/>
      <c r="P699"/>
      <c r="Q699" s="224"/>
      <c r="S699" s="202"/>
      <c r="T699"/>
    </row>
    <row r="700" spans="15:20">
      <c r="O700" s="247"/>
      <c r="P700"/>
      <c r="Q700" s="224"/>
      <c r="S700" s="202"/>
      <c r="T700"/>
    </row>
    <row r="701" spans="15:20">
      <c r="O701" s="247"/>
      <c r="P701"/>
      <c r="Q701" s="224"/>
      <c r="S701" s="202"/>
      <c r="T701"/>
    </row>
    <row r="702" spans="15:20">
      <c r="O702" s="247"/>
      <c r="P702"/>
      <c r="Q702" s="224"/>
      <c r="S702" s="202"/>
      <c r="T702"/>
    </row>
    <row r="703" spans="15:20">
      <c r="O703" s="247"/>
      <c r="P703"/>
      <c r="Q703" s="224"/>
      <c r="S703" s="202"/>
      <c r="T703"/>
    </row>
    <row r="704" spans="15:20">
      <c r="O704" s="247"/>
      <c r="P704"/>
      <c r="Q704" s="224"/>
      <c r="S704" s="202"/>
      <c r="T704"/>
    </row>
    <row r="705" spans="15:20">
      <c r="O705" s="247"/>
      <c r="P705"/>
      <c r="Q705" s="224"/>
      <c r="S705" s="202"/>
      <c r="T705"/>
    </row>
    <row r="706" spans="15:20">
      <c r="O706" s="247"/>
      <c r="P706"/>
      <c r="Q706" s="224"/>
      <c r="S706" s="202"/>
      <c r="T706"/>
    </row>
    <row r="707" spans="15:20">
      <c r="O707" s="247"/>
      <c r="P707"/>
      <c r="Q707" s="224"/>
      <c r="S707" s="202"/>
      <c r="T707"/>
    </row>
    <row r="708" spans="15:20">
      <c r="O708" s="247"/>
      <c r="P708"/>
      <c r="Q708" s="224"/>
      <c r="S708" s="202"/>
      <c r="T708"/>
    </row>
    <row r="709" spans="15:20">
      <c r="O709" s="247"/>
      <c r="P709"/>
      <c r="Q709" s="224"/>
      <c r="S709" s="202"/>
      <c r="T709"/>
    </row>
    <row r="710" spans="15:20">
      <c r="O710" s="247"/>
      <c r="P710"/>
      <c r="Q710" s="224"/>
      <c r="S710" s="202"/>
      <c r="T710"/>
    </row>
    <row r="711" spans="15:20">
      <c r="O711" s="247"/>
      <c r="P711"/>
      <c r="Q711" s="224"/>
      <c r="S711" s="202"/>
      <c r="T711"/>
    </row>
    <row r="712" spans="15:20">
      <c r="O712" s="247"/>
      <c r="P712"/>
      <c r="Q712" s="224"/>
      <c r="S712" s="202"/>
      <c r="T712"/>
    </row>
    <row r="713" spans="15:20">
      <c r="O713" s="247"/>
      <c r="P713"/>
      <c r="Q713" s="224"/>
      <c r="S713" s="202"/>
      <c r="T713"/>
    </row>
    <row r="714" spans="15:20">
      <c r="O714" s="247"/>
      <c r="P714"/>
      <c r="Q714" s="224"/>
      <c r="S714" s="202"/>
      <c r="T714"/>
    </row>
    <row r="715" spans="15:20">
      <c r="O715" s="247"/>
      <c r="P715"/>
      <c r="Q715" s="224"/>
      <c r="S715" s="202"/>
      <c r="T715"/>
    </row>
    <row r="716" spans="15:20">
      <c r="O716" s="247"/>
      <c r="P716"/>
      <c r="Q716" s="224"/>
      <c r="S716" s="202"/>
      <c r="T716"/>
    </row>
    <row r="717" spans="15:20">
      <c r="O717" s="247"/>
      <c r="P717"/>
      <c r="Q717" s="224"/>
      <c r="S717" s="202"/>
      <c r="T717"/>
    </row>
    <row r="718" spans="15:20">
      <c r="O718" s="247"/>
      <c r="P718"/>
      <c r="Q718" s="224"/>
      <c r="S718" s="202"/>
      <c r="T718"/>
    </row>
    <row r="719" spans="15:20">
      <c r="O719" s="247"/>
      <c r="P719"/>
      <c r="Q719" s="224"/>
      <c r="S719" s="202"/>
      <c r="T719"/>
    </row>
    <row r="720" spans="15:20">
      <c r="O720" s="247"/>
      <c r="P720"/>
      <c r="Q720" s="224"/>
      <c r="S720" s="202"/>
      <c r="T720"/>
    </row>
    <row r="721" spans="15:20">
      <c r="O721" s="247"/>
      <c r="P721"/>
      <c r="Q721" s="224"/>
      <c r="S721" s="202"/>
      <c r="T721"/>
    </row>
    <row r="722" spans="15:20">
      <c r="O722" s="247"/>
      <c r="P722"/>
      <c r="Q722" s="224"/>
      <c r="S722" s="202"/>
      <c r="T722"/>
    </row>
    <row r="723" spans="15:20">
      <c r="O723" s="247"/>
      <c r="P723"/>
      <c r="Q723" s="224"/>
      <c r="S723" s="202"/>
      <c r="T723"/>
    </row>
    <row r="724" spans="15:20">
      <c r="O724" s="247"/>
      <c r="P724"/>
      <c r="Q724" s="224"/>
      <c r="S724" s="202"/>
      <c r="T724"/>
    </row>
    <row r="725" spans="15:20">
      <c r="O725" s="247"/>
      <c r="P725"/>
      <c r="Q725" s="224"/>
      <c r="S725" s="202"/>
      <c r="T725"/>
    </row>
    <row r="726" spans="15:20">
      <c r="O726" s="247"/>
      <c r="P726"/>
      <c r="Q726" s="224"/>
      <c r="S726" s="202"/>
      <c r="T726"/>
    </row>
    <row r="727" spans="15:20">
      <c r="O727" s="247"/>
      <c r="P727"/>
      <c r="Q727" s="224"/>
      <c r="S727" s="202"/>
      <c r="T727"/>
    </row>
    <row r="728" spans="15:20">
      <c r="O728" s="247"/>
      <c r="P728"/>
      <c r="Q728" s="224"/>
      <c r="S728" s="202"/>
      <c r="T728"/>
    </row>
    <row r="729" spans="15:20">
      <c r="O729" s="247"/>
      <c r="P729"/>
      <c r="Q729" s="224"/>
      <c r="S729" s="202"/>
      <c r="T729"/>
    </row>
    <row r="730" spans="15:20">
      <c r="O730" s="247"/>
      <c r="P730"/>
      <c r="Q730" s="224"/>
      <c r="S730" s="202"/>
      <c r="T730"/>
    </row>
    <row r="731" spans="15:20">
      <c r="O731" s="247"/>
      <c r="P731"/>
      <c r="Q731" s="224"/>
      <c r="S731" s="202"/>
      <c r="T731"/>
    </row>
    <row r="732" spans="15:20">
      <c r="O732" s="247"/>
      <c r="P732"/>
      <c r="Q732" s="224"/>
      <c r="S732" s="202"/>
      <c r="T732"/>
    </row>
    <row r="733" spans="15:20">
      <c r="O733" s="247"/>
      <c r="P733"/>
      <c r="Q733" s="224"/>
      <c r="S733" s="202"/>
      <c r="T733"/>
    </row>
    <row r="734" spans="15:20">
      <c r="O734" s="247"/>
      <c r="P734"/>
      <c r="Q734" s="224"/>
      <c r="S734" s="202"/>
      <c r="T734"/>
    </row>
    <row r="735" spans="15:20">
      <c r="O735" s="247"/>
      <c r="P735"/>
      <c r="Q735" s="224"/>
      <c r="S735" s="202"/>
      <c r="T735"/>
    </row>
    <row r="736" spans="15:20">
      <c r="O736" s="247"/>
      <c r="P736"/>
      <c r="Q736" s="224"/>
      <c r="S736" s="202"/>
      <c r="T736"/>
    </row>
    <row r="737" spans="15:20">
      <c r="O737" s="247"/>
      <c r="P737"/>
      <c r="Q737" s="224"/>
      <c r="S737" s="202"/>
      <c r="T737"/>
    </row>
    <row r="738" spans="15:20">
      <c r="O738" s="247"/>
      <c r="P738"/>
      <c r="Q738" s="224"/>
      <c r="S738" s="202"/>
      <c r="T738"/>
    </row>
    <row r="739" spans="15:20">
      <c r="O739" s="247"/>
      <c r="P739"/>
      <c r="Q739" s="224"/>
      <c r="S739" s="202"/>
      <c r="T739"/>
    </row>
    <row r="740" spans="15:20">
      <c r="O740" s="247"/>
      <c r="P740"/>
      <c r="Q740" s="224"/>
      <c r="S740" s="202"/>
      <c r="T740"/>
    </row>
    <row r="741" spans="15:20">
      <c r="O741" s="247"/>
      <c r="P741"/>
      <c r="Q741" s="224"/>
      <c r="S741" s="202"/>
      <c r="T741"/>
    </row>
    <row r="742" spans="15:20">
      <c r="O742" s="247"/>
      <c r="P742"/>
      <c r="Q742" s="224"/>
      <c r="S742" s="202"/>
      <c r="T742"/>
    </row>
    <row r="743" spans="15:20">
      <c r="O743" s="247"/>
      <c r="P743"/>
      <c r="Q743" s="224"/>
      <c r="S743" s="202"/>
      <c r="T743"/>
    </row>
    <row r="744" spans="15:20">
      <c r="O744" s="247"/>
      <c r="P744"/>
      <c r="Q744" s="224"/>
      <c r="S744" s="202"/>
      <c r="T744"/>
    </row>
    <row r="745" spans="15:20">
      <c r="O745" s="247"/>
      <c r="P745"/>
      <c r="Q745" s="224"/>
      <c r="S745" s="202"/>
      <c r="T745"/>
    </row>
    <row r="746" spans="15:20">
      <c r="O746" s="247"/>
      <c r="P746"/>
      <c r="Q746" s="224"/>
      <c r="S746" s="202"/>
      <c r="T746"/>
    </row>
    <row r="747" spans="15:20">
      <c r="O747" s="247"/>
      <c r="P747"/>
      <c r="Q747" s="224"/>
      <c r="S747" s="202"/>
      <c r="T747"/>
    </row>
    <row r="748" spans="15:20">
      <c r="O748" s="247"/>
      <c r="P748"/>
      <c r="Q748" s="224"/>
      <c r="S748" s="202"/>
      <c r="T748"/>
    </row>
    <row r="749" spans="15:20">
      <c r="O749" s="247"/>
      <c r="P749"/>
      <c r="Q749" s="224"/>
      <c r="S749" s="202"/>
      <c r="T749"/>
    </row>
    <row r="750" spans="15:20">
      <c r="O750" s="247"/>
      <c r="P750"/>
      <c r="Q750" s="224"/>
      <c r="S750" s="202"/>
      <c r="T750"/>
    </row>
    <row r="751" spans="15:20">
      <c r="O751" s="247"/>
      <c r="P751"/>
      <c r="Q751" s="224"/>
      <c r="S751" s="202"/>
      <c r="T751"/>
    </row>
    <row r="752" spans="15:20">
      <c r="O752" s="247"/>
      <c r="P752"/>
      <c r="Q752" s="224"/>
      <c r="S752" s="202"/>
      <c r="T752"/>
    </row>
    <row r="753" spans="15:20">
      <c r="O753" s="247"/>
      <c r="P753"/>
      <c r="Q753" s="224"/>
      <c r="S753" s="202"/>
      <c r="T753"/>
    </row>
    <row r="754" spans="15:20">
      <c r="O754" s="247"/>
      <c r="P754"/>
      <c r="Q754" s="224"/>
      <c r="S754" s="202"/>
      <c r="T754"/>
    </row>
    <row r="755" spans="15:20">
      <c r="O755" s="247"/>
      <c r="P755"/>
      <c r="Q755" s="224"/>
      <c r="S755" s="202"/>
      <c r="T755"/>
    </row>
    <row r="756" spans="15:20">
      <c r="O756" s="247"/>
      <c r="P756"/>
      <c r="Q756" s="224"/>
      <c r="S756" s="202"/>
      <c r="T756"/>
    </row>
    <row r="757" spans="15:20">
      <c r="O757" s="247"/>
      <c r="P757"/>
      <c r="Q757" s="224"/>
      <c r="S757" s="202"/>
      <c r="T757"/>
    </row>
    <row r="758" spans="15:20">
      <c r="O758" s="247"/>
      <c r="P758"/>
      <c r="Q758" s="224"/>
      <c r="S758" s="202"/>
      <c r="T758"/>
    </row>
    <row r="759" spans="15:20">
      <c r="O759" s="247"/>
      <c r="P759"/>
      <c r="Q759" s="224"/>
      <c r="S759" s="202"/>
      <c r="T759"/>
    </row>
    <row r="760" spans="15:20">
      <c r="O760" s="247"/>
      <c r="P760"/>
      <c r="Q760" s="224"/>
      <c r="S760" s="202"/>
      <c r="T760"/>
    </row>
    <row r="761" spans="15:20">
      <c r="O761" s="247"/>
      <c r="P761"/>
      <c r="Q761" s="224"/>
      <c r="S761" s="202"/>
      <c r="T761"/>
    </row>
    <row r="762" spans="15:20">
      <c r="O762" s="247"/>
      <c r="P762"/>
      <c r="Q762" s="224"/>
      <c r="S762" s="202"/>
      <c r="T762"/>
    </row>
    <row r="763" spans="15:20">
      <c r="O763" s="247"/>
      <c r="P763"/>
      <c r="Q763" s="224"/>
      <c r="S763" s="202"/>
      <c r="T763"/>
    </row>
    <row r="764" spans="15:20">
      <c r="O764" s="247"/>
      <c r="P764"/>
      <c r="Q764" s="224"/>
      <c r="S764" s="202"/>
      <c r="T764"/>
    </row>
    <row r="765" spans="15:20">
      <c r="O765" s="247"/>
      <c r="P765"/>
      <c r="Q765" s="224"/>
      <c r="S765" s="202"/>
      <c r="T765"/>
    </row>
    <row r="766" spans="15:20">
      <c r="O766" s="247"/>
      <c r="P766"/>
      <c r="Q766" s="224"/>
      <c r="S766" s="202"/>
      <c r="T766"/>
    </row>
    <row r="767" spans="15:20">
      <c r="O767" s="247"/>
      <c r="P767"/>
      <c r="Q767" s="224"/>
      <c r="S767" s="202"/>
      <c r="T767"/>
    </row>
    <row r="768" spans="15:20">
      <c r="O768" s="247"/>
      <c r="P768"/>
      <c r="Q768" s="224"/>
      <c r="S768" s="202"/>
      <c r="T768"/>
    </row>
    <row r="769" spans="15:20">
      <c r="O769" s="247"/>
      <c r="P769"/>
      <c r="Q769" s="224"/>
      <c r="S769" s="202"/>
      <c r="T769"/>
    </row>
    <row r="770" spans="15:20">
      <c r="O770" s="247"/>
      <c r="P770"/>
      <c r="Q770" s="224"/>
      <c r="S770" s="202"/>
      <c r="T770"/>
    </row>
    <row r="771" spans="15:20">
      <c r="O771" s="247"/>
      <c r="P771"/>
      <c r="Q771" s="224"/>
      <c r="S771" s="202"/>
      <c r="T771"/>
    </row>
    <row r="772" spans="15:20">
      <c r="O772" s="247"/>
      <c r="P772"/>
      <c r="Q772" s="224"/>
      <c r="S772" s="202"/>
      <c r="T772"/>
    </row>
    <row r="773" spans="15:20">
      <c r="O773" s="247"/>
      <c r="P773"/>
      <c r="Q773" s="224"/>
      <c r="S773" s="202"/>
      <c r="T773"/>
    </row>
    <row r="774" spans="15:20">
      <c r="O774" s="247"/>
      <c r="P774"/>
      <c r="Q774" s="224"/>
      <c r="S774" s="202"/>
      <c r="T774"/>
    </row>
    <row r="775" spans="15:20">
      <c r="O775" s="247"/>
      <c r="P775"/>
      <c r="Q775" s="224"/>
      <c r="S775" s="202"/>
      <c r="T775"/>
    </row>
    <row r="776" spans="15:20">
      <c r="O776" s="247"/>
      <c r="P776"/>
      <c r="Q776" s="224"/>
      <c r="S776" s="202"/>
      <c r="T776"/>
    </row>
    <row r="777" spans="15:20">
      <c r="O777" s="247"/>
      <c r="P777"/>
      <c r="Q777" s="224"/>
      <c r="S777" s="202"/>
      <c r="T777"/>
    </row>
    <row r="778" spans="15:20">
      <c r="O778" s="247"/>
      <c r="P778"/>
      <c r="Q778" s="224"/>
      <c r="S778" s="202"/>
      <c r="T778"/>
    </row>
    <row r="779" spans="15:20">
      <c r="O779" s="247"/>
      <c r="P779"/>
      <c r="Q779" s="224"/>
      <c r="S779" s="202"/>
      <c r="T779"/>
    </row>
    <row r="780" spans="15:20">
      <c r="O780" s="247"/>
      <c r="P780"/>
      <c r="Q780" s="224"/>
      <c r="S780" s="202"/>
      <c r="T780"/>
    </row>
    <row r="781" spans="15:20">
      <c r="O781" s="247"/>
      <c r="P781"/>
      <c r="Q781" s="224"/>
      <c r="S781" s="202"/>
      <c r="T781"/>
    </row>
    <row r="782" spans="15:20">
      <c r="O782" s="247"/>
      <c r="P782"/>
      <c r="Q782" s="224"/>
      <c r="S782" s="202"/>
      <c r="T782"/>
    </row>
    <row r="783" spans="15:20">
      <c r="O783" s="247"/>
      <c r="P783"/>
      <c r="Q783" s="224"/>
      <c r="S783" s="202"/>
      <c r="T783"/>
    </row>
    <row r="784" spans="15:20">
      <c r="O784" s="247"/>
      <c r="P784"/>
      <c r="Q784" s="224"/>
      <c r="S784" s="202"/>
      <c r="T784"/>
    </row>
    <row r="785" spans="15:20">
      <c r="O785" s="247"/>
      <c r="P785"/>
      <c r="Q785" s="224"/>
      <c r="S785" s="202"/>
      <c r="T785"/>
    </row>
    <row r="786" spans="15:20">
      <c r="O786" s="247"/>
      <c r="P786"/>
      <c r="Q786" s="224"/>
      <c r="S786" s="202"/>
      <c r="T786"/>
    </row>
    <row r="787" spans="15:20">
      <c r="O787" s="247"/>
      <c r="P787"/>
      <c r="Q787" s="224"/>
      <c r="S787" s="202"/>
      <c r="T787"/>
    </row>
    <row r="788" spans="15:20">
      <c r="O788" s="247"/>
      <c r="P788"/>
      <c r="Q788" s="224"/>
      <c r="S788" s="202"/>
      <c r="T788"/>
    </row>
    <row r="789" spans="15:20">
      <c r="O789" s="247"/>
      <c r="P789"/>
      <c r="Q789" s="224"/>
      <c r="S789" s="202"/>
      <c r="T789"/>
    </row>
    <row r="790" spans="15:20">
      <c r="O790" s="247"/>
      <c r="P790"/>
      <c r="Q790" s="224"/>
      <c r="S790" s="202"/>
      <c r="T790"/>
    </row>
    <row r="791" spans="15:20">
      <c r="O791" s="247"/>
      <c r="P791"/>
      <c r="Q791" s="224"/>
      <c r="S791" s="202"/>
      <c r="T791"/>
    </row>
    <row r="792" spans="15:20">
      <c r="O792" s="247"/>
      <c r="P792"/>
      <c r="Q792" s="224"/>
      <c r="S792" s="202"/>
      <c r="T792"/>
    </row>
    <row r="793" spans="15:20">
      <c r="O793" s="247"/>
      <c r="P793"/>
      <c r="Q793" s="224"/>
      <c r="S793" s="202"/>
      <c r="T793"/>
    </row>
    <row r="794" spans="15:20">
      <c r="O794" s="247"/>
      <c r="P794"/>
      <c r="Q794" s="224"/>
      <c r="S794" s="202"/>
      <c r="T794"/>
    </row>
    <row r="795" spans="15:20">
      <c r="O795" s="247"/>
      <c r="P795"/>
      <c r="Q795" s="224"/>
      <c r="S795" s="202"/>
      <c r="T795"/>
    </row>
    <row r="796" spans="15:20">
      <c r="O796" s="247"/>
      <c r="P796"/>
      <c r="Q796" s="224"/>
      <c r="S796" s="202"/>
      <c r="T796"/>
    </row>
    <row r="797" spans="15:20">
      <c r="O797" s="247"/>
      <c r="P797"/>
      <c r="Q797" s="224"/>
      <c r="S797" s="202"/>
      <c r="T797"/>
    </row>
    <row r="798" spans="15:20">
      <c r="O798" s="247"/>
      <c r="P798"/>
      <c r="Q798" s="224"/>
      <c r="S798" s="202"/>
      <c r="T798"/>
    </row>
    <row r="799" spans="15:20">
      <c r="O799" s="247"/>
      <c r="P799"/>
      <c r="Q799" s="224"/>
      <c r="S799" s="202"/>
      <c r="T799"/>
    </row>
    <row r="800" spans="15:20">
      <c r="O800" s="247"/>
      <c r="P800"/>
      <c r="Q800" s="224"/>
      <c r="S800" s="202"/>
      <c r="T800"/>
    </row>
    <row r="801" spans="15:20">
      <c r="O801" s="247"/>
      <c r="P801"/>
      <c r="Q801" s="224"/>
      <c r="S801" s="202"/>
      <c r="T801"/>
    </row>
    <row r="802" spans="15:20">
      <c r="O802" s="247"/>
      <c r="P802"/>
      <c r="Q802" s="224"/>
      <c r="S802" s="202"/>
      <c r="T802"/>
    </row>
    <row r="803" spans="15:20">
      <c r="O803" s="247"/>
      <c r="P803"/>
      <c r="Q803" s="224"/>
      <c r="S803" s="202"/>
      <c r="T803"/>
    </row>
    <row r="804" spans="15:20">
      <c r="O804" s="247"/>
      <c r="P804"/>
      <c r="Q804" s="224"/>
      <c r="S804" s="202"/>
      <c r="T804"/>
    </row>
    <row r="805" spans="15:20">
      <c r="O805" s="247"/>
      <c r="P805"/>
      <c r="Q805" s="224"/>
      <c r="S805" s="202"/>
      <c r="T805"/>
    </row>
    <row r="806" spans="15:20">
      <c r="O806" s="247"/>
      <c r="P806"/>
      <c r="Q806" s="224"/>
      <c r="S806" s="202"/>
      <c r="T806"/>
    </row>
    <row r="807" spans="15:20">
      <c r="O807" s="247"/>
      <c r="P807"/>
      <c r="Q807" s="224"/>
      <c r="S807" s="202"/>
      <c r="T807"/>
    </row>
    <row r="808" spans="15:20">
      <c r="O808" s="247"/>
      <c r="P808"/>
      <c r="Q808" s="224"/>
      <c r="S808" s="202"/>
      <c r="T808"/>
    </row>
    <row r="809" spans="15:20">
      <c r="O809" s="247"/>
      <c r="P809"/>
      <c r="Q809" s="224"/>
      <c r="S809" s="202"/>
      <c r="T809"/>
    </row>
    <row r="810" spans="15:20">
      <c r="O810" s="247"/>
      <c r="P810"/>
      <c r="Q810" s="224"/>
      <c r="S810" s="202"/>
      <c r="T810"/>
    </row>
    <row r="811" spans="15:20">
      <c r="O811" s="247"/>
      <c r="P811"/>
      <c r="Q811" s="224"/>
      <c r="S811" s="202"/>
      <c r="T811"/>
    </row>
    <row r="812" spans="15:20">
      <c r="O812" s="247"/>
      <c r="P812"/>
      <c r="Q812" s="224"/>
      <c r="S812" s="202"/>
      <c r="T812"/>
    </row>
    <row r="813" spans="15:20">
      <c r="O813" s="247"/>
      <c r="P813"/>
      <c r="Q813" s="224"/>
      <c r="S813" s="202"/>
      <c r="T813"/>
    </row>
    <row r="814" spans="15:20">
      <c r="O814" s="247"/>
      <c r="P814"/>
      <c r="Q814" s="224"/>
      <c r="S814" s="202"/>
      <c r="T814"/>
    </row>
    <row r="815" spans="15:20">
      <c r="O815" s="247"/>
      <c r="P815"/>
      <c r="Q815" s="224"/>
      <c r="S815" s="202"/>
      <c r="T815"/>
    </row>
    <row r="816" spans="15:20">
      <c r="O816" s="247"/>
      <c r="P816"/>
      <c r="Q816" s="224"/>
      <c r="S816" s="202"/>
      <c r="T816"/>
    </row>
    <row r="817" spans="15:20">
      <c r="O817" s="247"/>
      <c r="P817"/>
      <c r="Q817" s="224"/>
      <c r="S817" s="202"/>
      <c r="T817"/>
    </row>
    <row r="818" spans="15:20">
      <c r="O818" s="247"/>
      <c r="P818"/>
      <c r="Q818" s="224"/>
      <c r="S818" s="202"/>
      <c r="T818"/>
    </row>
    <row r="819" spans="15:20">
      <c r="O819" s="247"/>
      <c r="P819"/>
      <c r="Q819" s="224"/>
      <c r="S819" s="202"/>
      <c r="T819"/>
    </row>
    <row r="820" spans="15:20">
      <c r="O820" s="247"/>
      <c r="P820"/>
      <c r="Q820" s="224"/>
      <c r="S820" s="202"/>
      <c r="T820"/>
    </row>
    <row r="821" spans="15:20">
      <c r="O821" s="247"/>
      <c r="P821"/>
      <c r="Q821" s="224"/>
      <c r="S821" s="202"/>
      <c r="T821"/>
    </row>
    <row r="822" spans="15:20">
      <c r="O822" s="247"/>
      <c r="P822"/>
      <c r="Q822" s="224"/>
      <c r="S822" s="202"/>
      <c r="T822"/>
    </row>
    <row r="823" spans="15:20">
      <c r="O823" s="247"/>
      <c r="P823"/>
      <c r="Q823" s="224"/>
      <c r="S823" s="202"/>
      <c r="T823"/>
    </row>
    <row r="824" spans="15:20">
      <c r="O824" s="247"/>
      <c r="P824"/>
      <c r="Q824" s="224"/>
      <c r="S824" s="202"/>
      <c r="T824"/>
    </row>
    <row r="825" spans="15:20">
      <c r="O825" s="247"/>
      <c r="P825"/>
      <c r="Q825" s="224"/>
      <c r="S825" s="202"/>
      <c r="T825"/>
    </row>
    <row r="826" spans="15:20">
      <c r="O826" s="247"/>
      <c r="P826"/>
      <c r="Q826" s="224"/>
      <c r="S826" s="202"/>
      <c r="T826"/>
    </row>
    <row r="827" spans="15:20">
      <c r="O827" s="247"/>
      <c r="P827"/>
      <c r="Q827" s="224"/>
      <c r="S827" s="202"/>
      <c r="T827"/>
    </row>
    <row r="828" spans="15:20">
      <c r="O828" s="247"/>
      <c r="P828"/>
      <c r="Q828" s="224"/>
      <c r="S828" s="202"/>
      <c r="T828"/>
    </row>
    <row r="829" spans="15:20">
      <c r="O829" s="247"/>
      <c r="P829"/>
      <c r="Q829" s="224"/>
      <c r="S829" s="202"/>
      <c r="T829"/>
    </row>
    <row r="830" spans="15:20">
      <c r="O830" s="247"/>
      <c r="P830"/>
      <c r="Q830" s="224"/>
      <c r="S830" s="202"/>
      <c r="T830"/>
    </row>
    <row r="831" spans="15:20">
      <c r="O831" s="247"/>
      <c r="P831"/>
      <c r="Q831" s="224"/>
      <c r="S831" s="202"/>
      <c r="T831"/>
    </row>
    <row r="832" spans="15:20">
      <c r="O832" s="247"/>
      <c r="P832"/>
      <c r="Q832" s="224"/>
      <c r="S832" s="202"/>
      <c r="T832"/>
    </row>
    <row r="833" spans="15:20">
      <c r="O833" s="247"/>
      <c r="P833"/>
      <c r="Q833" s="224"/>
      <c r="S833" s="202"/>
      <c r="T833"/>
    </row>
    <row r="834" spans="15:20">
      <c r="O834" s="247"/>
      <c r="P834"/>
      <c r="Q834" s="224"/>
      <c r="S834" s="202"/>
      <c r="T834"/>
    </row>
    <row r="835" spans="15:20">
      <c r="O835" s="247"/>
      <c r="P835"/>
      <c r="Q835" s="224"/>
      <c r="S835" s="202"/>
      <c r="T835"/>
    </row>
    <row r="836" spans="15:20">
      <c r="O836" s="247"/>
      <c r="P836"/>
      <c r="Q836" s="224"/>
      <c r="S836" s="202"/>
      <c r="T836"/>
    </row>
    <row r="837" spans="15:20">
      <c r="O837" s="247"/>
      <c r="P837"/>
      <c r="Q837" s="224"/>
      <c r="S837" s="202"/>
      <c r="T837"/>
    </row>
    <row r="838" spans="15:20">
      <c r="O838" s="247"/>
      <c r="P838"/>
      <c r="Q838" s="224"/>
      <c r="S838" s="202"/>
      <c r="T838"/>
    </row>
    <row r="839" spans="15:20">
      <c r="O839" s="247"/>
      <c r="P839"/>
      <c r="Q839" s="224"/>
      <c r="S839" s="202"/>
      <c r="T839"/>
    </row>
    <row r="840" spans="15:20">
      <c r="O840" s="247"/>
      <c r="P840"/>
      <c r="Q840" s="224"/>
      <c r="S840" s="202"/>
      <c r="T840"/>
    </row>
    <row r="841" spans="15:20">
      <c r="O841" s="247"/>
      <c r="P841"/>
      <c r="Q841" s="224"/>
      <c r="S841" s="202"/>
      <c r="T841"/>
    </row>
    <row r="842" spans="15:20">
      <c r="O842" s="247"/>
      <c r="P842"/>
      <c r="Q842" s="224"/>
      <c r="S842" s="202"/>
      <c r="T842"/>
    </row>
    <row r="843" spans="15:20">
      <c r="O843" s="247"/>
      <c r="P843"/>
      <c r="Q843" s="224"/>
      <c r="S843" s="202"/>
      <c r="T843"/>
    </row>
    <row r="844" spans="15:20">
      <c r="O844" s="247"/>
      <c r="P844"/>
      <c r="Q844" s="224"/>
      <c r="S844" s="202"/>
      <c r="T844"/>
    </row>
    <row r="845" spans="15:20">
      <c r="O845" s="247"/>
      <c r="P845"/>
      <c r="Q845" s="224"/>
      <c r="S845" s="202"/>
      <c r="T845"/>
    </row>
    <row r="846" spans="15:20">
      <c r="O846" s="247"/>
      <c r="P846"/>
      <c r="Q846" s="224"/>
      <c r="S846" s="202"/>
      <c r="T846"/>
    </row>
    <row r="847" spans="15:20">
      <c r="O847" s="247"/>
      <c r="P847"/>
      <c r="Q847" s="224"/>
      <c r="S847" s="202"/>
      <c r="T847"/>
    </row>
    <row r="848" spans="15:20">
      <c r="O848" s="247"/>
      <c r="P848"/>
      <c r="Q848" s="224"/>
      <c r="S848" s="202"/>
      <c r="T848"/>
    </row>
    <row r="849" spans="15:20">
      <c r="O849" s="247"/>
      <c r="P849"/>
      <c r="Q849" s="224"/>
      <c r="S849" s="202"/>
      <c r="T849"/>
    </row>
    <row r="850" spans="15:20">
      <c r="O850" s="247"/>
      <c r="P850"/>
      <c r="Q850" s="224"/>
      <c r="S850" s="202"/>
      <c r="T850"/>
    </row>
    <row r="851" spans="15:20">
      <c r="O851" s="247"/>
      <c r="P851"/>
      <c r="Q851" s="224"/>
      <c r="S851" s="202"/>
      <c r="T851"/>
    </row>
    <row r="852" spans="15:20">
      <c r="O852" s="247"/>
      <c r="P852"/>
      <c r="Q852" s="224"/>
      <c r="S852" s="202"/>
      <c r="T852"/>
    </row>
    <row r="853" spans="15:20">
      <c r="O853" s="247"/>
      <c r="P853"/>
      <c r="Q853" s="224"/>
      <c r="S853" s="202"/>
      <c r="T853"/>
    </row>
    <row r="854" spans="15:20">
      <c r="O854" s="247"/>
      <c r="P854"/>
      <c r="Q854" s="224"/>
      <c r="S854" s="202"/>
      <c r="T854"/>
    </row>
    <row r="855" spans="15:20">
      <c r="O855" s="247"/>
      <c r="P855"/>
      <c r="Q855" s="224"/>
      <c r="S855" s="202"/>
      <c r="T855"/>
    </row>
    <row r="856" spans="15:20">
      <c r="O856" s="247"/>
      <c r="P856"/>
      <c r="Q856" s="224"/>
      <c r="S856" s="202"/>
      <c r="T856"/>
    </row>
    <row r="857" spans="15:20">
      <c r="O857" s="247"/>
      <c r="P857"/>
      <c r="Q857" s="224"/>
      <c r="S857" s="202"/>
      <c r="T857"/>
    </row>
    <row r="858" spans="15:20">
      <c r="O858" s="247"/>
      <c r="P858"/>
      <c r="Q858" s="224"/>
      <c r="S858" s="202"/>
      <c r="T858"/>
    </row>
    <row r="859" spans="15:20">
      <c r="O859" s="247"/>
      <c r="P859"/>
      <c r="Q859" s="224"/>
      <c r="S859" s="202"/>
      <c r="T859"/>
    </row>
    <row r="860" spans="15:20">
      <c r="O860" s="247"/>
      <c r="P860"/>
      <c r="Q860" s="224"/>
      <c r="S860" s="202"/>
      <c r="T860"/>
    </row>
    <row r="861" spans="15:20">
      <c r="O861" s="247"/>
      <c r="P861"/>
      <c r="Q861" s="224"/>
      <c r="S861" s="202"/>
      <c r="T861"/>
    </row>
    <row r="862" spans="15:20">
      <c r="O862" s="247"/>
      <c r="P862"/>
      <c r="Q862" s="224"/>
      <c r="S862" s="202"/>
      <c r="T862"/>
    </row>
    <row r="863" spans="15:20">
      <c r="O863" s="247"/>
      <c r="P863"/>
      <c r="Q863" s="224"/>
      <c r="S863" s="202"/>
      <c r="T863"/>
    </row>
    <row r="864" spans="15:20">
      <c r="O864" s="247"/>
      <c r="P864"/>
      <c r="Q864" s="224"/>
      <c r="S864" s="202"/>
      <c r="T864"/>
    </row>
    <row r="865" spans="15:20">
      <c r="O865" s="247"/>
      <c r="P865"/>
      <c r="Q865" s="224"/>
      <c r="S865" s="202"/>
      <c r="T865"/>
    </row>
    <row r="866" spans="15:20">
      <c r="O866" s="247"/>
      <c r="P866"/>
      <c r="Q866" s="224"/>
      <c r="S866" s="202"/>
      <c r="T866"/>
    </row>
    <row r="867" spans="15:20">
      <c r="O867" s="247"/>
      <c r="P867"/>
      <c r="Q867" s="224"/>
      <c r="S867" s="202"/>
      <c r="T867"/>
    </row>
    <row r="868" spans="15:20">
      <c r="O868" s="247"/>
      <c r="P868"/>
      <c r="Q868" s="224"/>
      <c r="S868" s="202"/>
      <c r="T868"/>
    </row>
    <row r="869" spans="15:20">
      <c r="O869" s="247"/>
      <c r="P869"/>
      <c r="Q869" s="224"/>
      <c r="S869" s="202"/>
      <c r="T869"/>
    </row>
    <row r="870" spans="15:20">
      <c r="O870" s="247"/>
      <c r="P870"/>
      <c r="Q870" s="224"/>
      <c r="S870" s="202"/>
      <c r="T870"/>
    </row>
    <row r="871" spans="15:20">
      <c r="O871" s="247"/>
      <c r="P871"/>
      <c r="Q871" s="224"/>
      <c r="S871" s="202"/>
      <c r="T871"/>
    </row>
    <row r="872" spans="15:20">
      <c r="O872" s="247"/>
      <c r="P872"/>
      <c r="Q872" s="224"/>
      <c r="S872" s="202"/>
      <c r="T872"/>
    </row>
    <row r="873" spans="15:20">
      <c r="O873" s="247"/>
      <c r="P873"/>
      <c r="Q873" s="224"/>
      <c r="S873" s="202"/>
      <c r="T873"/>
    </row>
    <row r="874" spans="15:20">
      <c r="O874" s="247"/>
      <c r="P874"/>
      <c r="Q874" s="224"/>
      <c r="S874" s="202"/>
      <c r="T874"/>
    </row>
    <row r="875" spans="15:20">
      <c r="O875" s="247"/>
      <c r="P875"/>
      <c r="Q875" s="224"/>
      <c r="S875" s="202"/>
      <c r="T875"/>
    </row>
    <row r="876" spans="15:20">
      <c r="O876" s="247"/>
      <c r="P876"/>
      <c r="Q876" s="224"/>
      <c r="S876" s="202"/>
      <c r="T876"/>
    </row>
    <row r="877" spans="15:20">
      <c r="O877" s="247"/>
      <c r="P877"/>
      <c r="Q877" s="224"/>
      <c r="S877" s="202"/>
      <c r="T877"/>
    </row>
    <row r="878" spans="15:20">
      <c r="O878" s="247"/>
      <c r="P878"/>
      <c r="Q878" s="224"/>
      <c r="S878" s="202"/>
      <c r="T878"/>
    </row>
    <row r="879" spans="15:20">
      <c r="O879" s="247"/>
      <c r="P879"/>
      <c r="Q879" s="224"/>
      <c r="S879" s="202"/>
      <c r="T879"/>
    </row>
    <row r="880" spans="15:20">
      <c r="O880" s="247"/>
      <c r="P880"/>
      <c r="Q880" s="224"/>
      <c r="S880" s="202"/>
      <c r="T880"/>
    </row>
    <row r="881" spans="15:20">
      <c r="O881" s="247"/>
      <c r="P881"/>
      <c r="Q881" s="224"/>
      <c r="S881" s="202"/>
      <c r="T881"/>
    </row>
    <row r="882" spans="15:20">
      <c r="O882" s="247"/>
      <c r="P882"/>
      <c r="Q882" s="224"/>
      <c r="S882" s="202"/>
      <c r="T882"/>
    </row>
    <row r="883" spans="15:20">
      <c r="O883" s="247"/>
      <c r="P883"/>
      <c r="Q883" s="224"/>
      <c r="S883" s="202"/>
      <c r="T883"/>
    </row>
    <row r="884" spans="15:20">
      <c r="O884" s="247"/>
      <c r="P884"/>
      <c r="Q884" s="224"/>
      <c r="S884" s="202"/>
      <c r="T884"/>
    </row>
    <row r="885" spans="15:20">
      <c r="O885" s="247"/>
      <c r="P885"/>
      <c r="Q885" s="224"/>
      <c r="S885" s="202"/>
      <c r="T885"/>
    </row>
    <row r="886" spans="15:20">
      <c r="O886" s="247"/>
      <c r="P886"/>
      <c r="Q886" s="224"/>
      <c r="S886" s="202"/>
      <c r="T886"/>
    </row>
    <row r="887" spans="15:20">
      <c r="O887" s="247"/>
      <c r="P887"/>
      <c r="Q887" s="224"/>
      <c r="S887" s="202"/>
      <c r="T887"/>
    </row>
    <row r="888" spans="15:20">
      <c r="O888" s="247"/>
      <c r="P888"/>
      <c r="Q888" s="224"/>
      <c r="S888" s="202"/>
      <c r="T888"/>
    </row>
    <row r="889" spans="15:20">
      <c r="O889" s="247"/>
      <c r="P889"/>
      <c r="Q889" s="224"/>
      <c r="S889" s="202"/>
      <c r="T889"/>
    </row>
    <row r="890" spans="15:20">
      <c r="O890" s="247"/>
      <c r="P890"/>
      <c r="Q890" s="224"/>
      <c r="S890" s="202"/>
      <c r="T890"/>
    </row>
    <row r="891" spans="15:20">
      <c r="O891" s="247"/>
      <c r="P891"/>
      <c r="Q891" s="224"/>
      <c r="S891" s="202"/>
      <c r="T891"/>
    </row>
    <row r="892" spans="15:20">
      <c r="O892" s="247"/>
      <c r="P892"/>
      <c r="Q892" s="224"/>
      <c r="S892" s="202"/>
      <c r="T892"/>
    </row>
    <row r="893" spans="15:20">
      <c r="O893" s="247"/>
      <c r="P893"/>
      <c r="Q893" s="224"/>
      <c r="S893" s="202"/>
      <c r="T893"/>
    </row>
    <row r="894" spans="15:20">
      <c r="O894" s="247"/>
      <c r="P894"/>
      <c r="Q894" s="224"/>
      <c r="S894" s="202"/>
      <c r="T894"/>
    </row>
    <row r="895" spans="15:20">
      <c r="O895" s="247"/>
      <c r="P895"/>
      <c r="Q895" s="224"/>
      <c r="S895" s="202"/>
      <c r="T895"/>
    </row>
    <row r="896" spans="15:20">
      <c r="O896" s="247"/>
      <c r="P896"/>
      <c r="Q896" s="224"/>
      <c r="S896" s="202"/>
      <c r="T896"/>
    </row>
    <row r="897" spans="15:20">
      <c r="O897" s="247"/>
      <c r="P897"/>
      <c r="Q897" s="224"/>
      <c r="S897" s="202"/>
      <c r="T897"/>
    </row>
    <row r="898" spans="15:20">
      <c r="O898" s="247"/>
      <c r="P898"/>
      <c r="Q898" s="224"/>
      <c r="S898" s="202"/>
      <c r="T898"/>
    </row>
    <row r="899" spans="15:20">
      <c r="O899" s="247"/>
      <c r="P899"/>
      <c r="Q899" s="224"/>
      <c r="S899" s="202"/>
      <c r="T899"/>
    </row>
    <row r="900" spans="15:20">
      <c r="O900" s="247"/>
      <c r="P900"/>
      <c r="Q900" s="224"/>
      <c r="S900" s="202"/>
      <c r="T900"/>
    </row>
    <row r="901" spans="15:20">
      <c r="O901" s="247"/>
      <c r="P901"/>
      <c r="Q901" s="224"/>
      <c r="S901" s="202"/>
      <c r="T901"/>
    </row>
    <row r="902" spans="15:20">
      <c r="O902" s="247"/>
      <c r="P902"/>
      <c r="Q902" s="224"/>
      <c r="S902" s="202"/>
      <c r="T902"/>
    </row>
    <row r="903" spans="15:20">
      <c r="O903" s="247"/>
      <c r="P903"/>
      <c r="Q903" s="224"/>
      <c r="S903" s="202"/>
      <c r="T903"/>
    </row>
    <row r="904" spans="15:20">
      <c r="O904" s="247"/>
      <c r="P904"/>
      <c r="Q904" s="224"/>
      <c r="S904" s="202"/>
      <c r="T904"/>
    </row>
    <row r="905" spans="15:20">
      <c r="O905" s="247"/>
      <c r="P905"/>
      <c r="Q905" s="224"/>
      <c r="S905" s="202"/>
      <c r="T905"/>
    </row>
    <row r="906" spans="15:20">
      <c r="O906" s="247"/>
      <c r="P906"/>
      <c r="Q906" s="224"/>
      <c r="S906" s="202"/>
      <c r="T906"/>
    </row>
    <row r="907" spans="15:20">
      <c r="O907" s="247"/>
      <c r="P907"/>
      <c r="Q907" s="224"/>
      <c r="S907" s="202"/>
      <c r="T907"/>
    </row>
    <row r="908" spans="15:20">
      <c r="O908" s="247"/>
      <c r="P908"/>
      <c r="Q908" s="224"/>
      <c r="S908" s="202"/>
      <c r="T908"/>
    </row>
    <row r="909" spans="15:20">
      <c r="O909" s="247"/>
      <c r="P909"/>
      <c r="Q909" s="224"/>
      <c r="S909" s="202"/>
      <c r="T909"/>
    </row>
    <row r="910" spans="15:20">
      <c r="O910" s="247"/>
      <c r="P910"/>
      <c r="Q910" s="224"/>
      <c r="S910" s="202"/>
      <c r="T910"/>
    </row>
    <row r="911" spans="15:20">
      <c r="O911" s="247"/>
      <c r="P911"/>
      <c r="Q911" s="224"/>
      <c r="S911" s="202"/>
      <c r="T911"/>
    </row>
    <row r="912" spans="15:20">
      <c r="O912" s="247"/>
      <c r="P912"/>
      <c r="Q912" s="224"/>
      <c r="S912" s="202"/>
      <c r="T912"/>
    </row>
    <row r="913" spans="15:20">
      <c r="O913" s="247"/>
      <c r="P913"/>
      <c r="Q913" s="224"/>
      <c r="S913" s="202"/>
      <c r="T913"/>
    </row>
    <row r="914" spans="15:20">
      <c r="O914" s="247"/>
      <c r="P914"/>
      <c r="Q914" s="224"/>
      <c r="S914" s="202"/>
      <c r="T914"/>
    </row>
    <row r="915" spans="15:20">
      <c r="O915" s="247"/>
      <c r="P915"/>
      <c r="Q915" s="224"/>
      <c r="S915" s="202"/>
      <c r="T915"/>
    </row>
    <row r="916" spans="15:20">
      <c r="O916" s="247"/>
      <c r="P916"/>
      <c r="Q916" s="224"/>
      <c r="S916" s="202"/>
      <c r="T916"/>
    </row>
    <row r="917" spans="15:20">
      <c r="O917" s="247"/>
      <c r="P917"/>
      <c r="Q917" s="224"/>
      <c r="S917" s="202"/>
      <c r="T917"/>
    </row>
    <row r="918" spans="15:20">
      <c r="O918" s="247"/>
      <c r="P918"/>
      <c r="Q918" s="224"/>
      <c r="S918" s="202"/>
      <c r="T918"/>
    </row>
    <row r="919" spans="15:20">
      <c r="O919" s="247"/>
      <c r="P919"/>
      <c r="Q919" s="224"/>
      <c r="S919" s="202"/>
      <c r="T919"/>
    </row>
    <row r="920" spans="15:20">
      <c r="O920" s="247"/>
      <c r="P920"/>
      <c r="Q920" s="224"/>
      <c r="S920" s="202"/>
      <c r="T920"/>
    </row>
    <row r="921" spans="15:20">
      <c r="O921" s="247"/>
      <c r="P921"/>
      <c r="Q921" s="224"/>
      <c r="S921" s="202"/>
      <c r="T921"/>
    </row>
    <row r="922" spans="15:20">
      <c r="O922" s="247"/>
      <c r="P922"/>
      <c r="Q922" s="224"/>
      <c r="S922" s="202"/>
      <c r="T922"/>
    </row>
    <row r="923" spans="15:20">
      <c r="O923" s="247"/>
      <c r="P923"/>
      <c r="Q923" s="224"/>
      <c r="S923" s="202"/>
      <c r="T923"/>
    </row>
    <row r="924" spans="15:20">
      <c r="O924" s="247"/>
      <c r="P924"/>
      <c r="Q924" s="224"/>
      <c r="S924" s="202"/>
      <c r="T924"/>
    </row>
    <row r="925" spans="15:20">
      <c r="O925" s="247"/>
      <c r="P925"/>
      <c r="Q925" s="224"/>
      <c r="S925" s="202"/>
      <c r="T925"/>
    </row>
    <row r="926" spans="15:20">
      <c r="O926" s="247"/>
      <c r="P926"/>
      <c r="Q926" s="224"/>
      <c r="S926" s="202"/>
      <c r="T926"/>
    </row>
    <row r="927" spans="15:20">
      <c r="O927" s="247"/>
      <c r="P927"/>
      <c r="Q927" s="224"/>
      <c r="S927" s="202"/>
      <c r="T927"/>
    </row>
    <row r="928" spans="15:20">
      <c r="O928" s="247"/>
      <c r="P928"/>
      <c r="Q928" s="224"/>
      <c r="S928" s="202"/>
      <c r="T928"/>
    </row>
    <row r="929" spans="15:20">
      <c r="O929" s="247"/>
      <c r="P929"/>
      <c r="Q929" s="224"/>
      <c r="S929" s="202"/>
      <c r="T929"/>
    </row>
    <row r="930" spans="15:20">
      <c r="O930" s="247"/>
      <c r="P930"/>
      <c r="Q930" s="224"/>
      <c r="S930" s="202"/>
      <c r="T930"/>
    </row>
    <row r="931" spans="15:20">
      <c r="O931" s="247"/>
      <c r="P931"/>
      <c r="Q931" s="224"/>
      <c r="S931" s="202"/>
      <c r="T931"/>
    </row>
    <row r="932" spans="15:20">
      <c r="O932" s="247"/>
      <c r="P932"/>
      <c r="Q932" s="224"/>
      <c r="S932" s="202"/>
      <c r="T932"/>
    </row>
    <row r="933" spans="15:20">
      <c r="O933" s="247"/>
      <c r="P933"/>
      <c r="Q933" s="224"/>
      <c r="S933" s="202"/>
      <c r="T933"/>
    </row>
    <row r="934" spans="15:20">
      <c r="O934" s="247"/>
      <c r="P934"/>
      <c r="Q934" s="224"/>
      <c r="S934" s="202"/>
      <c r="T934"/>
    </row>
    <row r="935" spans="15:20">
      <c r="O935" s="247"/>
      <c r="P935"/>
      <c r="Q935" s="224"/>
      <c r="S935" s="202"/>
      <c r="T935"/>
    </row>
    <row r="936" spans="15:20">
      <c r="O936" s="247"/>
      <c r="P936"/>
      <c r="Q936" s="224"/>
      <c r="S936" s="202"/>
      <c r="T936"/>
    </row>
    <row r="937" spans="15:20">
      <c r="O937" s="247"/>
      <c r="P937"/>
      <c r="Q937" s="224"/>
      <c r="S937" s="202"/>
      <c r="T937"/>
    </row>
    <row r="938" spans="15:20">
      <c r="O938" s="247"/>
      <c r="P938"/>
      <c r="Q938" s="224"/>
      <c r="S938" s="202"/>
      <c r="T938"/>
    </row>
    <row r="939" spans="15:20">
      <c r="O939" s="247"/>
      <c r="P939"/>
      <c r="Q939" s="224"/>
      <c r="S939" s="202"/>
      <c r="T939"/>
    </row>
    <row r="940" spans="15:20">
      <c r="O940" s="247"/>
      <c r="P940"/>
      <c r="Q940" s="224"/>
      <c r="S940" s="202"/>
      <c r="T940"/>
    </row>
    <row r="941" spans="15:20">
      <c r="O941" s="247"/>
      <c r="P941"/>
      <c r="Q941" s="224"/>
      <c r="S941" s="202"/>
      <c r="T941"/>
    </row>
    <row r="942" spans="15:20">
      <c r="O942" s="247"/>
      <c r="P942"/>
      <c r="Q942" s="224"/>
      <c r="S942" s="202"/>
      <c r="T942"/>
    </row>
    <row r="943" spans="15:20">
      <c r="O943" s="247"/>
      <c r="P943"/>
      <c r="Q943" s="224"/>
      <c r="S943" s="202"/>
      <c r="T943"/>
    </row>
    <row r="944" spans="15:20">
      <c r="O944" s="247"/>
      <c r="P944"/>
      <c r="Q944" s="224"/>
      <c r="S944" s="202"/>
      <c r="T944"/>
    </row>
    <row r="945" spans="15:20">
      <c r="O945" s="247"/>
      <c r="P945"/>
      <c r="Q945" s="224"/>
      <c r="S945" s="202"/>
      <c r="T945"/>
    </row>
    <row r="946" spans="15:20">
      <c r="O946" s="247"/>
      <c r="P946"/>
      <c r="Q946" s="224"/>
      <c r="S946" s="202"/>
      <c r="T946"/>
    </row>
    <row r="947" spans="15:20">
      <c r="O947" s="247"/>
      <c r="P947"/>
      <c r="Q947" s="224"/>
      <c r="S947" s="202"/>
      <c r="T947"/>
    </row>
    <row r="948" spans="15:20">
      <c r="O948" s="247"/>
      <c r="P948"/>
      <c r="Q948" s="224"/>
      <c r="S948" s="202"/>
      <c r="T948"/>
    </row>
    <row r="949" spans="15:20">
      <c r="O949" s="247"/>
      <c r="P949"/>
      <c r="Q949" s="224"/>
      <c r="S949" s="202"/>
      <c r="T949"/>
    </row>
    <row r="950" spans="15:20">
      <c r="O950" s="247"/>
      <c r="P950"/>
      <c r="Q950" s="224"/>
      <c r="S950" s="202"/>
      <c r="T950"/>
    </row>
    <row r="951" spans="15:20">
      <c r="O951" s="247"/>
      <c r="P951"/>
      <c r="Q951" s="224"/>
      <c r="S951" s="202"/>
      <c r="T951"/>
    </row>
    <row r="952" spans="15:20">
      <c r="O952" s="247"/>
      <c r="P952"/>
      <c r="Q952" s="224"/>
      <c r="S952" s="202"/>
      <c r="T952"/>
    </row>
    <row r="953" spans="15:20">
      <c r="O953" s="247"/>
      <c r="P953"/>
      <c r="Q953" s="224"/>
      <c r="S953" s="202"/>
      <c r="T953"/>
    </row>
    <row r="954" spans="15:20">
      <c r="O954" s="247"/>
      <c r="P954"/>
      <c r="Q954" s="224"/>
      <c r="S954" s="202"/>
      <c r="T954"/>
    </row>
    <row r="955" spans="15:20">
      <c r="O955" s="247"/>
      <c r="P955"/>
      <c r="Q955" s="224"/>
      <c r="S955" s="202"/>
      <c r="T955"/>
    </row>
    <row r="956" spans="15:20">
      <c r="O956" s="247"/>
      <c r="P956"/>
      <c r="Q956" s="224"/>
      <c r="S956" s="202"/>
      <c r="T956"/>
    </row>
    <row r="957" spans="15:20">
      <c r="O957" s="247"/>
      <c r="P957"/>
      <c r="Q957" s="224"/>
      <c r="S957" s="202"/>
      <c r="T957"/>
    </row>
    <row r="958" spans="15:20">
      <c r="O958" s="247"/>
      <c r="P958"/>
      <c r="Q958" s="224"/>
      <c r="S958" s="202"/>
      <c r="T958"/>
    </row>
    <row r="959" spans="15:20">
      <c r="O959" s="247"/>
      <c r="P959"/>
      <c r="Q959" s="224"/>
      <c r="S959" s="202"/>
      <c r="T959"/>
    </row>
    <row r="960" spans="15:20">
      <c r="O960" s="247"/>
      <c r="P960"/>
      <c r="Q960" s="224"/>
      <c r="S960" s="202"/>
      <c r="T960"/>
    </row>
    <row r="961" spans="15:20">
      <c r="O961" s="247"/>
      <c r="P961"/>
      <c r="Q961" s="224"/>
      <c r="S961" s="202"/>
      <c r="T961"/>
    </row>
    <row r="962" spans="15:20">
      <c r="O962" s="247"/>
      <c r="P962"/>
      <c r="Q962" s="224"/>
      <c r="S962" s="202"/>
      <c r="T962"/>
    </row>
    <row r="963" spans="15:20">
      <c r="O963" s="247"/>
      <c r="P963"/>
      <c r="Q963" s="224"/>
      <c r="S963" s="202"/>
      <c r="T963"/>
    </row>
    <row r="964" spans="15:20">
      <c r="O964" s="247"/>
      <c r="P964"/>
      <c r="Q964" s="224"/>
      <c r="S964" s="202"/>
      <c r="T964"/>
    </row>
    <row r="965" spans="15:20">
      <c r="O965" s="247"/>
      <c r="P965"/>
      <c r="Q965" s="224"/>
      <c r="S965" s="202"/>
      <c r="T965"/>
    </row>
    <row r="966" spans="15:20">
      <c r="O966" s="247"/>
      <c r="P966"/>
      <c r="Q966" s="224"/>
      <c r="S966" s="202"/>
      <c r="T966"/>
    </row>
    <row r="967" spans="15:20">
      <c r="O967" s="247"/>
      <c r="P967"/>
      <c r="Q967" s="224"/>
      <c r="S967" s="202"/>
      <c r="T967"/>
    </row>
    <row r="968" spans="15:20">
      <c r="O968" s="247"/>
      <c r="P968"/>
      <c r="Q968" s="224"/>
      <c r="S968" s="202"/>
      <c r="T968"/>
    </row>
    <row r="969" spans="15:20">
      <c r="O969" s="247"/>
      <c r="P969"/>
      <c r="Q969" s="224"/>
      <c r="S969" s="202"/>
      <c r="T969"/>
    </row>
    <row r="970" spans="15:20">
      <c r="O970" s="247"/>
      <c r="P970"/>
      <c r="Q970" s="224"/>
      <c r="S970" s="202"/>
      <c r="T970"/>
    </row>
    <row r="971" spans="15:20">
      <c r="O971" s="247"/>
      <c r="P971"/>
      <c r="Q971" s="224"/>
      <c r="S971" s="202"/>
      <c r="T971"/>
    </row>
    <row r="972" spans="15:20">
      <c r="O972" s="247"/>
      <c r="P972"/>
      <c r="Q972" s="224"/>
      <c r="S972" s="202"/>
      <c r="T972"/>
    </row>
    <row r="973" spans="15:20">
      <c r="O973" s="247"/>
      <c r="P973"/>
      <c r="Q973" s="224"/>
      <c r="S973" s="202"/>
      <c r="T973"/>
    </row>
    <row r="974" spans="15:20">
      <c r="O974" s="247"/>
      <c r="P974"/>
      <c r="Q974" s="224"/>
      <c r="S974" s="202"/>
      <c r="T974"/>
    </row>
    <row r="975" spans="15:20">
      <c r="O975" s="247"/>
      <c r="P975"/>
      <c r="Q975" s="224"/>
      <c r="S975" s="202"/>
      <c r="T975"/>
    </row>
    <row r="976" spans="15:20">
      <c r="O976" s="247"/>
      <c r="P976"/>
      <c r="Q976" s="224"/>
      <c r="S976" s="202"/>
      <c r="T976"/>
    </row>
    <row r="977" spans="15:20">
      <c r="O977" s="247"/>
      <c r="P977"/>
      <c r="Q977" s="224"/>
      <c r="S977" s="202"/>
      <c r="T977"/>
    </row>
    <row r="978" spans="15:20">
      <c r="O978" s="247"/>
      <c r="P978"/>
      <c r="Q978" s="224"/>
      <c r="S978" s="202"/>
      <c r="T978"/>
    </row>
    <row r="979" spans="15:20">
      <c r="O979" s="247"/>
      <c r="P979"/>
      <c r="Q979" s="224"/>
      <c r="S979" s="202"/>
      <c r="T979"/>
    </row>
    <row r="980" spans="15:20">
      <c r="O980" s="247"/>
      <c r="P980"/>
      <c r="Q980" s="224"/>
      <c r="S980" s="202"/>
      <c r="T980"/>
    </row>
    <row r="981" spans="15:20">
      <c r="O981" s="247"/>
      <c r="P981"/>
      <c r="Q981" s="224"/>
      <c r="S981" s="202"/>
      <c r="T981"/>
    </row>
    <row r="982" spans="15:20">
      <c r="O982" s="247"/>
      <c r="P982"/>
      <c r="Q982" s="224"/>
      <c r="S982" s="202"/>
      <c r="T982"/>
    </row>
    <row r="983" spans="15:20">
      <c r="O983" s="247"/>
      <c r="P983"/>
      <c r="Q983" s="224"/>
      <c r="S983" s="202"/>
      <c r="T983"/>
    </row>
    <row r="984" spans="15:20">
      <c r="O984" s="247"/>
      <c r="P984"/>
      <c r="Q984" s="224"/>
      <c r="S984" s="202"/>
      <c r="T984"/>
    </row>
    <row r="985" spans="15:20">
      <c r="O985" s="247"/>
      <c r="P985"/>
      <c r="Q985" s="224"/>
      <c r="S985" s="202"/>
      <c r="T985"/>
    </row>
    <row r="986" spans="15:20">
      <c r="O986" s="247"/>
      <c r="P986"/>
      <c r="Q986" s="224"/>
      <c r="S986" s="202"/>
      <c r="T986"/>
    </row>
    <row r="987" spans="15:20">
      <c r="O987" s="247"/>
      <c r="P987"/>
      <c r="Q987" s="224"/>
      <c r="S987" s="202"/>
      <c r="T987"/>
    </row>
    <row r="988" spans="15:20">
      <c r="O988" s="247"/>
      <c r="P988"/>
      <c r="Q988" s="224"/>
      <c r="S988" s="202"/>
      <c r="T988"/>
    </row>
    <row r="989" spans="15:20">
      <c r="O989" s="247"/>
      <c r="P989"/>
      <c r="Q989" s="224"/>
      <c r="S989" s="202"/>
      <c r="T989"/>
    </row>
    <row r="990" spans="15:20">
      <c r="O990" s="247"/>
      <c r="P990"/>
      <c r="Q990" s="224"/>
      <c r="S990" s="202"/>
      <c r="T990"/>
    </row>
    <row r="991" spans="15:20">
      <c r="O991" s="247"/>
      <c r="P991"/>
      <c r="Q991" s="224"/>
      <c r="S991" s="202"/>
      <c r="T991"/>
    </row>
    <row r="992" spans="15:20">
      <c r="O992" s="247"/>
      <c r="P992"/>
      <c r="Q992" s="224"/>
      <c r="S992" s="202"/>
      <c r="T992"/>
    </row>
    <row r="993" spans="15:20">
      <c r="O993" s="247"/>
      <c r="P993"/>
      <c r="Q993" s="224"/>
      <c r="S993" s="202"/>
      <c r="T993"/>
    </row>
    <row r="994" spans="15:20">
      <c r="O994" s="247"/>
      <c r="P994"/>
      <c r="Q994" s="224"/>
      <c r="S994" s="202"/>
      <c r="T994"/>
    </row>
    <row r="995" spans="15:20">
      <c r="O995" s="247"/>
      <c r="P995"/>
      <c r="Q995" s="224"/>
      <c r="S995" s="202"/>
      <c r="T995"/>
    </row>
    <row r="996" spans="15:20">
      <c r="O996" s="247"/>
      <c r="P996"/>
      <c r="Q996" s="224"/>
      <c r="S996" s="202"/>
      <c r="T996"/>
    </row>
    <row r="997" spans="15:20">
      <c r="O997" s="247"/>
      <c r="P997"/>
      <c r="Q997" s="224"/>
      <c r="S997" s="202"/>
      <c r="T997"/>
    </row>
    <row r="998" spans="15:20">
      <c r="O998" s="247"/>
      <c r="P998"/>
      <c r="Q998" s="224"/>
      <c r="S998" s="202"/>
      <c r="T998"/>
    </row>
    <row r="999" spans="15:20">
      <c r="O999" s="247"/>
      <c r="P999"/>
      <c r="Q999" s="224"/>
      <c r="S999" s="202"/>
      <c r="T999"/>
    </row>
    <row r="1000" spans="15:20">
      <c r="O1000" s="247"/>
      <c r="P1000"/>
      <c r="Q1000" s="224"/>
      <c r="S1000" s="202"/>
      <c r="T1000"/>
    </row>
    <row r="1001" spans="15:20">
      <c r="O1001" s="247"/>
      <c r="P1001"/>
      <c r="Q1001" s="224"/>
      <c r="S1001" s="202"/>
      <c r="T1001"/>
    </row>
    <row r="1002" spans="15:20">
      <c r="O1002" s="247"/>
      <c r="P1002"/>
      <c r="Q1002" s="224"/>
      <c r="S1002" s="202"/>
      <c r="T1002"/>
    </row>
    <row r="1003" spans="15:20">
      <c r="O1003" s="247"/>
      <c r="P1003"/>
      <c r="Q1003" s="224"/>
      <c r="S1003" s="202"/>
      <c r="T1003"/>
    </row>
    <row r="1004" spans="15:20">
      <c r="O1004" s="247"/>
      <c r="P1004"/>
      <c r="Q1004" s="224"/>
      <c r="S1004" s="202"/>
      <c r="T1004"/>
    </row>
    <row r="1005" spans="15:20">
      <c r="O1005" s="247"/>
      <c r="P1005"/>
      <c r="Q1005" s="224"/>
      <c r="S1005" s="202"/>
      <c r="T1005"/>
    </row>
    <row r="1006" spans="15:20">
      <c r="O1006" s="247"/>
      <c r="P1006"/>
      <c r="Q1006" s="224"/>
      <c r="S1006" s="202"/>
      <c r="T1006"/>
    </row>
    <row r="1007" spans="15:20">
      <c r="O1007" s="247"/>
      <c r="P1007"/>
      <c r="Q1007" s="224"/>
      <c r="S1007" s="202"/>
      <c r="T1007"/>
    </row>
    <row r="1008" spans="15:20">
      <c r="O1008" s="247"/>
      <c r="P1008"/>
      <c r="Q1008" s="224"/>
      <c r="S1008" s="202"/>
      <c r="T1008"/>
    </row>
    <row r="1009" spans="15:20">
      <c r="O1009" s="247"/>
      <c r="P1009"/>
      <c r="Q1009" s="224"/>
      <c r="S1009" s="202"/>
      <c r="T1009"/>
    </row>
    <row r="1010" spans="15:20">
      <c r="O1010" s="247"/>
      <c r="P1010"/>
      <c r="Q1010" s="224"/>
      <c r="S1010" s="202"/>
      <c r="T1010"/>
    </row>
    <row r="1011" spans="15:20">
      <c r="O1011" s="247"/>
      <c r="P1011"/>
      <c r="Q1011" s="224"/>
      <c r="S1011" s="202"/>
      <c r="T1011"/>
    </row>
    <row r="1012" spans="15:20">
      <c r="O1012" s="247"/>
      <c r="P1012"/>
      <c r="Q1012" s="224"/>
      <c r="S1012" s="202"/>
      <c r="T1012"/>
    </row>
    <row r="1013" spans="15:20">
      <c r="O1013" s="247"/>
      <c r="P1013"/>
      <c r="Q1013" s="224"/>
      <c r="S1013" s="202"/>
      <c r="T1013"/>
    </row>
    <row r="1014" spans="15:20">
      <c r="O1014" s="247"/>
      <c r="P1014"/>
      <c r="Q1014" s="224"/>
      <c r="S1014" s="202"/>
      <c r="T1014"/>
    </row>
    <row r="1015" spans="15:20">
      <c r="O1015" s="247"/>
      <c r="P1015"/>
      <c r="Q1015" s="224"/>
      <c r="S1015" s="202"/>
      <c r="T1015"/>
    </row>
    <row r="1016" spans="15:20">
      <c r="O1016" s="247"/>
      <c r="P1016"/>
      <c r="Q1016" s="224"/>
      <c r="S1016" s="202"/>
      <c r="T1016"/>
    </row>
    <row r="1017" spans="15:20">
      <c r="O1017" s="247"/>
      <c r="P1017"/>
      <c r="Q1017" s="224"/>
      <c r="S1017" s="202"/>
      <c r="T1017"/>
    </row>
    <row r="1018" spans="15:20">
      <c r="O1018" s="247"/>
      <c r="P1018"/>
      <c r="Q1018" s="224"/>
      <c r="S1018" s="202"/>
      <c r="T1018"/>
    </row>
    <row r="1019" spans="15:20">
      <c r="O1019" s="247"/>
      <c r="P1019"/>
      <c r="Q1019" s="224"/>
      <c r="S1019" s="202"/>
      <c r="T1019"/>
    </row>
    <row r="1020" spans="15:20">
      <c r="O1020" s="247"/>
      <c r="P1020"/>
      <c r="Q1020" s="224"/>
      <c r="S1020" s="202"/>
      <c r="T1020"/>
    </row>
    <row r="1021" spans="15:20">
      <c r="O1021" s="247"/>
      <c r="P1021"/>
      <c r="Q1021" s="224"/>
      <c r="S1021" s="202"/>
      <c r="T1021"/>
    </row>
    <row r="1022" spans="15:20">
      <c r="O1022" s="247"/>
      <c r="P1022"/>
      <c r="Q1022" s="224"/>
      <c r="S1022" s="202"/>
      <c r="T1022"/>
    </row>
    <row r="1023" spans="15:20">
      <c r="O1023" s="247"/>
      <c r="P1023"/>
      <c r="Q1023" s="224"/>
      <c r="S1023" s="202"/>
      <c r="T1023"/>
    </row>
    <row r="1024" spans="15:20">
      <c r="O1024" s="247"/>
      <c r="P1024"/>
      <c r="Q1024" s="224"/>
      <c r="S1024" s="202"/>
      <c r="T1024"/>
    </row>
    <row r="1025" spans="15:20">
      <c r="O1025" s="247"/>
      <c r="P1025"/>
      <c r="Q1025" s="224"/>
      <c r="S1025" s="202"/>
      <c r="T1025"/>
    </row>
    <row r="1026" spans="15:20">
      <c r="O1026" s="247"/>
      <c r="P1026"/>
      <c r="Q1026" s="224"/>
      <c r="S1026" s="202"/>
      <c r="T1026"/>
    </row>
    <row r="1027" spans="15:20">
      <c r="O1027" s="247"/>
      <c r="P1027"/>
      <c r="Q1027" s="224"/>
      <c r="S1027" s="202"/>
      <c r="T1027"/>
    </row>
    <row r="1028" spans="15:20">
      <c r="O1028" s="247"/>
      <c r="P1028"/>
      <c r="Q1028" s="224"/>
      <c r="S1028" s="202"/>
      <c r="T1028"/>
    </row>
    <row r="1029" spans="15:20">
      <c r="O1029" s="247"/>
      <c r="P1029"/>
      <c r="Q1029" s="224"/>
      <c r="S1029" s="202"/>
      <c r="T1029"/>
    </row>
    <row r="1030" spans="15:20">
      <c r="O1030" s="247"/>
      <c r="P1030"/>
      <c r="Q1030" s="224"/>
      <c r="S1030" s="202"/>
      <c r="T1030"/>
    </row>
    <row r="1031" spans="15:20">
      <c r="O1031" s="247"/>
      <c r="P1031"/>
      <c r="Q1031" s="224"/>
      <c r="S1031" s="202"/>
      <c r="T1031"/>
    </row>
    <row r="1032" spans="15:20">
      <c r="O1032" s="247"/>
      <c r="P1032"/>
      <c r="Q1032" s="224"/>
      <c r="S1032" s="202"/>
      <c r="T1032"/>
    </row>
    <row r="1033" spans="15:20">
      <c r="O1033" s="247"/>
      <c r="P1033"/>
      <c r="Q1033" s="224"/>
      <c r="S1033" s="202"/>
      <c r="T1033"/>
    </row>
    <row r="1034" spans="15:20">
      <c r="O1034" s="247"/>
      <c r="P1034"/>
      <c r="Q1034" s="224"/>
      <c r="S1034" s="202"/>
      <c r="T1034"/>
    </row>
    <row r="1035" spans="15:20">
      <c r="O1035" s="247"/>
      <c r="P1035"/>
      <c r="Q1035" s="224"/>
      <c r="S1035" s="202"/>
      <c r="T1035"/>
    </row>
    <row r="1036" spans="15:20">
      <c r="O1036" s="247"/>
      <c r="P1036"/>
      <c r="Q1036" s="224"/>
      <c r="S1036" s="202"/>
      <c r="T1036"/>
    </row>
    <row r="1037" spans="15:20">
      <c r="O1037" s="247"/>
      <c r="P1037"/>
      <c r="Q1037" s="224"/>
      <c r="S1037" s="202"/>
      <c r="T1037"/>
    </row>
    <row r="1038" spans="15:20">
      <c r="O1038" s="247"/>
      <c r="P1038"/>
      <c r="Q1038" s="224"/>
      <c r="S1038" s="202"/>
      <c r="T1038"/>
    </row>
    <row r="1039" spans="15:20">
      <c r="O1039" s="247"/>
      <c r="P1039"/>
      <c r="Q1039" s="224"/>
      <c r="S1039" s="202"/>
      <c r="T1039"/>
    </row>
    <row r="1040" spans="15:20">
      <c r="O1040" s="247"/>
      <c r="P1040"/>
      <c r="Q1040" s="224"/>
      <c r="S1040" s="202"/>
      <c r="T1040"/>
    </row>
    <row r="1041" spans="15:20">
      <c r="O1041" s="247"/>
      <c r="P1041"/>
      <c r="Q1041" s="224"/>
      <c r="S1041" s="202"/>
      <c r="T1041"/>
    </row>
    <row r="1042" spans="15:20">
      <c r="O1042" s="247"/>
      <c r="P1042"/>
      <c r="Q1042" s="224"/>
      <c r="S1042" s="202"/>
      <c r="T1042"/>
    </row>
    <row r="1043" spans="15:20">
      <c r="O1043" s="247"/>
      <c r="P1043"/>
      <c r="Q1043" s="224"/>
      <c r="S1043" s="202"/>
      <c r="T1043"/>
    </row>
    <row r="1044" spans="15:20">
      <c r="O1044" s="247"/>
      <c r="P1044"/>
      <c r="Q1044" s="224"/>
      <c r="S1044" s="202"/>
      <c r="T1044"/>
    </row>
    <row r="1045" spans="15:20">
      <c r="O1045" s="247"/>
      <c r="P1045"/>
      <c r="Q1045" s="224"/>
      <c r="S1045" s="202"/>
      <c r="T1045"/>
    </row>
    <row r="1046" spans="15:20">
      <c r="O1046" s="247"/>
      <c r="P1046"/>
      <c r="Q1046" s="224"/>
      <c r="S1046" s="202"/>
      <c r="T1046"/>
    </row>
    <row r="1047" spans="15:20">
      <c r="O1047" s="247"/>
      <c r="P1047"/>
      <c r="Q1047" s="224"/>
      <c r="S1047" s="202"/>
      <c r="T1047"/>
    </row>
    <row r="1048" spans="15:20">
      <c r="O1048" s="247"/>
      <c r="P1048"/>
      <c r="Q1048" s="224"/>
      <c r="S1048" s="202"/>
      <c r="T1048"/>
    </row>
    <row r="1049" spans="15:20">
      <c r="O1049" s="247"/>
      <c r="P1049"/>
      <c r="Q1049" s="224"/>
      <c r="S1049" s="202"/>
      <c r="T1049"/>
    </row>
    <row r="1050" spans="15:20">
      <c r="O1050" s="247"/>
      <c r="P1050"/>
      <c r="Q1050" s="224"/>
      <c r="S1050" s="202"/>
      <c r="T1050"/>
    </row>
    <row r="1051" spans="15:20">
      <c r="O1051" s="247"/>
      <c r="P1051"/>
      <c r="Q1051" s="224"/>
      <c r="S1051" s="202"/>
      <c r="T1051"/>
    </row>
    <row r="1052" spans="15:20">
      <c r="O1052" s="247"/>
      <c r="P1052"/>
      <c r="Q1052" s="224"/>
      <c r="S1052" s="202"/>
      <c r="T1052"/>
    </row>
    <row r="1053" spans="15:20">
      <c r="O1053" s="247"/>
      <c r="P1053"/>
      <c r="Q1053" s="224"/>
      <c r="S1053" s="202"/>
      <c r="T1053"/>
    </row>
    <row r="1054" spans="15:20">
      <c r="O1054" s="247"/>
      <c r="P1054"/>
      <c r="Q1054" s="224"/>
      <c r="S1054" s="202"/>
      <c r="T1054"/>
    </row>
    <row r="1055" spans="15:20">
      <c r="O1055" s="247"/>
      <c r="P1055"/>
      <c r="Q1055" s="224"/>
      <c r="S1055" s="202"/>
      <c r="T1055"/>
    </row>
    <row r="1056" spans="15:20">
      <c r="O1056" s="247"/>
      <c r="P1056"/>
      <c r="Q1056" s="224"/>
      <c r="S1056" s="202"/>
      <c r="T1056"/>
    </row>
    <row r="1057" spans="15:20">
      <c r="O1057" s="247"/>
      <c r="P1057"/>
      <c r="Q1057" s="224"/>
      <c r="S1057" s="202"/>
      <c r="T1057"/>
    </row>
    <row r="1058" spans="15:20">
      <c r="O1058" s="247"/>
      <c r="P1058"/>
      <c r="Q1058" s="224"/>
      <c r="S1058" s="202"/>
      <c r="T1058"/>
    </row>
    <row r="1059" spans="15:20">
      <c r="O1059" s="247"/>
      <c r="P1059"/>
      <c r="Q1059" s="224"/>
      <c r="S1059" s="202"/>
      <c r="T1059"/>
    </row>
    <row r="1060" spans="15:20">
      <c r="O1060" s="247"/>
      <c r="P1060"/>
      <c r="Q1060" s="224"/>
      <c r="S1060" s="202"/>
      <c r="T1060"/>
    </row>
    <row r="1061" spans="15:20">
      <c r="O1061" s="247"/>
      <c r="P1061"/>
      <c r="Q1061" s="224"/>
      <c r="S1061" s="202"/>
      <c r="T1061"/>
    </row>
    <row r="1062" spans="15:20">
      <c r="O1062" s="247"/>
      <c r="P1062"/>
      <c r="Q1062" s="224"/>
      <c r="S1062" s="202"/>
      <c r="T1062"/>
    </row>
    <row r="1063" spans="15:20">
      <c r="O1063" s="247"/>
      <c r="P1063"/>
      <c r="Q1063" s="224"/>
      <c r="S1063" s="202"/>
      <c r="T1063"/>
    </row>
    <row r="1064" spans="15:20">
      <c r="O1064" s="247"/>
      <c r="P1064"/>
      <c r="Q1064" s="224"/>
      <c r="S1064" s="202"/>
      <c r="T1064"/>
    </row>
    <row r="1065" spans="15:20">
      <c r="O1065" s="247"/>
      <c r="P1065"/>
      <c r="Q1065" s="224"/>
      <c r="S1065" s="202"/>
      <c r="T1065"/>
    </row>
    <row r="1066" spans="15:20">
      <c r="O1066" s="247"/>
      <c r="P1066"/>
      <c r="Q1066" s="224"/>
      <c r="S1066" s="202"/>
      <c r="T1066"/>
    </row>
    <row r="1067" spans="15:20">
      <c r="O1067" s="247"/>
      <c r="P1067"/>
      <c r="Q1067" s="224"/>
      <c r="S1067" s="202"/>
      <c r="T1067"/>
    </row>
    <row r="1068" spans="15:20">
      <c r="O1068" s="247"/>
      <c r="P1068"/>
      <c r="Q1068" s="224"/>
      <c r="S1068" s="202"/>
      <c r="T1068"/>
    </row>
    <row r="1069" spans="15:20">
      <c r="O1069" s="247"/>
      <c r="P1069"/>
      <c r="Q1069" s="224"/>
      <c r="S1069" s="202"/>
      <c r="T1069"/>
    </row>
    <row r="1070" spans="15:20">
      <c r="O1070" s="247"/>
      <c r="P1070"/>
      <c r="Q1070" s="224"/>
      <c r="S1070" s="202"/>
      <c r="T1070"/>
    </row>
    <row r="1071" spans="15:20">
      <c r="O1071" s="247"/>
      <c r="P1071"/>
      <c r="Q1071" s="224"/>
      <c r="S1071" s="202"/>
      <c r="T1071"/>
    </row>
    <row r="1072" spans="15:20">
      <c r="O1072" s="247"/>
      <c r="P1072"/>
      <c r="Q1072" s="224"/>
      <c r="S1072" s="202"/>
      <c r="T1072"/>
    </row>
    <row r="1073" spans="15:20">
      <c r="O1073" s="247"/>
      <c r="P1073"/>
      <c r="Q1073" s="224"/>
      <c r="S1073" s="202"/>
      <c r="T1073"/>
    </row>
    <row r="1074" spans="15:20">
      <c r="O1074" s="247"/>
      <c r="P1074"/>
      <c r="Q1074" s="224"/>
      <c r="S1074" s="202"/>
      <c r="T1074"/>
    </row>
    <row r="1075" spans="15:20">
      <c r="O1075" s="247"/>
      <c r="P1075"/>
      <c r="Q1075" s="224"/>
      <c r="S1075" s="202"/>
      <c r="T1075"/>
    </row>
    <row r="1076" spans="15:20">
      <c r="O1076" s="247"/>
      <c r="P1076"/>
      <c r="Q1076" s="224"/>
      <c r="S1076" s="202"/>
      <c r="T1076"/>
    </row>
    <row r="1077" spans="15:20">
      <c r="O1077" s="247"/>
      <c r="P1077"/>
      <c r="Q1077" s="224"/>
      <c r="S1077" s="202"/>
      <c r="T1077"/>
    </row>
    <row r="1078" spans="15:20">
      <c r="O1078" s="247"/>
      <c r="P1078"/>
      <c r="Q1078" s="224"/>
      <c r="S1078" s="202"/>
      <c r="T1078"/>
    </row>
    <row r="1079" spans="15:20">
      <c r="O1079" s="247"/>
      <c r="P1079"/>
      <c r="Q1079" s="224"/>
      <c r="S1079" s="202"/>
      <c r="T1079"/>
    </row>
    <row r="1080" spans="15:20">
      <c r="O1080" s="247"/>
      <c r="P1080"/>
      <c r="Q1080" s="224"/>
      <c r="S1080" s="202"/>
      <c r="T1080"/>
    </row>
    <row r="1081" spans="15:20">
      <c r="O1081" s="247"/>
      <c r="P1081"/>
      <c r="Q1081" s="224"/>
      <c r="S1081" s="202"/>
      <c r="T1081"/>
    </row>
    <row r="1082" spans="15:20">
      <c r="O1082" s="247"/>
      <c r="P1082"/>
      <c r="Q1082" s="224"/>
      <c r="S1082" s="202"/>
      <c r="T1082"/>
    </row>
    <row r="1083" spans="15:20">
      <c r="O1083" s="247"/>
      <c r="P1083"/>
      <c r="Q1083" s="224"/>
      <c r="S1083" s="202"/>
      <c r="T1083"/>
    </row>
    <row r="1084" spans="15:20">
      <c r="O1084" s="247"/>
      <c r="P1084"/>
      <c r="Q1084" s="224"/>
      <c r="S1084" s="202"/>
      <c r="T1084"/>
    </row>
    <row r="1085" spans="15:20">
      <c r="O1085" s="247"/>
      <c r="P1085"/>
      <c r="Q1085" s="224"/>
      <c r="S1085" s="202"/>
      <c r="T1085"/>
    </row>
    <row r="1086" spans="15:20">
      <c r="O1086" s="247"/>
      <c r="P1086"/>
      <c r="Q1086" s="224"/>
      <c r="S1086" s="202"/>
      <c r="T1086"/>
    </row>
    <row r="1087" spans="15:20">
      <c r="O1087" s="247"/>
      <c r="P1087"/>
      <c r="Q1087" s="224"/>
      <c r="S1087" s="202"/>
      <c r="T1087"/>
    </row>
    <row r="1088" spans="15:20">
      <c r="O1088" s="247"/>
      <c r="P1088"/>
      <c r="Q1088" s="224"/>
      <c r="S1088" s="202"/>
      <c r="T1088"/>
    </row>
    <row r="1089" spans="15:20">
      <c r="O1089" s="247"/>
      <c r="P1089"/>
      <c r="Q1089" s="224"/>
      <c r="S1089" s="202"/>
      <c r="T1089"/>
    </row>
    <row r="1090" spans="15:20">
      <c r="O1090" s="247"/>
      <c r="P1090"/>
      <c r="Q1090" s="224"/>
      <c r="S1090" s="202"/>
      <c r="T1090"/>
    </row>
    <row r="1091" spans="15:20">
      <c r="O1091" s="247"/>
      <c r="P1091"/>
      <c r="Q1091" s="224"/>
      <c r="S1091" s="202"/>
      <c r="T1091"/>
    </row>
    <row r="1092" spans="15:20">
      <c r="O1092" s="247"/>
      <c r="P1092"/>
      <c r="Q1092" s="224"/>
      <c r="S1092" s="202"/>
      <c r="T1092"/>
    </row>
    <row r="1093" spans="15:20">
      <c r="O1093" s="247"/>
      <c r="P1093"/>
      <c r="Q1093" s="224"/>
      <c r="S1093" s="202"/>
      <c r="T1093"/>
    </row>
    <row r="1094" spans="15:20">
      <c r="O1094" s="247"/>
      <c r="P1094"/>
      <c r="Q1094" s="224"/>
      <c r="S1094" s="202"/>
      <c r="T1094"/>
    </row>
    <row r="1095" spans="15:20">
      <c r="O1095" s="247"/>
      <c r="P1095"/>
      <c r="Q1095" s="224"/>
      <c r="S1095" s="202"/>
      <c r="T1095"/>
    </row>
    <row r="1096" spans="15:20">
      <c r="O1096" s="247"/>
      <c r="P1096"/>
      <c r="Q1096" s="224"/>
      <c r="S1096" s="202"/>
      <c r="T1096"/>
    </row>
    <row r="1097" spans="15:20">
      <c r="O1097" s="247"/>
      <c r="P1097"/>
      <c r="Q1097" s="224"/>
      <c r="S1097" s="202"/>
      <c r="T1097"/>
    </row>
    <row r="1098" spans="15:20">
      <c r="O1098" s="247"/>
      <c r="P1098"/>
      <c r="Q1098" s="224"/>
      <c r="S1098" s="202"/>
      <c r="T1098"/>
    </row>
    <row r="1099" spans="15:20">
      <c r="O1099" s="247"/>
      <c r="P1099"/>
      <c r="Q1099" s="224"/>
      <c r="S1099" s="202"/>
      <c r="T1099"/>
    </row>
    <row r="1100" spans="15:20">
      <c r="O1100" s="247"/>
      <c r="P1100"/>
      <c r="Q1100" s="224"/>
      <c r="S1100" s="202"/>
      <c r="T1100"/>
    </row>
    <row r="1101" spans="15:20">
      <c r="O1101" s="247"/>
      <c r="P1101"/>
      <c r="Q1101" s="224"/>
      <c r="S1101" s="202"/>
      <c r="T1101"/>
    </row>
    <row r="1102" spans="15:20">
      <c r="O1102" s="247"/>
      <c r="P1102"/>
      <c r="Q1102" s="224"/>
      <c r="S1102" s="202"/>
      <c r="T1102"/>
    </row>
    <row r="1103" spans="15:20">
      <c r="O1103" s="247"/>
      <c r="P1103"/>
      <c r="Q1103" s="224"/>
      <c r="S1103" s="202"/>
      <c r="T1103"/>
    </row>
    <row r="1104" spans="15:20">
      <c r="O1104" s="247"/>
      <c r="P1104"/>
      <c r="Q1104" s="224"/>
      <c r="S1104" s="202"/>
      <c r="T1104"/>
    </row>
    <row r="1105" spans="15:20">
      <c r="O1105" s="247"/>
      <c r="P1105"/>
      <c r="Q1105" s="224"/>
      <c r="S1105" s="202"/>
      <c r="T1105"/>
    </row>
    <row r="1106" spans="15:20">
      <c r="O1106" s="247"/>
      <c r="P1106"/>
      <c r="Q1106" s="224"/>
      <c r="S1106" s="202"/>
      <c r="T1106"/>
    </row>
    <row r="1107" spans="15:20">
      <c r="O1107" s="247"/>
      <c r="P1107"/>
      <c r="Q1107" s="224"/>
      <c r="S1107" s="202"/>
      <c r="T1107"/>
    </row>
    <row r="1108" spans="15:20">
      <c r="O1108" s="247"/>
      <c r="P1108"/>
      <c r="Q1108" s="224"/>
      <c r="S1108" s="202"/>
      <c r="T1108"/>
    </row>
    <row r="1109" spans="15:20">
      <c r="O1109" s="247"/>
      <c r="P1109"/>
      <c r="Q1109" s="224"/>
      <c r="S1109" s="202"/>
      <c r="T1109"/>
    </row>
    <row r="1110" spans="15:20">
      <c r="O1110" s="247"/>
      <c r="P1110"/>
      <c r="Q1110" s="224"/>
      <c r="S1110" s="202"/>
      <c r="T1110"/>
    </row>
    <row r="1111" spans="15:20">
      <c r="O1111" s="247"/>
      <c r="P1111"/>
      <c r="Q1111" s="224"/>
      <c r="S1111" s="202"/>
      <c r="T1111"/>
    </row>
    <row r="1112" spans="15:20">
      <c r="O1112" s="247"/>
      <c r="P1112"/>
      <c r="Q1112" s="224"/>
      <c r="S1112" s="202"/>
      <c r="T1112"/>
    </row>
    <row r="1113" spans="15:20">
      <c r="O1113" s="247"/>
      <c r="P1113"/>
      <c r="Q1113" s="224"/>
      <c r="S1113" s="202"/>
      <c r="T1113"/>
    </row>
    <row r="1114" spans="15:20">
      <c r="O1114" s="247"/>
      <c r="P1114"/>
      <c r="Q1114" s="224"/>
      <c r="S1114" s="202"/>
      <c r="T1114"/>
    </row>
    <row r="1115" spans="15:20">
      <c r="O1115" s="247"/>
      <c r="P1115"/>
      <c r="Q1115" s="224"/>
      <c r="S1115" s="202"/>
      <c r="T1115"/>
    </row>
    <row r="1116" spans="15:20">
      <c r="O1116" s="247"/>
      <c r="P1116"/>
      <c r="Q1116" s="224"/>
      <c r="S1116" s="202"/>
      <c r="T1116"/>
    </row>
    <row r="1117" spans="15:20">
      <c r="O1117" s="247"/>
      <c r="P1117"/>
      <c r="Q1117" s="224"/>
      <c r="S1117" s="202"/>
      <c r="T1117"/>
    </row>
    <row r="1118" spans="15:20">
      <c r="O1118" s="247"/>
      <c r="P1118"/>
      <c r="Q1118" s="224"/>
      <c r="S1118" s="202"/>
      <c r="T1118"/>
    </row>
    <row r="1119" spans="15:20">
      <c r="O1119" s="247"/>
      <c r="P1119"/>
      <c r="Q1119" s="224"/>
      <c r="S1119" s="202"/>
      <c r="T1119"/>
    </row>
    <row r="1120" spans="15:20">
      <c r="O1120" s="247"/>
      <c r="P1120"/>
      <c r="Q1120" s="224"/>
      <c r="S1120" s="202"/>
      <c r="T1120"/>
    </row>
    <row r="1121" spans="15:20">
      <c r="O1121" s="247"/>
      <c r="P1121"/>
      <c r="Q1121" s="224"/>
      <c r="S1121" s="202"/>
      <c r="T1121"/>
    </row>
    <row r="1122" spans="15:20">
      <c r="O1122" s="247"/>
      <c r="P1122"/>
      <c r="Q1122" s="224"/>
      <c r="S1122" s="202"/>
      <c r="T1122"/>
    </row>
    <row r="1123" spans="15:20">
      <c r="O1123" s="247"/>
      <c r="P1123"/>
      <c r="Q1123" s="224"/>
      <c r="S1123" s="202"/>
      <c r="T1123"/>
    </row>
    <row r="1124" spans="15:20">
      <c r="O1124" s="247"/>
      <c r="P1124"/>
      <c r="Q1124" s="224"/>
      <c r="S1124" s="202"/>
      <c r="T1124"/>
    </row>
    <row r="1125" spans="15:20">
      <c r="O1125" s="247"/>
      <c r="P1125"/>
      <c r="Q1125" s="224"/>
      <c r="S1125" s="202"/>
      <c r="T1125"/>
    </row>
    <row r="1126" spans="15:20">
      <c r="O1126" s="247"/>
      <c r="P1126"/>
      <c r="Q1126" s="224"/>
      <c r="S1126" s="202"/>
      <c r="T1126"/>
    </row>
    <row r="1127" spans="15:20">
      <c r="O1127" s="247"/>
      <c r="P1127"/>
      <c r="Q1127" s="224"/>
      <c r="S1127" s="202"/>
      <c r="T1127"/>
    </row>
    <row r="1128" spans="15:20">
      <c r="O1128" s="247"/>
      <c r="P1128"/>
      <c r="Q1128" s="224"/>
      <c r="S1128" s="202"/>
      <c r="T1128"/>
    </row>
    <row r="1129" spans="15:20">
      <c r="O1129" s="247"/>
      <c r="P1129"/>
      <c r="Q1129" s="224"/>
      <c r="S1129" s="202"/>
      <c r="T1129"/>
    </row>
    <row r="1130" spans="15:20">
      <c r="O1130" s="247"/>
      <c r="P1130"/>
      <c r="Q1130" s="224"/>
      <c r="S1130" s="202"/>
      <c r="T1130"/>
    </row>
    <row r="1131" spans="15:20">
      <c r="O1131" s="247"/>
      <c r="P1131"/>
      <c r="Q1131" s="224"/>
      <c r="S1131" s="202"/>
      <c r="T1131"/>
    </row>
    <row r="1132" spans="15:20">
      <c r="O1132" s="247"/>
      <c r="P1132"/>
      <c r="Q1132" s="224"/>
      <c r="S1132" s="202"/>
      <c r="T1132"/>
    </row>
    <row r="1133" spans="15:20">
      <c r="O1133" s="247"/>
      <c r="P1133"/>
      <c r="Q1133" s="224"/>
      <c r="S1133" s="202"/>
      <c r="T1133"/>
    </row>
    <row r="1134" spans="15:20">
      <c r="O1134" s="247"/>
      <c r="P1134"/>
      <c r="Q1134" s="224"/>
      <c r="S1134" s="202"/>
      <c r="T1134"/>
    </row>
    <row r="1135" spans="15:20">
      <c r="O1135" s="247"/>
      <c r="P1135"/>
      <c r="Q1135" s="224"/>
      <c r="S1135" s="202"/>
      <c r="T1135"/>
    </row>
    <row r="1136" spans="15:20">
      <c r="O1136" s="247"/>
      <c r="P1136"/>
      <c r="Q1136" s="224"/>
      <c r="S1136" s="202"/>
      <c r="T1136"/>
    </row>
    <row r="1137" spans="15:20">
      <c r="O1137" s="247"/>
      <c r="P1137"/>
      <c r="Q1137" s="224"/>
      <c r="S1137" s="202"/>
      <c r="T1137"/>
    </row>
    <row r="1138" spans="15:20">
      <c r="O1138" s="247"/>
      <c r="P1138"/>
      <c r="Q1138" s="224"/>
      <c r="S1138" s="202"/>
      <c r="T1138"/>
    </row>
    <row r="1139" spans="15:20">
      <c r="O1139" s="247"/>
      <c r="P1139"/>
      <c r="Q1139" s="224"/>
      <c r="S1139" s="202"/>
      <c r="T1139"/>
    </row>
    <row r="1140" spans="15:20">
      <c r="O1140" s="247"/>
      <c r="P1140"/>
      <c r="Q1140" s="224"/>
      <c r="S1140" s="202"/>
      <c r="T1140"/>
    </row>
    <row r="1141" spans="15:20">
      <c r="O1141" s="247"/>
      <c r="P1141"/>
      <c r="Q1141" s="224"/>
      <c r="S1141" s="202"/>
      <c r="T1141"/>
    </row>
    <row r="1142" spans="15:20">
      <c r="O1142" s="247"/>
      <c r="P1142"/>
      <c r="Q1142" s="224"/>
      <c r="S1142" s="202"/>
      <c r="T1142"/>
    </row>
    <row r="1143" spans="15:20">
      <c r="O1143" s="247"/>
      <c r="P1143"/>
      <c r="Q1143" s="224"/>
      <c r="S1143" s="202"/>
      <c r="T1143"/>
    </row>
    <row r="1144" spans="15:20">
      <c r="O1144" s="247"/>
      <c r="P1144"/>
      <c r="Q1144" s="224"/>
      <c r="S1144" s="202"/>
      <c r="T1144"/>
    </row>
    <row r="1145" spans="15:20">
      <c r="O1145" s="247"/>
      <c r="P1145"/>
      <c r="Q1145" s="224"/>
      <c r="S1145" s="202"/>
      <c r="T1145"/>
    </row>
    <row r="1146" spans="15:20">
      <c r="O1146" s="247"/>
      <c r="P1146"/>
      <c r="Q1146" s="224"/>
      <c r="S1146" s="202"/>
      <c r="T1146"/>
    </row>
    <row r="1147" spans="15:20">
      <c r="O1147" s="247"/>
      <c r="P1147"/>
      <c r="Q1147" s="224"/>
      <c r="S1147" s="202"/>
      <c r="T1147"/>
    </row>
    <row r="1148" spans="15:20">
      <c r="O1148" s="247"/>
      <c r="P1148"/>
      <c r="Q1148" s="224"/>
      <c r="S1148" s="202"/>
      <c r="T1148"/>
    </row>
    <row r="1149" spans="15:20">
      <c r="O1149" s="247"/>
      <c r="P1149"/>
      <c r="Q1149" s="224"/>
      <c r="S1149" s="202"/>
      <c r="T1149"/>
    </row>
    <row r="1150" spans="15:20">
      <c r="O1150" s="247"/>
      <c r="P1150"/>
      <c r="Q1150" s="224"/>
      <c r="S1150" s="202"/>
      <c r="T1150"/>
    </row>
    <row r="1151" spans="15:20">
      <c r="O1151" s="247"/>
      <c r="P1151"/>
      <c r="Q1151" s="224"/>
      <c r="S1151" s="202"/>
      <c r="T1151"/>
    </row>
    <row r="1152" spans="15:20">
      <c r="O1152" s="247"/>
      <c r="P1152"/>
      <c r="Q1152" s="224"/>
      <c r="S1152" s="202"/>
      <c r="T1152"/>
    </row>
    <row r="1153" spans="15:20">
      <c r="O1153" s="247"/>
      <c r="P1153"/>
      <c r="Q1153" s="224"/>
      <c r="S1153" s="202"/>
      <c r="T1153"/>
    </row>
    <row r="1154" spans="15:20">
      <c r="O1154" s="247"/>
      <c r="P1154"/>
      <c r="Q1154" s="224"/>
      <c r="S1154" s="202"/>
      <c r="T1154"/>
    </row>
    <row r="1155" spans="15:20">
      <c r="O1155" s="247"/>
      <c r="P1155"/>
      <c r="Q1155" s="224"/>
      <c r="S1155" s="202"/>
      <c r="T1155"/>
    </row>
    <row r="1156" spans="15:20">
      <c r="O1156" s="247"/>
      <c r="P1156"/>
      <c r="Q1156" s="224"/>
      <c r="S1156" s="202"/>
      <c r="T1156"/>
    </row>
    <row r="1157" spans="15:20">
      <c r="O1157" s="247"/>
      <c r="P1157"/>
      <c r="Q1157" s="224"/>
      <c r="S1157" s="202"/>
      <c r="T1157"/>
    </row>
    <row r="1158" spans="15:20">
      <c r="O1158" s="247"/>
      <c r="P1158"/>
      <c r="Q1158" s="224"/>
      <c r="S1158" s="202"/>
      <c r="T1158"/>
    </row>
    <row r="1159" spans="15:20">
      <c r="O1159" s="247"/>
      <c r="P1159"/>
      <c r="Q1159" s="224"/>
      <c r="S1159" s="202"/>
      <c r="T1159"/>
    </row>
    <row r="1160" spans="15:20">
      <c r="O1160" s="247"/>
      <c r="P1160"/>
      <c r="Q1160" s="224"/>
      <c r="S1160" s="202"/>
      <c r="T1160"/>
    </row>
    <row r="1161" spans="15:20">
      <c r="O1161" s="247"/>
      <c r="P1161"/>
      <c r="Q1161" s="224"/>
      <c r="S1161" s="202"/>
      <c r="T1161"/>
    </row>
    <row r="1162" spans="15:20">
      <c r="O1162" s="247"/>
      <c r="P1162"/>
      <c r="Q1162" s="224"/>
      <c r="S1162" s="202"/>
      <c r="T1162"/>
    </row>
    <row r="1163" spans="15:20">
      <c r="O1163" s="247"/>
      <c r="P1163"/>
      <c r="Q1163" s="224"/>
      <c r="S1163" s="202"/>
      <c r="T1163"/>
    </row>
    <row r="1164" spans="15:20">
      <c r="O1164" s="247"/>
      <c r="P1164"/>
      <c r="Q1164" s="224"/>
      <c r="S1164" s="202"/>
      <c r="T1164"/>
    </row>
    <row r="1165" spans="15:20">
      <c r="O1165" s="247"/>
      <c r="P1165"/>
      <c r="Q1165" s="224"/>
      <c r="S1165" s="202"/>
      <c r="T1165"/>
    </row>
    <row r="1166" spans="15:20">
      <c r="O1166" s="247"/>
      <c r="P1166"/>
      <c r="Q1166" s="224"/>
      <c r="S1166" s="202"/>
      <c r="T1166"/>
    </row>
    <row r="1167" spans="15:20">
      <c r="O1167" s="247"/>
      <c r="P1167"/>
      <c r="Q1167" s="224"/>
      <c r="S1167" s="202"/>
      <c r="T1167"/>
    </row>
    <row r="1168" spans="15:20">
      <c r="O1168" s="247"/>
      <c r="P1168"/>
      <c r="Q1168" s="224"/>
      <c r="S1168" s="202"/>
      <c r="T1168"/>
    </row>
    <row r="1169" spans="15:20">
      <c r="O1169" s="247"/>
      <c r="P1169"/>
      <c r="Q1169" s="224"/>
      <c r="S1169" s="202"/>
      <c r="T1169"/>
    </row>
    <row r="1170" spans="15:20">
      <c r="O1170" s="247"/>
      <c r="P1170"/>
      <c r="Q1170" s="224"/>
      <c r="S1170" s="202"/>
      <c r="T1170"/>
    </row>
    <row r="1171" spans="15:20">
      <c r="O1171" s="247"/>
      <c r="P1171"/>
      <c r="Q1171" s="224"/>
      <c r="S1171" s="202"/>
      <c r="T1171"/>
    </row>
    <row r="1172" spans="15:20">
      <c r="O1172" s="247"/>
      <c r="P1172"/>
      <c r="Q1172" s="224"/>
      <c r="S1172" s="202"/>
      <c r="T1172"/>
    </row>
    <row r="1173" spans="15:20">
      <c r="O1173" s="247"/>
      <c r="P1173"/>
      <c r="Q1173" s="224"/>
      <c r="S1173" s="202"/>
      <c r="T1173"/>
    </row>
    <row r="1174" spans="15:20">
      <c r="O1174" s="247"/>
      <c r="P1174"/>
      <c r="Q1174" s="224"/>
      <c r="S1174" s="202"/>
      <c r="T1174"/>
    </row>
    <row r="1175" spans="15:20">
      <c r="O1175" s="247"/>
      <c r="P1175"/>
      <c r="Q1175" s="224"/>
      <c r="S1175" s="202"/>
      <c r="T1175"/>
    </row>
    <row r="1176" spans="15:20">
      <c r="O1176" s="247"/>
      <c r="P1176"/>
      <c r="Q1176" s="224"/>
      <c r="S1176" s="202"/>
      <c r="T1176"/>
    </row>
    <row r="1177" spans="15:20">
      <c r="O1177" s="247"/>
      <c r="P1177"/>
      <c r="Q1177" s="224"/>
      <c r="S1177" s="202"/>
      <c r="T1177"/>
    </row>
    <row r="1178" spans="15:20">
      <c r="O1178" s="247"/>
      <c r="P1178"/>
      <c r="Q1178" s="224"/>
      <c r="S1178" s="202"/>
      <c r="T1178"/>
    </row>
    <row r="1179" spans="15:20">
      <c r="O1179" s="247"/>
      <c r="P1179"/>
      <c r="Q1179" s="224"/>
      <c r="S1179" s="202"/>
      <c r="T1179"/>
    </row>
    <row r="1180" spans="15:20">
      <c r="O1180" s="247"/>
      <c r="P1180"/>
      <c r="Q1180" s="224"/>
      <c r="S1180" s="202"/>
      <c r="T1180"/>
    </row>
    <row r="1181" spans="15:20">
      <c r="O1181" s="247"/>
      <c r="P1181"/>
      <c r="Q1181" s="224"/>
      <c r="S1181" s="202"/>
      <c r="T1181"/>
    </row>
    <row r="1182" spans="15:20">
      <c r="O1182" s="247"/>
      <c r="P1182"/>
      <c r="Q1182" s="224"/>
      <c r="S1182" s="202"/>
      <c r="T1182"/>
    </row>
    <row r="1183" spans="15:20">
      <c r="O1183" s="247"/>
      <c r="P1183"/>
      <c r="Q1183" s="224"/>
      <c r="S1183" s="202"/>
      <c r="T1183"/>
    </row>
    <row r="1184" spans="15:20">
      <c r="O1184" s="247"/>
      <c r="P1184"/>
      <c r="Q1184" s="224"/>
      <c r="S1184" s="202"/>
      <c r="T1184"/>
    </row>
    <row r="1185" spans="15:20">
      <c r="O1185" s="247"/>
      <c r="P1185"/>
      <c r="Q1185" s="224"/>
      <c r="S1185" s="202"/>
      <c r="T1185"/>
    </row>
    <row r="1186" spans="15:20">
      <c r="O1186" s="247"/>
      <c r="P1186"/>
      <c r="Q1186" s="224"/>
      <c r="S1186" s="202"/>
      <c r="T1186"/>
    </row>
    <row r="1187" spans="15:20">
      <c r="O1187" s="247"/>
      <c r="P1187"/>
      <c r="Q1187" s="224"/>
      <c r="S1187" s="202"/>
      <c r="T1187"/>
    </row>
    <row r="1188" spans="15:20">
      <c r="O1188" s="247"/>
      <c r="P1188"/>
      <c r="Q1188" s="224"/>
      <c r="S1188" s="202"/>
      <c r="T1188"/>
    </row>
    <row r="1189" spans="15:20">
      <c r="O1189" s="247"/>
      <c r="P1189"/>
      <c r="Q1189" s="224"/>
      <c r="S1189" s="202"/>
      <c r="T1189"/>
    </row>
    <row r="1190" spans="15:20">
      <c r="O1190" s="247"/>
      <c r="P1190"/>
      <c r="Q1190" s="224"/>
      <c r="S1190" s="202"/>
      <c r="T1190"/>
    </row>
    <row r="1191" spans="15:20">
      <c r="O1191" s="247"/>
      <c r="P1191"/>
      <c r="Q1191" s="224"/>
      <c r="S1191" s="202"/>
      <c r="T1191"/>
    </row>
    <row r="1192" spans="15:20">
      <c r="O1192" s="247"/>
      <c r="P1192"/>
      <c r="Q1192" s="224"/>
      <c r="S1192" s="202"/>
      <c r="T1192"/>
    </row>
    <row r="1193" spans="15:20">
      <c r="O1193" s="247"/>
      <c r="P1193"/>
      <c r="Q1193" s="224"/>
      <c r="S1193" s="202"/>
      <c r="T1193"/>
    </row>
    <row r="1194" spans="15:20">
      <c r="O1194" s="247"/>
      <c r="P1194"/>
      <c r="Q1194" s="224"/>
      <c r="S1194" s="202"/>
      <c r="T1194"/>
    </row>
    <row r="1195" spans="15:20">
      <c r="O1195" s="247"/>
      <c r="P1195"/>
      <c r="Q1195" s="224"/>
      <c r="S1195" s="202"/>
      <c r="T1195"/>
    </row>
    <row r="1196" spans="15:20">
      <c r="O1196" s="247"/>
      <c r="P1196"/>
      <c r="Q1196" s="224"/>
      <c r="S1196" s="202"/>
      <c r="T1196"/>
    </row>
    <row r="1197" spans="15:20">
      <c r="O1197" s="247"/>
      <c r="P1197"/>
      <c r="Q1197" s="224"/>
      <c r="S1197" s="202"/>
      <c r="T1197"/>
    </row>
    <row r="1198" spans="15:20">
      <c r="O1198" s="247"/>
      <c r="P1198"/>
      <c r="Q1198" s="224"/>
      <c r="S1198" s="202"/>
      <c r="T1198"/>
    </row>
    <row r="1199" spans="15:20">
      <c r="O1199" s="247"/>
      <c r="P1199"/>
      <c r="Q1199" s="224"/>
      <c r="S1199" s="202"/>
      <c r="T1199"/>
    </row>
    <row r="1200" spans="15:20">
      <c r="O1200" s="247"/>
      <c r="P1200"/>
      <c r="Q1200" s="224"/>
      <c r="S1200" s="202"/>
      <c r="T1200"/>
    </row>
    <row r="1201" spans="15:20">
      <c r="O1201" s="247"/>
      <c r="P1201"/>
      <c r="Q1201" s="224"/>
      <c r="S1201" s="202"/>
      <c r="T1201"/>
    </row>
    <row r="1202" spans="15:20">
      <c r="O1202" s="247"/>
      <c r="P1202"/>
      <c r="Q1202" s="224"/>
      <c r="S1202" s="202"/>
      <c r="T1202"/>
    </row>
    <row r="1203" spans="15:20">
      <c r="O1203" s="247"/>
      <c r="P1203"/>
      <c r="Q1203" s="224"/>
      <c r="S1203" s="202"/>
      <c r="T1203"/>
    </row>
    <row r="1204" spans="15:20">
      <c r="O1204" s="247"/>
      <c r="P1204"/>
      <c r="Q1204" s="224"/>
      <c r="S1204" s="202"/>
      <c r="T1204"/>
    </row>
    <row r="1205" spans="15:20">
      <c r="O1205" s="247"/>
      <c r="P1205"/>
      <c r="Q1205" s="224"/>
      <c r="S1205" s="202"/>
      <c r="T1205"/>
    </row>
    <row r="1206" spans="15:20">
      <c r="O1206" s="247"/>
      <c r="P1206"/>
      <c r="Q1206" s="224"/>
      <c r="S1206" s="202"/>
      <c r="T1206"/>
    </row>
    <row r="1207" spans="15:20">
      <c r="O1207" s="247"/>
      <c r="P1207"/>
      <c r="Q1207" s="224"/>
      <c r="S1207" s="202"/>
      <c r="T1207"/>
    </row>
    <row r="1208" spans="15:20">
      <c r="O1208" s="247"/>
      <c r="P1208"/>
      <c r="Q1208" s="224"/>
      <c r="S1208" s="202"/>
      <c r="T1208"/>
    </row>
    <row r="1209" spans="15:20">
      <c r="O1209" s="247"/>
      <c r="P1209"/>
      <c r="Q1209" s="224"/>
      <c r="S1209" s="202"/>
      <c r="T1209"/>
    </row>
    <row r="1210" spans="15:20">
      <c r="O1210" s="247"/>
      <c r="P1210"/>
      <c r="Q1210" s="224"/>
      <c r="S1210" s="202"/>
      <c r="T1210"/>
    </row>
    <row r="1211" spans="15:20">
      <c r="O1211" s="247"/>
      <c r="P1211"/>
      <c r="Q1211" s="224"/>
      <c r="S1211" s="202"/>
      <c r="T1211"/>
    </row>
    <row r="1212" spans="15:20">
      <c r="O1212" s="247"/>
      <c r="P1212"/>
      <c r="Q1212" s="224"/>
      <c r="S1212" s="202"/>
      <c r="T1212"/>
    </row>
    <row r="1213" spans="15:20">
      <c r="O1213" s="247"/>
      <c r="P1213"/>
      <c r="Q1213" s="224"/>
      <c r="S1213" s="202"/>
      <c r="T1213"/>
    </row>
    <row r="1214" spans="15:20">
      <c r="O1214" s="247"/>
      <c r="P1214"/>
      <c r="Q1214" s="224"/>
      <c r="S1214" s="202"/>
      <c r="T1214"/>
    </row>
    <row r="1215" spans="15:20">
      <c r="O1215" s="247"/>
      <c r="P1215"/>
      <c r="Q1215" s="224"/>
      <c r="S1215" s="202"/>
      <c r="T1215"/>
    </row>
    <row r="1216" spans="15:20">
      <c r="O1216" s="247"/>
      <c r="P1216"/>
      <c r="Q1216" s="224"/>
      <c r="S1216" s="202"/>
      <c r="T1216"/>
    </row>
    <row r="1217" spans="15:20">
      <c r="O1217" s="247"/>
      <c r="P1217"/>
      <c r="Q1217" s="224"/>
      <c r="S1217" s="202"/>
      <c r="T1217"/>
    </row>
    <row r="1218" spans="15:20">
      <c r="O1218" s="247"/>
      <c r="P1218"/>
      <c r="Q1218" s="224"/>
      <c r="S1218" s="202"/>
      <c r="T1218"/>
    </row>
    <row r="1219" spans="15:20">
      <c r="O1219" s="247"/>
      <c r="P1219"/>
      <c r="Q1219" s="224"/>
      <c r="S1219" s="202"/>
      <c r="T1219"/>
    </row>
    <row r="1220" spans="15:20">
      <c r="O1220" s="247"/>
      <c r="P1220"/>
      <c r="Q1220" s="224"/>
      <c r="S1220" s="202"/>
      <c r="T1220"/>
    </row>
    <row r="1221" spans="15:20">
      <c r="O1221" s="247"/>
      <c r="P1221"/>
      <c r="Q1221" s="224"/>
      <c r="S1221" s="202"/>
      <c r="T1221"/>
    </row>
    <row r="1222" spans="15:20">
      <c r="O1222" s="247"/>
      <c r="P1222"/>
      <c r="Q1222" s="224"/>
      <c r="S1222" s="202"/>
      <c r="T1222"/>
    </row>
    <row r="1223" spans="15:20">
      <c r="O1223" s="247"/>
      <c r="P1223"/>
      <c r="Q1223" s="224"/>
      <c r="S1223" s="202"/>
      <c r="T1223"/>
    </row>
    <row r="1224" spans="15:20">
      <c r="O1224" s="247"/>
      <c r="P1224"/>
      <c r="Q1224" s="224"/>
      <c r="S1224" s="202"/>
      <c r="T1224"/>
    </row>
    <row r="1225" spans="15:20">
      <c r="O1225" s="247"/>
      <c r="P1225"/>
      <c r="Q1225" s="224"/>
      <c r="S1225" s="202"/>
      <c r="T1225"/>
    </row>
    <row r="1226" spans="15:20">
      <c r="O1226" s="247"/>
      <c r="P1226"/>
      <c r="Q1226" s="224"/>
      <c r="S1226" s="202"/>
      <c r="T1226"/>
    </row>
    <row r="1227" spans="15:20">
      <c r="O1227" s="247"/>
      <c r="P1227"/>
      <c r="Q1227" s="224"/>
      <c r="S1227" s="202"/>
      <c r="T1227"/>
    </row>
    <row r="1228" spans="15:20">
      <c r="O1228" s="247"/>
      <c r="P1228"/>
      <c r="Q1228" s="224"/>
      <c r="S1228" s="202"/>
      <c r="T1228"/>
    </row>
    <row r="1229" spans="15:20">
      <c r="O1229" s="247"/>
      <c r="P1229"/>
      <c r="Q1229" s="224"/>
      <c r="S1229" s="202"/>
      <c r="T1229"/>
    </row>
    <row r="1230" spans="15:20">
      <c r="O1230" s="247"/>
      <c r="P1230"/>
      <c r="Q1230" s="224"/>
      <c r="S1230" s="202"/>
      <c r="T1230"/>
    </row>
    <row r="1231" spans="15:20">
      <c r="O1231" s="247"/>
      <c r="P1231"/>
      <c r="Q1231" s="224"/>
      <c r="S1231" s="202"/>
      <c r="T1231"/>
    </row>
    <row r="1232" spans="15:20">
      <c r="O1232" s="247"/>
      <c r="P1232"/>
      <c r="Q1232" s="224"/>
      <c r="S1232" s="202"/>
      <c r="T1232"/>
    </row>
    <row r="1233" spans="15:20">
      <c r="O1233" s="247"/>
      <c r="P1233"/>
      <c r="Q1233" s="224"/>
      <c r="S1233" s="202"/>
      <c r="T1233"/>
    </row>
    <row r="1234" spans="15:20">
      <c r="O1234" s="247"/>
      <c r="P1234"/>
      <c r="Q1234" s="224"/>
      <c r="S1234" s="202"/>
      <c r="T1234"/>
    </row>
    <row r="1235" spans="15:20">
      <c r="O1235" s="247"/>
      <c r="P1235"/>
      <c r="Q1235" s="224"/>
      <c r="S1235" s="202"/>
      <c r="T1235"/>
    </row>
    <row r="1236" spans="15:20">
      <c r="O1236" s="247"/>
      <c r="P1236"/>
      <c r="Q1236" s="224"/>
      <c r="S1236" s="202"/>
      <c r="T1236"/>
    </row>
    <row r="1237" spans="15:20">
      <c r="O1237" s="247"/>
      <c r="P1237"/>
      <c r="Q1237" s="224"/>
      <c r="S1237" s="202"/>
      <c r="T1237"/>
    </row>
    <row r="1238" spans="15:20">
      <c r="O1238" s="247"/>
      <c r="P1238"/>
      <c r="Q1238" s="224"/>
      <c r="S1238" s="202"/>
      <c r="T1238"/>
    </row>
    <row r="1239" spans="15:20">
      <c r="O1239" s="247"/>
      <c r="P1239"/>
      <c r="Q1239" s="224"/>
      <c r="S1239" s="202"/>
      <c r="T1239"/>
    </row>
    <row r="1240" spans="15:20">
      <c r="O1240" s="247"/>
      <c r="P1240"/>
      <c r="Q1240" s="224"/>
      <c r="S1240" s="202"/>
      <c r="T1240"/>
    </row>
    <row r="1241" spans="15:20">
      <c r="O1241" s="247"/>
      <c r="P1241"/>
      <c r="Q1241" s="224"/>
      <c r="S1241" s="202"/>
      <c r="T1241"/>
    </row>
    <row r="1242" spans="15:20">
      <c r="O1242" s="247"/>
      <c r="P1242"/>
      <c r="Q1242" s="224"/>
      <c r="S1242" s="202"/>
      <c r="T1242"/>
    </row>
    <row r="1243" spans="15:20">
      <c r="O1243" s="247"/>
      <c r="P1243"/>
      <c r="Q1243" s="224"/>
      <c r="S1243" s="202"/>
      <c r="T1243"/>
    </row>
    <row r="1244" spans="15:20">
      <c r="O1244" s="247"/>
      <c r="P1244"/>
      <c r="Q1244" s="224"/>
      <c r="S1244" s="202"/>
      <c r="T1244"/>
    </row>
    <row r="1245" spans="15:20">
      <c r="O1245" s="247"/>
      <c r="P1245"/>
      <c r="Q1245" s="224"/>
      <c r="S1245" s="202"/>
      <c r="T1245"/>
    </row>
    <row r="1246" spans="15:20">
      <c r="O1246" s="247"/>
      <c r="P1246"/>
      <c r="Q1246" s="224"/>
      <c r="S1246" s="202"/>
      <c r="T1246"/>
    </row>
    <row r="1247" spans="15:20">
      <c r="O1247" s="247"/>
      <c r="P1247"/>
      <c r="Q1247" s="224"/>
      <c r="S1247" s="202"/>
      <c r="T1247"/>
    </row>
    <row r="1248" spans="15:20">
      <c r="O1248" s="247"/>
      <c r="P1248"/>
      <c r="Q1248" s="224"/>
      <c r="S1248" s="202"/>
      <c r="T1248"/>
    </row>
    <row r="1249" spans="15:20">
      <c r="O1249" s="247"/>
      <c r="P1249"/>
      <c r="Q1249" s="224"/>
      <c r="S1249" s="202"/>
      <c r="T1249"/>
    </row>
    <row r="1250" spans="15:20">
      <c r="O1250" s="247"/>
      <c r="P1250"/>
      <c r="Q1250" s="224"/>
      <c r="S1250" s="202"/>
      <c r="T1250"/>
    </row>
    <row r="1251" spans="15:20">
      <c r="O1251" s="247"/>
      <c r="P1251"/>
      <c r="Q1251" s="224"/>
      <c r="S1251" s="202"/>
      <c r="T1251"/>
    </row>
    <row r="1252" spans="15:20">
      <c r="O1252" s="247"/>
      <c r="P1252"/>
      <c r="Q1252" s="224"/>
      <c r="S1252" s="202"/>
      <c r="T1252"/>
    </row>
    <row r="1253" spans="15:20">
      <c r="O1253" s="247"/>
      <c r="P1253"/>
      <c r="Q1253" s="224"/>
      <c r="S1253" s="202"/>
      <c r="T1253"/>
    </row>
    <row r="1254" spans="15:20">
      <c r="O1254" s="247"/>
      <c r="P1254"/>
      <c r="Q1254" s="224"/>
      <c r="S1254" s="202"/>
      <c r="T1254"/>
    </row>
    <row r="1255" spans="15:20">
      <c r="O1255" s="247"/>
      <c r="P1255"/>
      <c r="Q1255" s="224"/>
      <c r="S1255" s="202"/>
      <c r="T1255"/>
    </row>
    <row r="1256" spans="15:20">
      <c r="O1256" s="247"/>
      <c r="P1256"/>
      <c r="Q1256" s="224"/>
      <c r="S1256" s="202"/>
      <c r="T1256"/>
    </row>
    <row r="1257" spans="15:20">
      <c r="O1257" s="247"/>
      <c r="P1257"/>
      <c r="Q1257" s="224"/>
      <c r="S1257" s="202"/>
      <c r="T1257"/>
    </row>
    <row r="1258" spans="15:20">
      <c r="O1258" s="247"/>
      <c r="P1258"/>
      <c r="Q1258" s="224"/>
      <c r="S1258" s="202"/>
      <c r="T1258"/>
    </row>
    <row r="1259" spans="15:20">
      <c r="O1259" s="247"/>
      <c r="P1259"/>
      <c r="Q1259" s="224"/>
      <c r="S1259" s="202"/>
      <c r="T1259"/>
    </row>
    <row r="1260" spans="15:20">
      <c r="O1260" s="247"/>
      <c r="P1260"/>
      <c r="Q1260" s="224"/>
      <c r="S1260" s="202"/>
      <c r="T1260"/>
    </row>
    <row r="1261" spans="15:20">
      <c r="O1261" s="247"/>
      <c r="P1261"/>
      <c r="Q1261" s="224"/>
      <c r="S1261" s="202"/>
      <c r="T1261"/>
    </row>
    <row r="1262" spans="15:20">
      <c r="O1262" s="247"/>
      <c r="P1262"/>
      <c r="Q1262" s="224"/>
      <c r="S1262" s="202"/>
      <c r="T1262"/>
    </row>
    <row r="1263" spans="15:20">
      <c r="O1263" s="247"/>
      <c r="P1263"/>
      <c r="Q1263" s="224"/>
      <c r="S1263" s="202"/>
      <c r="T1263"/>
    </row>
    <row r="1264" spans="15:20">
      <c r="O1264" s="247"/>
      <c r="P1264"/>
      <c r="Q1264" s="224"/>
      <c r="S1264" s="202"/>
      <c r="T1264"/>
    </row>
    <row r="1265" spans="15:20">
      <c r="O1265" s="247"/>
      <c r="P1265"/>
      <c r="Q1265" s="224"/>
      <c r="S1265" s="202"/>
      <c r="T1265"/>
    </row>
    <row r="1266" spans="15:20">
      <c r="O1266" s="247"/>
      <c r="P1266"/>
      <c r="Q1266" s="224"/>
      <c r="S1266" s="202"/>
      <c r="T1266"/>
    </row>
    <row r="1267" spans="15:20">
      <c r="O1267" s="247"/>
      <c r="P1267"/>
      <c r="Q1267" s="224"/>
      <c r="S1267" s="202"/>
      <c r="T1267"/>
    </row>
    <row r="1268" spans="15:20">
      <c r="O1268" s="247"/>
      <c r="P1268"/>
      <c r="Q1268" s="224"/>
      <c r="S1268" s="202"/>
      <c r="T1268"/>
    </row>
    <row r="1269" spans="15:20">
      <c r="O1269" s="247"/>
      <c r="P1269"/>
      <c r="Q1269" s="224"/>
      <c r="S1269" s="202"/>
      <c r="T1269"/>
    </row>
    <row r="1270" spans="15:20">
      <c r="O1270" s="247"/>
      <c r="P1270"/>
      <c r="Q1270" s="224"/>
      <c r="S1270" s="202"/>
      <c r="T1270"/>
    </row>
    <row r="1271" spans="15:20">
      <c r="O1271" s="247"/>
      <c r="P1271"/>
      <c r="Q1271" s="224"/>
      <c r="S1271" s="202"/>
      <c r="T1271"/>
    </row>
    <row r="1272" spans="15:20">
      <c r="O1272" s="247"/>
      <c r="P1272"/>
      <c r="Q1272" s="224"/>
      <c r="S1272" s="202"/>
      <c r="T1272"/>
    </row>
    <row r="1273" spans="15:20">
      <c r="O1273" s="247"/>
      <c r="P1273"/>
      <c r="Q1273" s="224"/>
      <c r="S1273" s="202"/>
      <c r="T1273"/>
    </row>
    <row r="1274" spans="15:20">
      <c r="O1274" s="247"/>
      <c r="P1274"/>
      <c r="Q1274" s="224"/>
      <c r="S1274" s="202"/>
      <c r="T1274"/>
    </row>
    <row r="1275" spans="15:20">
      <c r="O1275" s="247"/>
      <c r="P1275"/>
      <c r="Q1275" s="224"/>
      <c r="S1275" s="202"/>
      <c r="T1275"/>
    </row>
    <row r="1276" spans="15:20">
      <c r="O1276" s="247"/>
      <c r="P1276"/>
      <c r="Q1276" s="224"/>
      <c r="S1276" s="202"/>
      <c r="T1276"/>
    </row>
    <row r="1277" spans="15:20">
      <c r="O1277" s="247"/>
      <c r="P1277"/>
      <c r="Q1277" s="224"/>
      <c r="S1277" s="202"/>
      <c r="T1277"/>
    </row>
    <row r="1278" spans="15:20">
      <c r="O1278" s="247"/>
      <c r="P1278"/>
      <c r="Q1278" s="224"/>
      <c r="S1278" s="202"/>
      <c r="T1278"/>
    </row>
    <row r="1279" spans="15:20">
      <c r="O1279" s="247"/>
      <c r="P1279"/>
      <c r="Q1279" s="224"/>
      <c r="S1279" s="202"/>
      <c r="T1279"/>
    </row>
    <row r="1280" spans="15:20">
      <c r="O1280" s="247"/>
      <c r="P1280"/>
      <c r="Q1280" s="224"/>
      <c r="S1280" s="202"/>
      <c r="T1280"/>
    </row>
    <row r="1281" spans="15:20">
      <c r="O1281" s="247"/>
      <c r="P1281"/>
      <c r="Q1281" s="224"/>
      <c r="S1281" s="202"/>
      <c r="T1281"/>
    </row>
    <row r="1282" spans="15:20">
      <c r="O1282" s="247"/>
      <c r="P1282"/>
      <c r="Q1282" s="224"/>
      <c r="S1282" s="202"/>
      <c r="T1282"/>
    </row>
    <row r="1283" spans="15:20">
      <c r="O1283" s="247"/>
      <c r="P1283"/>
      <c r="Q1283" s="224"/>
      <c r="S1283" s="202"/>
      <c r="T1283"/>
    </row>
    <row r="1284" spans="15:20">
      <c r="O1284" s="247"/>
      <c r="P1284"/>
      <c r="Q1284" s="224"/>
      <c r="S1284" s="202"/>
      <c r="T1284"/>
    </row>
    <row r="1285" spans="15:20">
      <c r="O1285" s="247"/>
      <c r="P1285"/>
      <c r="Q1285" s="224"/>
      <c r="S1285" s="202"/>
      <c r="T1285"/>
    </row>
    <row r="1286" spans="15:20">
      <c r="O1286" s="247"/>
      <c r="P1286"/>
      <c r="Q1286" s="224"/>
      <c r="S1286" s="202"/>
      <c r="T1286"/>
    </row>
    <row r="1287" spans="15:20">
      <c r="O1287" s="247"/>
      <c r="P1287"/>
      <c r="Q1287" s="224"/>
      <c r="S1287" s="202"/>
      <c r="T1287"/>
    </row>
    <row r="1288" spans="15:20">
      <c r="O1288" s="247"/>
      <c r="P1288"/>
      <c r="Q1288" s="224"/>
      <c r="S1288" s="202"/>
      <c r="T1288"/>
    </row>
    <row r="1289" spans="15:20">
      <c r="O1289" s="247"/>
      <c r="P1289"/>
      <c r="Q1289" s="224"/>
      <c r="S1289" s="202"/>
      <c r="T1289"/>
    </row>
    <row r="1290" spans="15:20">
      <c r="O1290" s="247"/>
      <c r="P1290"/>
      <c r="Q1290" s="224"/>
      <c r="S1290" s="202"/>
      <c r="T1290"/>
    </row>
    <row r="1291" spans="15:20">
      <c r="O1291" s="247"/>
      <c r="P1291"/>
      <c r="Q1291" s="224"/>
      <c r="S1291" s="202"/>
      <c r="T1291"/>
    </row>
    <row r="1292" spans="15:20">
      <c r="O1292" s="247"/>
      <c r="P1292"/>
      <c r="Q1292" s="224"/>
      <c r="S1292" s="202"/>
      <c r="T1292"/>
    </row>
    <row r="1293" spans="15:20">
      <c r="O1293" s="247"/>
      <c r="P1293"/>
      <c r="Q1293" s="224"/>
      <c r="S1293" s="202"/>
      <c r="T1293"/>
    </row>
    <row r="1294" spans="15:20">
      <c r="O1294" s="247"/>
      <c r="P1294"/>
      <c r="Q1294" s="224"/>
      <c r="S1294" s="202"/>
      <c r="T1294"/>
    </row>
    <row r="1295" spans="15:20">
      <c r="O1295" s="247"/>
      <c r="P1295"/>
      <c r="Q1295" s="224"/>
      <c r="S1295" s="202"/>
      <c r="T1295"/>
    </row>
    <row r="1296" spans="15:20">
      <c r="O1296" s="247"/>
      <c r="P1296"/>
      <c r="Q1296" s="224"/>
      <c r="S1296" s="202"/>
      <c r="T1296"/>
    </row>
    <row r="1297" spans="15:20">
      <c r="O1297" s="247"/>
      <c r="P1297"/>
      <c r="Q1297" s="224"/>
      <c r="S1297" s="202"/>
      <c r="T1297"/>
    </row>
    <row r="1298" spans="15:20">
      <c r="O1298" s="247"/>
      <c r="P1298"/>
      <c r="Q1298" s="224"/>
      <c r="S1298" s="202"/>
      <c r="T1298"/>
    </row>
    <row r="1299" spans="15:20">
      <c r="O1299" s="247"/>
      <c r="P1299"/>
      <c r="Q1299" s="224"/>
      <c r="S1299" s="202"/>
      <c r="T1299"/>
    </row>
    <row r="1300" spans="15:20">
      <c r="O1300" s="247"/>
      <c r="P1300"/>
      <c r="Q1300" s="224"/>
      <c r="S1300" s="202"/>
      <c r="T1300"/>
    </row>
    <row r="1301" spans="15:20">
      <c r="O1301" s="247"/>
      <c r="P1301"/>
      <c r="Q1301" s="224"/>
      <c r="S1301" s="202"/>
      <c r="T1301"/>
    </row>
    <row r="1302" spans="15:20">
      <c r="O1302" s="247"/>
      <c r="P1302"/>
      <c r="Q1302" s="224"/>
      <c r="S1302" s="202"/>
      <c r="T1302"/>
    </row>
    <row r="1303" spans="15:20">
      <c r="O1303" s="247"/>
      <c r="P1303"/>
      <c r="Q1303" s="224"/>
      <c r="S1303" s="202"/>
      <c r="T1303"/>
    </row>
    <row r="1304" spans="15:20">
      <c r="O1304" s="247"/>
      <c r="P1304"/>
      <c r="Q1304" s="224"/>
      <c r="S1304" s="202"/>
      <c r="T1304"/>
    </row>
    <row r="1305" spans="15:20">
      <c r="O1305" s="247"/>
      <c r="P1305"/>
      <c r="Q1305" s="224"/>
      <c r="S1305" s="202"/>
      <c r="T1305"/>
    </row>
    <row r="1306" spans="15:20">
      <c r="O1306" s="247"/>
      <c r="P1306"/>
      <c r="Q1306" s="224"/>
      <c r="S1306" s="202"/>
      <c r="T1306"/>
    </row>
    <row r="1307" spans="15:20">
      <c r="O1307" s="247"/>
      <c r="P1307"/>
      <c r="Q1307" s="224"/>
      <c r="S1307" s="202"/>
      <c r="T1307"/>
    </row>
    <row r="1308" spans="15:20">
      <c r="O1308" s="247"/>
      <c r="P1308"/>
      <c r="Q1308" s="224"/>
      <c r="S1308" s="202"/>
      <c r="T1308"/>
    </row>
    <row r="1309" spans="15:20">
      <c r="O1309" s="247"/>
      <c r="P1309"/>
      <c r="Q1309" s="224"/>
      <c r="S1309" s="202"/>
      <c r="T1309"/>
    </row>
    <row r="1310" spans="15:20">
      <c r="O1310" s="247"/>
      <c r="P1310"/>
      <c r="Q1310" s="224"/>
      <c r="S1310" s="202"/>
      <c r="T1310"/>
    </row>
    <row r="1311" spans="15:20">
      <c r="O1311" s="247"/>
      <c r="P1311"/>
      <c r="Q1311" s="224"/>
      <c r="S1311" s="202"/>
      <c r="T1311"/>
    </row>
    <row r="1312" spans="15:20">
      <c r="O1312" s="247"/>
      <c r="P1312"/>
      <c r="Q1312" s="224"/>
      <c r="S1312" s="202"/>
      <c r="T1312"/>
    </row>
    <row r="1313" spans="15:20">
      <c r="O1313" s="247"/>
      <c r="P1313"/>
      <c r="Q1313" s="224"/>
      <c r="S1313" s="202"/>
      <c r="T1313"/>
    </row>
    <row r="1314" spans="15:20">
      <c r="O1314" s="247"/>
      <c r="P1314"/>
      <c r="Q1314" s="224"/>
      <c r="S1314" s="202"/>
      <c r="T1314"/>
    </row>
    <row r="1315" spans="15:20">
      <c r="O1315" s="247"/>
      <c r="P1315"/>
      <c r="Q1315" s="224"/>
      <c r="S1315" s="202"/>
      <c r="T1315"/>
    </row>
    <row r="1316" spans="15:20">
      <c r="O1316" s="247"/>
      <c r="P1316"/>
      <c r="Q1316" s="224"/>
      <c r="S1316" s="202"/>
      <c r="T1316"/>
    </row>
    <row r="1317" spans="15:20">
      <c r="O1317" s="247"/>
      <c r="P1317"/>
      <c r="Q1317" s="224"/>
      <c r="S1317" s="202"/>
      <c r="T1317"/>
    </row>
    <row r="1318" spans="15:20">
      <c r="O1318" s="247"/>
      <c r="P1318"/>
      <c r="Q1318" s="224"/>
      <c r="S1318" s="202"/>
      <c r="T1318"/>
    </row>
    <row r="1319" spans="15:20">
      <c r="O1319" s="247"/>
      <c r="P1319"/>
      <c r="Q1319" s="224"/>
      <c r="S1319" s="202"/>
      <c r="T1319"/>
    </row>
    <row r="1320" spans="15:20">
      <c r="O1320" s="247"/>
      <c r="P1320"/>
      <c r="Q1320" s="224"/>
      <c r="S1320" s="202"/>
      <c r="T1320"/>
    </row>
    <row r="1321" spans="15:20">
      <c r="O1321" s="247"/>
      <c r="P1321"/>
      <c r="Q1321" s="224"/>
      <c r="S1321" s="202"/>
      <c r="T1321"/>
    </row>
    <row r="1322" spans="15:20">
      <c r="O1322" s="247"/>
      <c r="P1322"/>
      <c r="Q1322" s="224"/>
      <c r="S1322" s="202"/>
      <c r="T1322"/>
    </row>
    <row r="1323" spans="15:20">
      <c r="O1323" s="247"/>
      <c r="P1323"/>
      <c r="Q1323" s="224"/>
      <c r="S1323" s="202"/>
      <c r="T1323"/>
    </row>
    <row r="1324" spans="15:20">
      <c r="O1324" s="247"/>
      <c r="P1324"/>
      <c r="Q1324" s="224"/>
      <c r="S1324" s="202"/>
      <c r="T1324"/>
    </row>
    <row r="1325" spans="15:20">
      <c r="O1325" s="247"/>
      <c r="P1325"/>
      <c r="Q1325" s="224"/>
      <c r="S1325" s="202"/>
      <c r="T1325"/>
    </row>
    <row r="1326" spans="15:20">
      <c r="O1326" s="247"/>
      <c r="P1326"/>
      <c r="Q1326" s="224"/>
      <c r="S1326" s="202"/>
      <c r="T1326"/>
    </row>
    <row r="1327" spans="15:20">
      <c r="O1327" s="247"/>
      <c r="P1327"/>
      <c r="Q1327" s="224"/>
      <c r="S1327" s="202"/>
      <c r="T1327"/>
    </row>
    <row r="1328" spans="15:20">
      <c r="O1328" s="247"/>
      <c r="P1328"/>
      <c r="Q1328" s="224"/>
      <c r="S1328" s="202"/>
      <c r="T1328"/>
    </row>
    <row r="1329" spans="15:20">
      <c r="O1329" s="247"/>
      <c r="P1329"/>
      <c r="Q1329" s="224"/>
      <c r="S1329" s="202"/>
      <c r="T1329"/>
    </row>
    <row r="1330" spans="15:20">
      <c r="O1330" s="247"/>
      <c r="P1330"/>
      <c r="Q1330" s="224"/>
      <c r="S1330" s="202"/>
      <c r="T1330"/>
    </row>
    <row r="1331" spans="15:20">
      <c r="O1331" s="247"/>
      <c r="P1331"/>
      <c r="Q1331" s="224"/>
      <c r="S1331" s="202"/>
      <c r="T1331"/>
    </row>
    <row r="1332" spans="15:20">
      <c r="O1332" s="247"/>
      <c r="P1332"/>
      <c r="Q1332" s="224"/>
      <c r="S1332" s="202"/>
      <c r="T1332"/>
    </row>
    <row r="1333" spans="15:20">
      <c r="O1333" s="247"/>
      <c r="P1333"/>
      <c r="Q1333" s="224"/>
      <c r="S1333" s="202"/>
      <c r="T1333"/>
    </row>
    <row r="1334" spans="15:20">
      <c r="O1334" s="247"/>
      <c r="P1334"/>
      <c r="Q1334" s="224"/>
      <c r="S1334" s="202"/>
      <c r="T1334"/>
    </row>
    <row r="1335" spans="15:20">
      <c r="O1335" s="247"/>
      <c r="P1335"/>
      <c r="Q1335" s="224"/>
      <c r="S1335" s="202"/>
      <c r="T1335"/>
    </row>
    <row r="1336" spans="15:20">
      <c r="O1336" s="247"/>
      <c r="P1336"/>
      <c r="Q1336" s="224"/>
      <c r="S1336" s="202"/>
      <c r="T1336"/>
    </row>
    <row r="1337" spans="15:20">
      <c r="O1337" s="247"/>
      <c r="P1337"/>
      <c r="Q1337" s="224"/>
      <c r="S1337" s="202"/>
      <c r="T1337"/>
    </row>
    <row r="1338" spans="15:20">
      <c r="O1338" s="247"/>
      <c r="P1338"/>
      <c r="Q1338" s="224"/>
      <c r="S1338" s="202"/>
      <c r="T1338"/>
    </row>
    <row r="1339" spans="15:20">
      <c r="O1339" s="247"/>
      <c r="P1339"/>
      <c r="Q1339" s="224"/>
      <c r="S1339" s="202"/>
      <c r="T1339"/>
    </row>
    <row r="1340" spans="15:20">
      <c r="O1340" s="247"/>
      <c r="P1340"/>
      <c r="Q1340" s="224"/>
      <c r="S1340" s="202"/>
      <c r="T1340"/>
    </row>
    <row r="1341" spans="15:20">
      <c r="O1341" s="247"/>
      <c r="P1341"/>
      <c r="Q1341" s="224"/>
      <c r="S1341" s="202"/>
      <c r="T1341"/>
    </row>
    <row r="1342" spans="15:20">
      <c r="O1342" s="247"/>
      <c r="P1342"/>
      <c r="Q1342" s="224"/>
      <c r="S1342" s="202"/>
      <c r="T1342"/>
    </row>
    <row r="1343" spans="15:20">
      <c r="O1343" s="247"/>
      <c r="P1343"/>
      <c r="Q1343" s="224"/>
      <c r="S1343" s="202"/>
      <c r="T1343"/>
    </row>
    <row r="1344" spans="15:20">
      <c r="O1344" s="247"/>
      <c r="P1344"/>
      <c r="Q1344" s="224"/>
      <c r="S1344" s="202"/>
      <c r="T1344"/>
    </row>
    <row r="1345" spans="15:20">
      <c r="O1345" s="247"/>
      <c r="P1345"/>
      <c r="Q1345" s="224"/>
      <c r="S1345" s="202"/>
      <c r="T1345"/>
    </row>
    <row r="1346" spans="15:20">
      <c r="O1346" s="247"/>
      <c r="P1346"/>
      <c r="Q1346" s="224"/>
      <c r="S1346" s="202"/>
      <c r="T1346"/>
    </row>
    <row r="1347" spans="15:20">
      <c r="O1347" s="247"/>
      <c r="P1347"/>
      <c r="Q1347" s="224"/>
      <c r="S1347" s="202"/>
      <c r="T1347"/>
    </row>
    <row r="1348" spans="15:20">
      <c r="O1348" s="247"/>
      <c r="P1348"/>
      <c r="Q1348" s="224"/>
      <c r="S1348" s="202"/>
      <c r="T1348"/>
    </row>
    <row r="1349" spans="15:20">
      <c r="O1349" s="247"/>
      <c r="P1349"/>
      <c r="Q1349" s="224"/>
      <c r="S1349" s="202"/>
      <c r="T1349"/>
    </row>
    <row r="1350" spans="15:20">
      <c r="O1350" s="247"/>
      <c r="P1350"/>
      <c r="Q1350" s="224"/>
      <c r="S1350" s="202"/>
      <c r="T1350"/>
    </row>
    <row r="1351" spans="15:20">
      <c r="O1351" s="247"/>
      <c r="P1351"/>
      <c r="Q1351" s="224"/>
      <c r="S1351" s="202"/>
      <c r="T1351"/>
    </row>
    <row r="1352" spans="15:20">
      <c r="O1352" s="247"/>
      <c r="P1352"/>
      <c r="Q1352" s="224"/>
      <c r="S1352" s="202"/>
      <c r="T1352"/>
    </row>
    <row r="1353" spans="15:20">
      <c r="O1353" s="247"/>
      <c r="P1353"/>
      <c r="Q1353" s="224"/>
      <c r="S1353" s="202"/>
      <c r="T1353"/>
    </row>
    <row r="1354" spans="15:20">
      <c r="O1354" s="247"/>
      <c r="P1354"/>
      <c r="Q1354" s="224"/>
      <c r="S1354" s="202"/>
      <c r="T1354"/>
    </row>
    <row r="1355" spans="15:20">
      <c r="O1355" s="247"/>
      <c r="P1355"/>
      <c r="Q1355" s="224"/>
      <c r="S1355" s="202"/>
      <c r="T1355"/>
    </row>
    <row r="1356" spans="15:20">
      <c r="O1356" s="247"/>
      <c r="P1356"/>
      <c r="Q1356" s="224"/>
      <c r="S1356" s="202"/>
      <c r="T1356"/>
    </row>
    <row r="1357" spans="15:20">
      <c r="O1357" s="247"/>
      <c r="P1357"/>
      <c r="Q1357" s="224"/>
      <c r="S1357" s="202"/>
      <c r="T1357"/>
    </row>
    <row r="1358" spans="15:20">
      <c r="O1358" s="247"/>
      <c r="P1358"/>
      <c r="Q1358" s="224"/>
      <c r="S1358" s="202"/>
      <c r="T1358"/>
    </row>
    <row r="1359" spans="15:20">
      <c r="O1359" s="247"/>
      <c r="P1359"/>
      <c r="Q1359" s="224"/>
      <c r="S1359" s="202"/>
      <c r="T1359"/>
    </row>
    <row r="1360" spans="15:20">
      <c r="O1360" s="247"/>
      <c r="P1360"/>
      <c r="Q1360" s="224"/>
      <c r="S1360" s="202"/>
      <c r="T1360"/>
    </row>
    <row r="1361" spans="15:20">
      <c r="O1361" s="247"/>
      <c r="P1361"/>
      <c r="Q1361" s="224"/>
      <c r="S1361" s="202"/>
      <c r="T1361"/>
    </row>
    <row r="1362" spans="15:20">
      <c r="O1362" s="247"/>
      <c r="P1362"/>
      <c r="Q1362" s="224"/>
      <c r="S1362" s="202"/>
      <c r="T1362"/>
    </row>
    <row r="1363" spans="15:20">
      <c r="O1363" s="247"/>
      <c r="P1363"/>
      <c r="Q1363" s="224"/>
      <c r="S1363" s="202"/>
      <c r="T1363"/>
    </row>
    <row r="1364" spans="15:20">
      <c r="O1364" s="247"/>
      <c r="P1364"/>
      <c r="Q1364" s="224"/>
      <c r="S1364" s="202"/>
      <c r="T1364"/>
    </row>
    <row r="1365" spans="15:20">
      <c r="O1365" s="247"/>
      <c r="P1365"/>
      <c r="Q1365" s="224"/>
      <c r="S1365" s="202"/>
      <c r="T1365"/>
    </row>
    <row r="1366" spans="15:20">
      <c r="O1366" s="247"/>
      <c r="P1366"/>
      <c r="Q1366" s="224"/>
      <c r="S1366" s="202"/>
      <c r="T1366"/>
    </row>
    <row r="1367" spans="15:20">
      <c r="O1367" s="247"/>
      <c r="P1367"/>
      <c r="Q1367" s="224"/>
      <c r="S1367" s="202"/>
      <c r="T1367"/>
    </row>
    <row r="1368" spans="15:20">
      <c r="O1368" s="247"/>
      <c r="P1368"/>
      <c r="Q1368" s="224"/>
      <c r="S1368" s="202"/>
      <c r="T1368"/>
    </row>
    <row r="1369" spans="15:20">
      <c r="O1369" s="247"/>
      <c r="P1369"/>
      <c r="Q1369" s="224"/>
      <c r="S1369" s="202"/>
      <c r="T1369"/>
    </row>
    <row r="1370" spans="15:20">
      <c r="O1370" s="247"/>
      <c r="P1370"/>
      <c r="Q1370" s="224"/>
      <c r="S1370" s="202"/>
      <c r="T1370"/>
    </row>
    <row r="1371" spans="15:20">
      <c r="O1371" s="247"/>
      <c r="P1371"/>
      <c r="Q1371" s="224"/>
      <c r="S1371" s="202"/>
      <c r="T1371"/>
    </row>
    <row r="1372" spans="15:20">
      <c r="O1372" s="247"/>
      <c r="P1372"/>
      <c r="Q1372" s="224"/>
      <c r="S1372" s="202"/>
      <c r="T1372"/>
    </row>
    <row r="1373" spans="15:20">
      <c r="O1373" s="247"/>
      <c r="P1373"/>
      <c r="Q1373" s="224"/>
      <c r="S1373" s="202"/>
      <c r="T1373"/>
    </row>
    <row r="1374" spans="15:20">
      <c r="O1374" s="247"/>
      <c r="P1374"/>
      <c r="Q1374" s="224"/>
      <c r="S1374" s="202"/>
      <c r="T1374"/>
    </row>
    <row r="1375" spans="15:20">
      <c r="O1375" s="247"/>
      <c r="P1375"/>
      <c r="Q1375" s="224"/>
      <c r="S1375" s="202"/>
      <c r="T1375"/>
    </row>
    <row r="1376" spans="15:20">
      <c r="O1376" s="247"/>
      <c r="P1376"/>
      <c r="Q1376" s="224"/>
      <c r="S1376" s="202"/>
      <c r="T1376"/>
    </row>
    <row r="1377" spans="15:20">
      <c r="O1377" s="247"/>
      <c r="P1377"/>
      <c r="Q1377" s="224"/>
      <c r="S1377" s="202"/>
      <c r="T1377"/>
    </row>
    <row r="1378" spans="15:20">
      <c r="O1378" s="247"/>
      <c r="P1378"/>
      <c r="Q1378" s="224"/>
      <c r="S1378" s="202"/>
      <c r="T1378"/>
    </row>
    <row r="1379" spans="15:20">
      <c r="O1379" s="247"/>
      <c r="P1379"/>
      <c r="Q1379" s="224"/>
      <c r="S1379" s="202"/>
      <c r="T1379"/>
    </row>
    <row r="1380" spans="15:20">
      <c r="O1380" s="247"/>
      <c r="P1380"/>
      <c r="Q1380" s="224"/>
      <c r="S1380" s="202"/>
      <c r="T1380"/>
    </row>
    <row r="1381" spans="15:20">
      <c r="O1381" s="247"/>
      <c r="P1381"/>
      <c r="Q1381" s="224"/>
      <c r="S1381" s="202"/>
      <c r="T1381"/>
    </row>
    <row r="1382" spans="15:20">
      <c r="O1382" s="247"/>
      <c r="P1382"/>
      <c r="Q1382" s="224"/>
      <c r="S1382" s="202"/>
      <c r="T1382"/>
    </row>
    <row r="1383" spans="15:20">
      <c r="O1383" s="247"/>
      <c r="P1383"/>
      <c r="Q1383" s="224"/>
      <c r="S1383" s="202"/>
      <c r="T1383"/>
    </row>
    <row r="1384" spans="15:20">
      <c r="O1384" s="247"/>
      <c r="P1384"/>
      <c r="Q1384" s="224"/>
      <c r="S1384" s="202"/>
      <c r="T1384"/>
    </row>
    <row r="1385" spans="15:20">
      <c r="O1385" s="247"/>
      <c r="P1385"/>
      <c r="Q1385" s="224"/>
      <c r="S1385" s="202"/>
      <c r="T1385"/>
    </row>
    <row r="1386" spans="15:20">
      <c r="O1386" s="247"/>
      <c r="P1386"/>
      <c r="Q1386" s="224"/>
      <c r="S1386" s="202"/>
      <c r="T1386"/>
    </row>
    <row r="1387" spans="15:20">
      <c r="O1387" s="247"/>
      <c r="P1387"/>
      <c r="Q1387" s="224"/>
      <c r="S1387" s="202"/>
      <c r="T1387"/>
    </row>
    <row r="1388" spans="15:20">
      <c r="O1388" s="247"/>
      <c r="P1388"/>
      <c r="Q1388" s="224"/>
      <c r="S1388" s="202"/>
      <c r="T1388"/>
    </row>
    <row r="1389" spans="15:20">
      <c r="O1389" s="247"/>
      <c r="P1389"/>
      <c r="Q1389" s="224"/>
      <c r="S1389" s="202"/>
      <c r="T1389"/>
    </row>
    <row r="1390" spans="15:20">
      <c r="O1390" s="247"/>
      <c r="P1390"/>
      <c r="Q1390" s="224"/>
      <c r="S1390" s="202"/>
      <c r="T1390"/>
    </row>
    <row r="1391" spans="15:20">
      <c r="O1391" s="247"/>
      <c r="P1391"/>
      <c r="Q1391" s="224"/>
      <c r="S1391" s="202"/>
      <c r="T1391"/>
    </row>
    <row r="1392" spans="15:20">
      <c r="O1392" s="247"/>
      <c r="P1392"/>
      <c r="Q1392" s="224"/>
      <c r="S1392" s="202"/>
      <c r="T1392"/>
    </row>
    <row r="1393" spans="15:20">
      <c r="O1393" s="247"/>
      <c r="P1393"/>
      <c r="Q1393" s="224"/>
      <c r="S1393" s="202"/>
      <c r="T1393"/>
    </row>
    <row r="1394" spans="15:20">
      <c r="O1394" s="247"/>
      <c r="P1394"/>
      <c r="Q1394" s="224"/>
      <c r="S1394" s="202"/>
      <c r="T1394"/>
    </row>
    <row r="1395" spans="15:20">
      <c r="O1395" s="247"/>
      <c r="P1395"/>
      <c r="Q1395" s="224"/>
      <c r="S1395" s="202"/>
      <c r="T1395"/>
    </row>
    <row r="1396" spans="15:20">
      <c r="O1396" s="247"/>
      <c r="P1396"/>
      <c r="Q1396" s="224"/>
      <c r="S1396" s="202"/>
      <c r="T1396"/>
    </row>
    <row r="1397" spans="15:20">
      <c r="O1397" s="247"/>
      <c r="P1397"/>
      <c r="Q1397" s="224"/>
      <c r="S1397" s="202"/>
      <c r="T1397"/>
    </row>
    <row r="1398" spans="15:20">
      <c r="O1398" s="247"/>
      <c r="P1398"/>
      <c r="Q1398" s="224"/>
      <c r="S1398" s="202"/>
      <c r="T1398"/>
    </row>
    <row r="1399" spans="15:20">
      <c r="O1399" s="247"/>
      <c r="P1399"/>
      <c r="Q1399" s="224"/>
      <c r="S1399" s="202"/>
      <c r="T1399"/>
    </row>
    <row r="1400" spans="15:20">
      <c r="O1400" s="247"/>
      <c r="P1400"/>
      <c r="Q1400" s="224"/>
      <c r="S1400" s="202"/>
      <c r="T1400"/>
    </row>
    <row r="1401" spans="15:20">
      <c r="O1401" s="247"/>
      <c r="P1401"/>
      <c r="Q1401" s="224"/>
      <c r="S1401" s="202"/>
      <c r="T1401"/>
    </row>
    <row r="1402" spans="15:20">
      <c r="O1402" s="247"/>
      <c r="P1402"/>
      <c r="Q1402" s="224"/>
      <c r="S1402" s="202"/>
      <c r="T1402"/>
    </row>
    <row r="1403" spans="15:20">
      <c r="O1403" s="247"/>
      <c r="P1403"/>
      <c r="Q1403" s="224"/>
      <c r="S1403" s="202"/>
      <c r="T1403"/>
    </row>
    <row r="1404" spans="15:20">
      <c r="O1404" s="247"/>
      <c r="P1404"/>
      <c r="Q1404" s="224"/>
      <c r="S1404" s="202"/>
      <c r="T1404"/>
    </row>
    <row r="1405" spans="15:20">
      <c r="O1405" s="247"/>
      <c r="P1405"/>
      <c r="Q1405" s="224"/>
      <c r="S1405" s="202"/>
      <c r="T1405"/>
    </row>
    <row r="1406" spans="15:20">
      <c r="O1406" s="247"/>
      <c r="P1406"/>
      <c r="Q1406" s="224"/>
      <c r="S1406" s="202"/>
      <c r="T1406"/>
    </row>
    <row r="1407" spans="15:20">
      <c r="O1407" s="247"/>
      <c r="P1407"/>
      <c r="Q1407" s="224"/>
      <c r="S1407" s="202"/>
      <c r="T1407"/>
    </row>
    <row r="1408" spans="15:20">
      <c r="O1408" s="247"/>
      <c r="P1408"/>
      <c r="Q1408" s="224"/>
      <c r="S1408" s="202"/>
      <c r="T1408"/>
    </row>
    <row r="1409" spans="15:20">
      <c r="O1409" s="247"/>
      <c r="P1409"/>
      <c r="Q1409" s="224"/>
      <c r="S1409" s="202"/>
      <c r="T1409"/>
    </row>
    <row r="1410" spans="15:20">
      <c r="O1410" s="247"/>
      <c r="P1410"/>
      <c r="Q1410" s="224"/>
      <c r="S1410" s="202"/>
      <c r="T1410"/>
    </row>
    <row r="1411" spans="15:20">
      <c r="O1411" s="247"/>
      <c r="P1411"/>
      <c r="Q1411" s="224"/>
      <c r="S1411" s="202"/>
      <c r="T1411"/>
    </row>
    <row r="1412" spans="15:20">
      <c r="O1412" s="247"/>
      <c r="P1412"/>
      <c r="Q1412" s="224"/>
      <c r="S1412" s="202"/>
      <c r="T1412"/>
    </row>
    <row r="1413" spans="15:20">
      <c r="O1413" s="247"/>
      <c r="P1413"/>
      <c r="Q1413" s="224"/>
      <c r="S1413" s="202"/>
      <c r="T1413"/>
    </row>
    <row r="1414" spans="15:20">
      <c r="O1414" s="247"/>
      <c r="P1414"/>
      <c r="Q1414" s="224"/>
      <c r="S1414" s="202"/>
      <c r="T1414"/>
    </row>
    <row r="1415" spans="15:20">
      <c r="O1415" s="247"/>
      <c r="P1415"/>
      <c r="Q1415" s="224"/>
      <c r="S1415" s="202"/>
      <c r="T1415"/>
    </row>
    <row r="1416" spans="15:20">
      <c r="O1416" s="247"/>
      <c r="P1416"/>
      <c r="Q1416" s="224"/>
      <c r="S1416" s="202"/>
      <c r="T1416"/>
    </row>
    <row r="1417" spans="15:20">
      <c r="O1417" s="247"/>
      <c r="P1417"/>
      <c r="Q1417" s="224"/>
      <c r="S1417" s="202"/>
      <c r="T1417"/>
    </row>
    <row r="1418" spans="15:20">
      <c r="O1418" s="247"/>
      <c r="P1418"/>
      <c r="Q1418" s="224"/>
      <c r="S1418" s="202"/>
      <c r="T1418"/>
    </row>
    <row r="1419" spans="15:20">
      <c r="O1419" s="247"/>
      <c r="P1419"/>
      <c r="Q1419" s="224"/>
      <c r="S1419" s="202"/>
      <c r="T1419"/>
    </row>
    <row r="1420" spans="15:20">
      <c r="O1420" s="247"/>
      <c r="P1420"/>
      <c r="Q1420" s="224"/>
      <c r="S1420" s="202"/>
      <c r="T1420"/>
    </row>
    <row r="1421" spans="15:20">
      <c r="O1421" s="247"/>
      <c r="P1421"/>
      <c r="Q1421" s="224"/>
      <c r="S1421" s="202"/>
      <c r="T1421"/>
    </row>
    <row r="1422" spans="15:20">
      <c r="O1422" s="247"/>
      <c r="P1422"/>
      <c r="Q1422" s="224"/>
      <c r="S1422" s="202"/>
      <c r="T1422"/>
    </row>
    <row r="1423" spans="15:20">
      <c r="O1423" s="247"/>
      <c r="P1423"/>
      <c r="Q1423" s="224"/>
      <c r="S1423" s="202"/>
      <c r="T1423"/>
    </row>
    <row r="1424" spans="15:20">
      <c r="O1424" s="247"/>
      <c r="P1424"/>
      <c r="Q1424" s="224"/>
      <c r="S1424" s="202"/>
      <c r="T1424"/>
    </row>
    <row r="1425" spans="15:20">
      <c r="O1425" s="247"/>
      <c r="P1425"/>
      <c r="Q1425" s="224"/>
      <c r="S1425" s="202"/>
      <c r="T1425"/>
    </row>
    <row r="1426" spans="15:20">
      <c r="O1426" s="247"/>
      <c r="P1426"/>
      <c r="Q1426" s="224"/>
      <c r="S1426" s="202"/>
      <c r="T1426"/>
    </row>
    <row r="1427" spans="15:20">
      <c r="O1427" s="247"/>
      <c r="P1427"/>
      <c r="Q1427" s="224"/>
      <c r="S1427" s="202"/>
      <c r="T1427"/>
    </row>
    <row r="1428" spans="15:20">
      <c r="O1428" s="247"/>
      <c r="P1428"/>
      <c r="Q1428" s="224"/>
      <c r="S1428" s="202"/>
      <c r="T1428"/>
    </row>
    <row r="1429" spans="15:20">
      <c r="O1429" s="247"/>
      <c r="P1429"/>
      <c r="Q1429" s="224"/>
      <c r="S1429" s="202"/>
      <c r="T1429"/>
    </row>
    <row r="1430" spans="15:20">
      <c r="O1430" s="247"/>
      <c r="P1430"/>
      <c r="Q1430" s="224"/>
      <c r="S1430" s="202"/>
      <c r="T1430"/>
    </row>
    <row r="1431" spans="15:20">
      <c r="O1431" s="247"/>
      <c r="P1431"/>
      <c r="Q1431" s="224"/>
      <c r="S1431" s="202"/>
      <c r="T1431"/>
    </row>
    <row r="1432" spans="15:20">
      <c r="O1432" s="247"/>
      <c r="P1432"/>
      <c r="Q1432" s="224"/>
      <c r="S1432" s="202"/>
      <c r="T1432"/>
    </row>
    <row r="1433" spans="15:20">
      <c r="O1433" s="247"/>
      <c r="P1433"/>
      <c r="Q1433" s="224"/>
      <c r="S1433" s="202"/>
      <c r="T1433"/>
    </row>
    <row r="1434" spans="15:20">
      <c r="O1434" s="247"/>
      <c r="P1434"/>
      <c r="Q1434" s="224"/>
      <c r="S1434" s="202"/>
      <c r="T1434"/>
    </row>
    <row r="1435" spans="15:20">
      <c r="O1435" s="247"/>
      <c r="P1435"/>
      <c r="Q1435" s="224"/>
      <c r="S1435" s="202"/>
      <c r="T1435"/>
    </row>
    <row r="1436" spans="15:20">
      <c r="O1436" s="247"/>
      <c r="P1436"/>
      <c r="Q1436" s="224"/>
      <c r="S1436" s="202"/>
      <c r="T1436"/>
    </row>
    <row r="1437" spans="15:20">
      <c r="O1437" s="247"/>
      <c r="P1437"/>
      <c r="Q1437" s="224"/>
      <c r="S1437" s="202"/>
      <c r="T1437"/>
    </row>
    <row r="1438" spans="15:20">
      <c r="O1438" s="247"/>
      <c r="P1438"/>
      <c r="Q1438" s="224"/>
      <c r="S1438" s="202"/>
      <c r="T1438"/>
    </row>
    <row r="1439" spans="15:20">
      <c r="O1439" s="247"/>
      <c r="P1439"/>
      <c r="Q1439" s="224"/>
      <c r="S1439" s="202"/>
      <c r="T1439"/>
    </row>
    <row r="1440" spans="15:20">
      <c r="O1440" s="247"/>
      <c r="P1440"/>
      <c r="Q1440" s="224"/>
      <c r="S1440" s="202"/>
      <c r="T1440"/>
    </row>
    <row r="1441" spans="15:20">
      <c r="O1441" s="247"/>
      <c r="P1441"/>
      <c r="Q1441" s="224"/>
      <c r="S1441" s="202"/>
      <c r="T1441"/>
    </row>
    <row r="1442" spans="15:20">
      <c r="O1442" s="247"/>
      <c r="P1442"/>
      <c r="Q1442" s="224"/>
      <c r="S1442" s="202"/>
      <c r="T1442"/>
    </row>
    <row r="1443" spans="15:20">
      <c r="O1443" s="247"/>
      <c r="P1443"/>
      <c r="Q1443" s="224"/>
      <c r="S1443" s="202"/>
      <c r="T1443"/>
    </row>
    <row r="1444" spans="15:20">
      <c r="O1444" s="247"/>
      <c r="P1444"/>
      <c r="Q1444" s="224"/>
      <c r="S1444" s="202"/>
      <c r="T1444"/>
    </row>
    <row r="1445" spans="15:20">
      <c r="O1445" s="247"/>
      <c r="P1445"/>
      <c r="Q1445" s="224"/>
      <c r="S1445" s="202"/>
      <c r="T1445"/>
    </row>
    <row r="1446" spans="15:20">
      <c r="O1446" s="247"/>
      <c r="P1446"/>
      <c r="Q1446" s="224"/>
      <c r="S1446" s="202"/>
      <c r="T1446"/>
    </row>
    <row r="1447" spans="15:20">
      <c r="O1447" s="247"/>
      <c r="P1447"/>
      <c r="Q1447" s="224"/>
      <c r="S1447" s="202"/>
      <c r="T1447"/>
    </row>
    <row r="1448" spans="15:20">
      <c r="O1448" s="247"/>
      <c r="P1448"/>
      <c r="Q1448" s="224"/>
      <c r="S1448" s="202"/>
      <c r="T1448"/>
    </row>
    <row r="1449" spans="15:20">
      <c r="O1449" s="247"/>
      <c r="P1449"/>
      <c r="Q1449" s="224"/>
      <c r="S1449" s="202"/>
      <c r="T1449"/>
    </row>
    <row r="1450" spans="15:20">
      <c r="O1450" s="247"/>
      <c r="P1450"/>
      <c r="Q1450" s="224"/>
      <c r="S1450" s="202"/>
      <c r="T1450"/>
    </row>
    <row r="1451" spans="15:20">
      <c r="O1451" s="247"/>
      <c r="P1451"/>
      <c r="Q1451" s="224"/>
      <c r="S1451" s="202"/>
      <c r="T1451"/>
    </row>
    <row r="1452" spans="15:20">
      <c r="O1452" s="247"/>
      <c r="P1452"/>
      <c r="Q1452" s="224"/>
      <c r="S1452" s="202"/>
      <c r="T1452"/>
    </row>
    <row r="1453" spans="15:20">
      <c r="O1453" s="247"/>
      <c r="P1453"/>
      <c r="Q1453" s="224"/>
      <c r="S1453" s="202"/>
      <c r="T1453"/>
    </row>
    <row r="1454" spans="15:20">
      <c r="O1454" s="247"/>
      <c r="P1454"/>
      <c r="Q1454" s="224"/>
      <c r="S1454" s="202"/>
      <c r="T1454"/>
    </row>
    <row r="1455" spans="15:20">
      <c r="O1455" s="247"/>
      <c r="P1455"/>
      <c r="Q1455" s="224"/>
      <c r="S1455" s="202"/>
      <c r="T1455"/>
    </row>
    <row r="1456" spans="15:20">
      <c r="O1456" s="247"/>
      <c r="P1456"/>
      <c r="Q1456" s="224"/>
      <c r="S1456" s="202"/>
      <c r="T1456"/>
    </row>
    <row r="1457" spans="15:20">
      <c r="O1457" s="247"/>
      <c r="P1457"/>
      <c r="Q1457" s="224"/>
      <c r="S1457" s="202"/>
      <c r="T1457"/>
    </row>
    <row r="1458" spans="15:20">
      <c r="O1458" s="247"/>
      <c r="P1458"/>
      <c r="Q1458" s="224"/>
      <c r="S1458" s="202"/>
      <c r="T1458"/>
    </row>
    <row r="1459" spans="15:20">
      <c r="O1459" s="247"/>
      <c r="P1459"/>
      <c r="Q1459" s="224"/>
      <c r="S1459" s="202"/>
      <c r="T1459"/>
    </row>
    <row r="1460" spans="15:20">
      <c r="O1460" s="247"/>
      <c r="P1460"/>
      <c r="Q1460" s="224"/>
      <c r="S1460" s="202"/>
      <c r="T1460"/>
    </row>
    <row r="1461" spans="15:20">
      <c r="O1461" s="247"/>
      <c r="P1461"/>
      <c r="Q1461" s="224"/>
      <c r="S1461" s="202"/>
      <c r="T1461"/>
    </row>
    <row r="1462" spans="15:20">
      <c r="O1462" s="247"/>
      <c r="P1462"/>
      <c r="Q1462" s="224"/>
      <c r="S1462" s="202"/>
      <c r="T1462"/>
    </row>
    <row r="1463" spans="15:20">
      <c r="O1463" s="247"/>
      <c r="P1463"/>
      <c r="Q1463" s="224"/>
      <c r="S1463" s="202"/>
      <c r="T1463"/>
    </row>
    <row r="1464" spans="15:20">
      <c r="O1464" s="247"/>
      <c r="P1464"/>
      <c r="Q1464" s="224"/>
      <c r="S1464" s="202"/>
      <c r="T1464"/>
    </row>
    <row r="1465" spans="15:20">
      <c r="O1465" s="247"/>
      <c r="P1465"/>
      <c r="Q1465" s="224"/>
      <c r="S1465" s="202"/>
      <c r="T1465"/>
    </row>
    <row r="1466" spans="15:20">
      <c r="O1466" s="247"/>
      <c r="P1466"/>
      <c r="Q1466" s="224"/>
      <c r="S1466" s="202"/>
      <c r="T1466"/>
    </row>
    <row r="1467" spans="15:20">
      <c r="O1467" s="247"/>
      <c r="P1467"/>
      <c r="Q1467" s="224"/>
      <c r="S1467" s="202"/>
      <c r="T1467"/>
    </row>
    <row r="1468" spans="15:20">
      <c r="O1468" s="247"/>
      <c r="P1468"/>
      <c r="Q1468" s="224"/>
      <c r="S1468" s="202"/>
      <c r="T1468"/>
    </row>
    <row r="1469" spans="15:20">
      <c r="O1469" s="247"/>
      <c r="P1469"/>
      <c r="Q1469" s="224"/>
      <c r="S1469" s="202"/>
      <c r="T1469"/>
    </row>
    <row r="1470" spans="15:20">
      <c r="O1470" s="247"/>
      <c r="P1470"/>
      <c r="Q1470" s="224"/>
      <c r="S1470" s="202"/>
      <c r="T1470"/>
    </row>
    <row r="1471" spans="15:20">
      <c r="O1471" s="247"/>
      <c r="P1471"/>
      <c r="Q1471" s="224"/>
      <c r="S1471" s="202"/>
      <c r="T1471"/>
    </row>
    <row r="1472" spans="15:20">
      <c r="O1472" s="247"/>
      <c r="P1472"/>
      <c r="Q1472" s="224"/>
      <c r="S1472" s="202"/>
      <c r="T1472"/>
    </row>
    <row r="1473" spans="15:20">
      <c r="O1473" s="247"/>
      <c r="P1473"/>
      <c r="Q1473" s="224"/>
      <c r="S1473" s="202"/>
      <c r="T1473"/>
    </row>
    <row r="1474" spans="15:20">
      <c r="O1474" s="247"/>
      <c r="P1474"/>
      <c r="Q1474" s="224"/>
      <c r="S1474" s="202"/>
      <c r="T1474"/>
    </row>
    <row r="1475" spans="15:20">
      <c r="O1475" s="247"/>
      <c r="P1475"/>
      <c r="Q1475" s="224"/>
      <c r="S1475" s="202"/>
      <c r="T1475"/>
    </row>
    <row r="1476" spans="15:20">
      <c r="O1476" s="247"/>
      <c r="P1476"/>
      <c r="Q1476" s="224"/>
      <c r="S1476" s="202"/>
      <c r="T1476"/>
    </row>
    <row r="1477" spans="15:20">
      <c r="O1477" s="247"/>
      <c r="P1477"/>
      <c r="Q1477" s="224"/>
      <c r="S1477" s="202"/>
      <c r="T1477"/>
    </row>
    <row r="1478" spans="15:20">
      <c r="O1478" s="247"/>
      <c r="P1478"/>
      <c r="Q1478" s="224"/>
      <c r="S1478" s="202"/>
      <c r="T1478"/>
    </row>
    <row r="1479" spans="15:20">
      <c r="O1479" s="247"/>
      <c r="P1479"/>
      <c r="Q1479" s="224"/>
      <c r="S1479" s="202"/>
      <c r="T1479"/>
    </row>
    <row r="1480" spans="15:20">
      <c r="O1480" s="247"/>
      <c r="P1480"/>
      <c r="Q1480" s="224"/>
      <c r="S1480" s="202"/>
      <c r="T1480"/>
    </row>
    <row r="1481" spans="15:20">
      <c r="O1481" s="247"/>
      <c r="P1481"/>
      <c r="Q1481" s="224"/>
      <c r="S1481" s="202"/>
      <c r="T1481"/>
    </row>
    <row r="1482" spans="15:20">
      <c r="O1482" s="247"/>
      <c r="P1482"/>
      <c r="Q1482" s="224"/>
      <c r="S1482" s="202"/>
      <c r="T1482"/>
    </row>
    <row r="1483" spans="15:20">
      <c r="O1483" s="247"/>
      <c r="P1483"/>
      <c r="Q1483" s="224"/>
      <c r="S1483" s="202"/>
      <c r="T1483"/>
    </row>
    <row r="1484" spans="15:20">
      <c r="O1484" s="247"/>
      <c r="P1484"/>
      <c r="Q1484" s="224"/>
      <c r="S1484" s="202"/>
      <c r="T1484"/>
    </row>
    <row r="1485" spans="15:20">
      <c r="O1485" s="247"/>
      <c r="P1485"/>
      <c r="Q1485" s="224"/>
      <c r="S1485" s="202"/>
      <c r="T1485"/>
    </row>
    <row r="1486" spans="15:20">
      <c r="O1486" s="247"/>
      <c r="P1486"/>
      <c r="Q1486" s="224"/>
      <c r="S1486" s="202"/>
      <c r="T1486"/>
    </row>
    <row r="1487" spans="15:20">
      <c r="O1487" s="247"/>
      <c r="P1487"/>
      <c r="Q1487" s="224"/>
      <c r="S1487" s="202"/>
      <c r="T1487"/>
    </row>
    <row r="1488" spans="15:20">
      <c r="O1488" s="247"/>
      <c r="P1488"/>
      <c r="Q1488" s="224"/>
      <c r="S1488" s="202"/>
      <c r="T1488"/>
    </row>
    <row r="1489" spans="15:20">
      <c r="O1489" s="247"/>
      <c r="P1489"/>
      <c r="Q1489" s="224"/>
      <c r="S1489" s="202"/>
      <c r="T1489"/>
    </row>
    <row r="1490" spans="15:20">
      <c r="O1490" s="247"/>
      <c r="P1490"/>
      <c r="Q1490" s="224"/>
      <c r="S1490" s="202"/>
      <c r="T1490"/>
    </row>
    <row r="1491" spans="15:20">
      <c r="O1491" s="247"/>
      <c r="P1491"/>
      <c r="Q1491" s="224"/>
      <c r="S1491" s="202"/>
      <c r="T1491"/>
    </row>
    <row r="1492" spans="15:20">
      <c r="O1492" s="247"/>
      <c r="P1492"/>
      <c r="Q1492" s="224"/>
      <c r="S1492" s="202"/>
      <c r="T1492"/>
    </row>
    <row r="1493" spans="15:20">
      <c r="O1493" s="247"/>
      <c r="P1493"/>
      <c r="Q1493" s="224"/>
      <c r="S1493" s="202"/>
      <c r="T1493"/>
    </row>
    <row r="1494" spans="15:20">
      <c r="O1494" s="247"/>
      <c r="P1494"/>
      <c r="Q1494" s="224"/>
      <c r="S1494" s="202"/>
      <c r="T1494"/>
    </row>
    <row r="1495" spans="15:20">
      <c r="O1495" s="247"/>
      <c r="P1495"/>
      <c r="Q1495" s="224"/>
      <c r="S1495" s="202"/>
      <c r="T1495"/>
    </row>
    <row r="1496" spans="15:20">
      <c r="O1496" s="247"/>
      <c r="P1496"/>
      <c r="Q1496" s="224"/>
      <c r="S1496" s="202"/>
      <c r="T1496"/>
    </row>
    <row r="1497" spans="15:20">
      <c r="O1497" s="247"/>
      <c r="P1497"/>
      <c r="Q1497" s="224"/>
      <c r="S1497" s="202"/>
      <c r="T1497"/>
    </row>
    <row r="1498" spans="15:20">
      <c r="O1498" s="247"/>
      <c r="P1498"/>
      <c r="Q1498" s="224"/>
      <c r="S1498" s="202"/>
      <c r="T1498"/>
    </row>
    <row r="1499" spans="15:20">
      <c r="O1499" s="247"/>
      <c r="P1499"/>
      <c r="Q1499" s="224"/>
      <c r="S1499" s="202"/>
      <c r="T1499"/>
    </row>
    <row r="1500" spans="15:20">
      <c r="O1500" s="247"/>
      <c r="P1500"/>
      <c r="Q1500" s="224"/>
      <c r="S1500" s="202"/>
      <c r="T1500"/>
    </row>
    <row r="1501" spans="15:20">
      <c r="O1501" s="247"/>
      <c r="P1501"/>
      <c r="Q1501" s="224"/>
      <c r="S1501" s="202"/>
      <c r="T1501"/>
    </row>
    <row r="1502" spans="15:20">
      <c r="O1502" s="247"/>
      <c r="P1502"/>
      <c r="Q1502" s="224"/>
      <c r="S1502" s="202"/>
      <c r="T1502"/>
    </row>
    <row r="1503" spans="15:20">
      <c r="O1503" s="247"/>
      <c r="P1503"/>
      <c r="Q1503" s="224"/>
      <c r="S1503" s="202"/>
      <c r="T1503"/>
    </row>
    <row r="1504" spans="15:20">
      <c r="O1504" s="247"/>
      <c r="P1504"/>
      <c r="Q1504" s="224"/>
      <c r="S1504" s="202"/>
      <c r="T1504"/>
    </row>
    <row r="1505" spans="15:20">
      <c r="O1505" s="247"/>
      <c r="P1505"/>
      <c r="Q1505" s="224"/>
      <c r="S1505" s="202"/>
      <c r="T1505"/>
    </row>
    <row r="1506" spans="15:20">
      <c r="O1506" s="247"/>
      <c r="P1506"/>
      <c r="Q1506" s="224"/>
      <c r="S1506" s="202"/>
      <c r="T1506"/>
    </row>
    <row r="1507" spans="15:20">
      <c r="O1507" s="247"/>
      <c r="P1507"/>
      <c r="Q1507" s="224"/>
      <c r="S1507" s="202"/>
      <c r="T1507"/>
    </row>
    <row r="1508" spans="15:20">
      <c r="O1508" s="247"/>
      <c r="P1508"/>
      <c r="Q1508" s="224"/>
      <c r="S1508" s="202"/>
      <c r="T1508"/>
    </row>
    <row r="1509" spans="15:20">
      <c r="O1509" s="247"/>
      <c r="P1509"/>
      <c r="Q1509" s="224"/>
      <c r="S1509" s="202"/>
      <c r="T1509"/>
    </row>
    <row r="1510" spans="15:20">
      <c r="O1510" s="247"/>
      <c r="P1510"/>
      <c r="Q1510" s="224"/>
      <c r="S1510" s="202"/>
      <c r="T1510"/>
    </row>
    <row r="1511" spans="15:20">
      <c r="O1511" s="247"/>
      <c r="P1511"/>
      <c r="Q1511" s="224"/>
      <c r="S1511" s="202"/>
      <c r="T1511"/>
    </row>
    <row r="1512" spans="15:20">
      <c r="O1512" s="247"/>
      <c r="P1512"/>
      <c r="Q1512" s="224"/>
      <c r="S1512" s="202"/>
      <c r="T1512"/>
    </row>
    <row r="1513" spans="15:20">
      <c r="O1513" s="247"/>
      <c r="P1513"/>
      <c r="Q1513" s="224"/>
      <c r="S1513" s="202"/>
      <c r="T1513"/>
    </row>
    <row r="1514" spans="15:20">
      <c r="O1514" s="247"/>
      <c r="P1514"/>
      <c r="Q1514" s="224"/>
      <c r="S1514" s="202"/>
      <c r="T1514"/>
    </row>
    <row r="1515" spans="15:20">
      <c r="O1515" s="247"/>
      <c r="P1515"/>
      <c r="Q1515" s="224"/>
      <c r="S1515" s="202"/>
      <c r="T1515"/>
    </row>
    <row r="1516" spans="15:20">
      <c r="O1516" s="247"/>
      <c r="P1516"/>
      <c r="Q1516" s="224"/>
      <c r="S1516" s="202"/>
      <c r="T1516"/>
    </row>
    <row r="1517" spans="15:20">
      <c r="O1517" s="247"/>
      <c r="P1517"/>
      <c r="Q1517" s="224"/>
      <c r="S1517" s="202"/>
      <c r="T1517"/>
    </row>
    <row r="1518" spans="15:20">
      <c r="O1518" s="247"/>
      <c r="P1518"/>
      <c r="Q1518" s="224"/>
      <c r="S1518" s="202"/>
      <c r="T1518"/>
    </row>
    <row r="1519" spans="15:20">
      <c r="O1519" s="247"/>
      <c r="P1519"/>
      <c r="Q1519" s="224"/>
      <c r="S1519" s="202"/>
      <c r="T1519"/>
    </row>
    <row r="1520" spans="15:20">
      <c r="O1520" s="247"/>
      <c r="P1520"/>
      <c r="Q1520" s="224"/>
      <c r="S1520" s="202"/>
      <c r="T1520"/>
    </row>
    <row r="1521" spans="15:20">
      <c r="O1521" s="247"/>
      <c r="P1521"/>
      <c r="Q1521" s="224"/>
      <c r="S1521" s="202"/>
      <c r="T1521"/>
    </row>
    <row r="1522" spans="15:20">
      <c r="O1522" s="247"/>
      <c r="P1522"/>
      <c r="Q1522" s="224"/>
      <c r="S1522" s="202"/>
      <c r="T1522"/>
    </row>
    <row r="1523" spans="15:20">
      <c r="O1523" s="247"/>
      <c r="P1523"/>
      <c r="Q1523" s="224"/>
      <c r="S1523" s="202"/>
      <c r="T1523"/>
    </row>
    <row r="1524" spans="15:20">
      <c r="O1524" s="247"/>
      <c r="P1524"/>
      <c r="Q1524" s="224"/>
      <c r="S1524" s="202"/>
      <c r="T1524"/>
    </row>
    <row r="1525" spans="15:20">
      <c r="O1525" s="247"/>
      <c r="P1525"/>
      <c r="Q1525" s="224"/>
      <c r="S1525" s="202"/>
      <c r="T1525"/>
    </row>
    <row r="1526" spans="15:20">
      <c r="O1526" s="247"/>
      <c r="P1526"/>
      <c r="Q1526" s="224"/>
      <c r="S1526" s="202"/>
      <c r="T1526"/>
    </row>
    <row r="1527" spans="15:20">
      <c r="O1527" s="247"/>
      <c r="P1527"/>
      <c r="Q1527" s="224"/>
      <c r="S1527" s="202"/>
      <c r="T1527"/>
    </row>
    <row r="1528" spans="15:20">
      <c r="O1528" s="247"/>
      <c r="P1528"/>
      <c r="Q1528" s="224"/>
      <c r="S1528" s="202"/>
      <c r="T1528"/>
    </row>
    <row r="1529" spans="15:20">
      <c r="O1529" s="247"/>
      <c r="P1529"/>
      <c r="Q1529" s="224"/>
      <c r="S1529" s="202"/>
      <c r="T1529"/>
    </row>
    <row r="1530" spans="15:20">
      <c r="O1530" s="247"/>
      <c r="P1530"/>
      <c r="Q1530" s="224"/>
      <c r="S1530" s="202"/>
      <c r="T1530"/>
    </row>
    <row r="1531" spans="15:20">
      <c r="O1531" s="247"/>
      <c r="P1531"/>
      <c r="Q1531" s="224"/>
      <c r="S1531" s="202"/>
      <c r="T1531"/>
    </row>
    <row r="1532" spans="15:20">
      <c r="O1532" s="247"/>
      <c r="P1532"/>
      <c r="Q1532" s="224"/>
      <c r="S1532" s="202"/>
      <c r="T1532"/>
    </row>
    <row r="1533" spans="15:20">
      <c r="O1533" s="247"/>
      <c r="P1533"/>
      <c r="Q1533" s="224"/>
      <c r="S1533" s="202"/>
      <c r="T1533"/>
    </row>
    <row r="1534" spans="15:20">
      <c r="O1534" s="247"/>
      <c r="P1534"/>
      <c r="Q1534" s="224"/>
      <c r="S1534" s="202"/>
      <c r="T1534"/>
    </row>
    <row r="1535" spans="15:20">
      <c r="O1535" s="247"/>
      <c r="P1535"/>
      <c r="Q1535" s="224"/>
      <c r="S1535" s="202"/>
      <c r="T1535"/>
    </row>
    <row r="1536" spans="15:20">
      <c r="O1536" s="247"/>
      <c r="P1536"/>
      <c r="Q1536" s="224"/>
      <c r="S1536" s="202"/>
      <c r="T1536"/>
    </row>
    <row r="1537" spans="15:20">
      <c r="O1537" s="247"/>
      <c r="P1537"/>
      <c r="Q1537" s="224"/>
      <c r="S1537" s="202"/>
      <c r="T1537"/>
    </row>
    <row r="1538" spans="15:20">
      <c r="O1538" s="247"/>
      <c r="P1538"/>
      <c r="Q1538" s="224"/>
      <c r="S1538" s="202"/>
      <c r="T1538"/>
    </row>
    <row r="1539" spans="15:20">
      <c r="O1539" s="247"/>
      <c r="P1539"/>
      <c r="Q1539" s="224"/>
      <c r="S1539" s="202"/>
      <c r="T1539"/>
    </row>
    <row r="1540" spans="15:20">
      <c r="O1540" s="247"/>
      <c r="P1540"/>
      <c r="Q1540" s="224"/>
      <c r="S1540" s="202"/>
      <c r="T1540"/>
    </row>
    <row r="1541" spans="15:20">
      <c r="O1541" s="247"/>
      <c r="P1541"/>
      <c r="Q1541" s="224"/>
      <c r="S1541" s="202"/>
      <c r="T1541"/>
    </row>
    <row r="1542" spans="15:20">
      <c r="O1542" s="247"/>
      <c r="P1542"/>
      <c r="Q1542" s="224"/>
      <c r="S1542" s="202"/>
      <c r="T1542"/>
    </row>
    <row r="1543" spans="15:20">
      <c r="O1543" s="247"/>
      <c r="P1543"/>
      <c r="Q1543" s="224"/>
      <c r="S1543" s="202"/>
      <c r="T1543"/>
    </row>
    <row r="1544" spans="15:20">
      <c r="O1544" s="247"/>
      <c r="P1544"/>
      <c r="Q1544" s="224"/>
      <c r="S1544" s="202"/>
      <c r="T1544"/>
    </row>
    <row r="1545" spans="15:20">
      <c r="O1545" s="247"/>
      <c r="P1545"/>
      <c r="Q1545" s="224"/>
      <c r="S1545" s="202"/>
      <c r="T1545"/>
    </row>
    <row r="1546" spans="15:20">
      <c r="O1546" s="247"/>
      <c r="P1546"/>
      <c r="Q1546" s="224"/>
      <c r="S1546" s="202"/>
      <c r="T1546"/>
    </row>
    <row r="1547" spans="15:20">
      <c r="O1547" s="247"/>
      <c r="P1547"/>
      <c r="Q1547" s="224"/>
      <c r="S1547" s="202"/>
      <c r="T1547"/>
    </row>
    <row r="1548" spans="15:20">
      <c r="O1548" s="247"/>
      <c r="P1548"/>
      <c r="Q1548" s="224"/>
      <c r="S1548" s="202"/>
      <c r="T1548"/>
    </row>
    <row r="1549" spans="15:20">
      <c r="O1549" s="247"/>
      <c r="P1549"/>
      <c r="Q1549" s="224"/>
      <c r="S1549" s="202"/>
      <c r="T1549"/>
    </row>
    <row r="1550" spans="15:20">
      <c r="O1550" s="247"/>
      <c r="P1550"/>
      <c r="Q1550" s="224"/>
      <c r="S1550" s="202"/>
      <c r="T1550"/>
    </row>
    <row r="1551" spans="15:20">
      <c r="O1551" s="247"/>
      <c r="P1551"/>
      <c r="Q1551" s="224"/>
      <c r="S1551" s="202"/>
      <c r="T1551"/>
    </row>
    <row r="1552" spans="15:20">
      <c r="O1552" s="247"/>
      <c r="P1552"/>
      <c r="Q1552" s="224"/>
      <c r="S1552" s="202"/>
      <c r="T1552"/>
    </row>
    <row r="1553" spans="15:20">
      <c r="O1553" s="247"/>
      <c r="P1553"/>
      <c r="Q1553" s="224"/>
      <c r="S1553" s="202"/>
      <c r="T1553"/>
    </row>
    <row r="1554" spans="15:20">
      <c r="O1554" s="247"/>
      <c r="P1554"/>
      <c r="Q1554" s="224"/>
      <c r="S1554" s="202"/>
      <c r="T1554"/>
    </row>
    <row r="1555" spans="15:20">
      <c r="O1555" s="247"/>
      <c r="P1555"/>
      <c r="Q1555" s="224"/>
      <c r="S1555" s="202"/>
      <c r="T1555"/>
    </row>
    <row r="1556" spans="15:20">
      <c r="O1556" s="247"/>
      <c r="P1556"/>
      <c r="Q1556" s="224"/>
      <c r="S1556" s="202"/>
      <c r="T1556"/>
    </row>
    <row r="1557" spans="15:20">
      <c r="O1557" s="247"/>
      <c r="P1557"/>
      <c r="Q1557" s="224"/>
      <c r="S1557" s="202"/>
      <c r="T1557"/>
    </row>
    <row r="1558" spans="15:20">
      <c r="O1558" s="247"/>
      <c r="P1558"/>
      <c r="Q1558" s="224"/>
      <c r="S1558" s="202"/>
      <c r="T1558"/>
    </row>
    <row r="1559" spans="15:20">
      <c r="O1559" s="247"/>
      <c r="P1559"/>
      <c r="Q1559" s="224"/>
      <c r="S1559" s="202"/>
      <c r="T1559"/>
    </row>
    <row r="1560" spans="15:20">
      <c r="O1560" s="247"/>
      <c r="P1560"/>
      <c r="Q1560" s="224"/>
      <c r="S1560" s="202"/>
      <c r="T1560"/>
    </row>
    <row r="1561" spans="15:20">
      <c r="O1561" s="247"/>
      <c r="P1561"/>
      <c r="Q1561" s="224"/>
      <c r="S1561" s="202"/>
      <c r="T1561"/>
    </row>
    <row r="1562" spans="15:20">
      <c r="O1562" s="247"/>
      <c r="P1562"/>
      <c r="Q1562" s="224"/>
      <c r="S1562" s="202"/>
      <c r="T1562"/>
    </row>
    <row r="1563" spans="15:20">
      <c r="O1563" s="247"/>
      <c r="P1563"/>
      <c r="Q1563" s="224"/>
      <c r="S1563" s="202"/>
      <c r="T1563"/>
    </row>
    <row r="1564" spans="15:20">
      <c r="O1564" s="247"/>
      <c r="P1564"/>
      <c r="Q1564" s="224"/>
      <c r="S1564" s="202"/>
      <c r="T1564"/>
    </row>
    <row r="1565" spans="15:20">
      <c r="O1565" s="247"/>
      <c r="P1565"/>
      <c r="Q1565" s="224"/>
      <c r="S1565" s="202"/>
      <c r="T1565"/>
    </row>
    <row r="1566" spans="15:20">
      <c r="O1566" s="247"/>
      <c r="P1566"/>
      <c r="Q1566" s="224"/>
      <c r="S1566" s="202"/>
      <c r="T1566"/>
    </row>
    <row r="1567" spans="15:20">
      <c r="O1567" s="247"/>
      <c r="P1567"/>
      <c r="Q1567" s="224"/>
      <c r="S1567" s="202"/>
      <c r="T1567"/>
    </row>
    <row r="1568" spans="15:20">
      <c r="O1568" s="247"/>
      <c r="P1568"/>
      <c r="Q1568" s="224"/>
      <c r="S1568" s="202"/>
      <c r="T1568"/>
    </row>
    <row r="1569" spans="15:20">
      <c r="O1569" s="247"/>
      <c r="P1569"/>
      <c r="Q1569" s="224"/>
      <c r="S1569" s="202"/>
      <c r="T1569"/>
    </row>
    <row r="1570" spans="15:20">
      <c r="O1570" s="247"/>
      <c r="P1570"/>
      <c r="Q1570" s="224"/>
      <c r="S1570" s="202"/>
      <c r="T1570"/>
    </row>
    <row r="1571" spans="15:20">
      <c r="O1571" s="247"/>
      <c r="P1571"/>
      <c r="Q1571" s="224"/>
      <c r="S1571" s="202"/>
      <c r="T1571"/>
    </row>
    <row r="1572" spans="15:20">
      <c r="O1572" s="247"/>
      <c r="P1572"/>
      <c r="Q1572" s="224"/>
      <c r="S1572" s="202"/>
      <c r="T1572"/>
    </row>
    <row r="1573" spans="15:20">
      <c r="O1573" s="247"/>
      <c r="P1573"/>
      <c r="Q1573" s="224"/>
      <c r="S1573" s="202"/>
      <c r="T1573"/>
    </row>
    <row r="1574" spans="15:20">
      <c r="O1574" s="247"/>
      <c r="P1574"/>
      <c r="Q1574" s="224"/>
      <c r="S1574" s="202"/>
      <c r="T1574"/>
    </row>
    <row r="1575" spans="15:20">
      <c r="O1575" s="247"/>
      <c r="P1575"/>
      <c r="Q1575" s="224"/>
      <c r="S1575" s="202"/>
      <c r="T1575"/>
    </row>
    <row r="1576" spans="15:20">
      <c r="O1576" s="247"/>
      <c r="P1576"/>
      <c r="Q1576" s="224"/>
      <c r="S1576" s="202"/>
      <c r="T1576"/>
    </row>
    <row r="1577" spans="15:20">
      <c r="O1577" s="247"/>
      <c r="P1577"/>
      <c r="Q1577" s="224"/>
      <c r="S1577" s="202"/>
      <c r="T1577"/>
    </row>
    <row r="1578" spans="15:20">
      <c r="O1578" s="247"/>
      <c r="P1578"/>
      <c r="Q1578" s="224"/>
      <c r="S1578" s="202"/>
      <c r="T1578"/>
    </row>
    <row r="1579" spans="15:20">
      <c r="O1579" s="247"/>
      <c r="P1579"/>
      <c r="Q1579" s="224"/>
      <c r="S1579" s="202"/>
      <c r="T1579"/>
    </row>
    <row r="1580" spans="15:20">
      <c r="O1580" s="247"/>
      <c r="P1580"/>
      <c r="Q1580" s="224"/>
      <c r="S1580" s="202"/>
      <c r="T1580"/>
    </row>
    <row r="1581" spans="15:20">
      <c r="O1581" s="247"/>
      <c r="P1581"/>
      <c r="Q1581" s="224"/>
      <c r="S1581" s="202"/>
      <c r="T1581"/>
    </row>
    <row r="1582" spans="15:20">
      <c r="O1582" s="247"/>
      <c r="P1582"/>
      <c r="Q1582" s="224"/>
      <c r="S1582" s="202"/>
      <c r="T1582"/>
    </row>
    <row r="1583" spans="15:20">
      <c r="O1583" s="247"/>
      <c r="P1583"/>
      <c r="Q1583" s="224"/>
      <c r="S1583" s="202"/>
      <c r="T1583"/>
    </row>
    <row r="1584" spans="15:20">
      <c r="O1584" s="247"/>
      <c r="P1584"/>
      <c r="Q1584" s="224"/>
      <c r="S1584" s="202"/>
      <c r="T1584"/>
    </row>
    <row r="1585" spans="15:20">
      <c r="O1585" s="247"/>
      <c r="P1585"/>
      <c r="Q1585" s="224"/>
      <c r="S1585" s="202"/>
      <c r="T1585"/>
    </row>
    <row r="1586" spans="15:20">
      <c r="O1586" s="247"/>
      <c r="P1586"/>
      <c r="Q1586" s="224"/>
      <c r="S1586" s="202"/>
      <c r="T1586"/>
    </row>
    <row r="1587" spans="15:20">
      <c r="O1587" s="247"/>
      <c r="P1587"/>
      <c r="Q1587" s="224"/>
      <c r="S1587" s="202"/>
      <c r="T1587"/>
    </row>
    <row r="1588" spans="15:20">
      <c r="O1588" s="247"/>
      <c r="P1588"/>
      <c r="Q1588" s="224"/>
      <c r="S1588" s="202"/>
      <c r="T1588"/>
    </row>
    <row r="1589" spans="15:20">
      <c r="O1589" s="247"/>
      <c r="P1589"/>
      <c r="Q1589" s="224"/>
      <c r="S1589" s="202"/>
      <c r="T1589"/>
    </row>
    <row r="1590" spans="15:20">
      <c r="O1590" s="247"/>
      <c r="P1590"/>
      <c r="Q1590" s="224"/>
      <c r="S1590" s="202"/>
      <c r="T1590"/>
    </row>
    <row r="1591" spans="15:20">
      <c r="O1591" s="247"/>
      <c r="P1591"/>
      <c r="Q1591" s="224"/>
      <c r="S1591" s="202"/>
      <c r="T1591"/>
    </row>
    <row r="1592" spans="15:20">
      <c r="O1592" s="247"/>
      <c r="P1592"/>
      <c r="Q1592" s="224"/>
      <c r="S1592" s="202"/>
      <c r="T1592"/>
    </row>
    <row r="1593" spans="15:20">
      <c r="O1593" s="247"/>
      <c r="P1593"/>
      <c r="Q1593" s="224"/>
      <c r="S1593" s="202"/>
      <c r="T1593"/>
    </row>
    <row r="1594" spans="15:20">
      <c r="O1594" s="247"/>
      <c r="P1594"/>
      <c r="Q1594" s="224"/>
      <c r="S1594" s="202"/>
      <c r="T1594"/>
    </row>
    <row r="1595" spans="15:20">
      <c r="O1595" s="247"/>
      <c r="P1595"/>
      <c r="Q1595" s="224"/>
      <c r="S1595" s="202"/>
      <c r="T1595"/>
    </row>
    <row r="1596" spans="15:20">
      <c r="O1596" s="247"/>
      <c r="P1596"/>
      <c r="Q1596" s="224"/>
      <c r="S1596" s="202"/>
      <c r="T1596"/>
    </row>
    <row r="1597" spans="15:20">
      <c r="O1597" s="247"/>
      <c r="P1597"/>
      <c r="Q1597" s="224"/>
      <c r="S1597" s="202"/>
      <c r="T1597"/>
    </row>
    <row r="1598" spans="15:20">
      <c r="O1598" s="247"/>
      <c r="P1598"/>
      <c r="Q1598" s="224"/>
      <c r="S1598" s="202"/>
      <c r="T1598"/>
    </row>
    <row r="1599" spans="15:20">
      <c r="O1599" s="247"/>
      <c r="P1599"/>
      <c r="Q1599" s="224"/>
      <c r="S1599" s="202"/>
      <c r="T1599"/>
    </row>
    <row r="1600" spans="15:20">
      <c r="O1600" s="247"/>
      <c r="P1600"/>
      <c r="Q1600" s="224"/>
      <c r="S1600" s="202"/>
      <c r="T1600"/>
    </row>
    <row r="1601" spans="15:20">
      <c r="O1601" s="247"/>
      <c r="P1601"/>
      <c r="Q1601" s="224"/>
      <c r="S1601" s="202"/>
      <c r="T1601"/>
    </row>
    <row r="1602" spans="15:20">
      <c r="O1602" s="247"/>
      <c r="P1602"/>
      <c r="Q1602" s="224"/>
      <c r="S1602" s="202"/>
      <c r="T1602"/>
    </row>
    <row r="1603" spans="15:20">
      <c r="O1603" s="247"/>
      <c r="P1603"/>
      <c r="Q1603" s="224"/>
      <c r="S1603" s="202"/>
      <c r="T1603"/>
    </row>
    <row r="1604" spans="15:20">
      <c r="O1604" s="247"/>
      <c r="P1604"/>
      <c r="Q1604" s="224"/>
      <c r="S1604" s="202"/>
      <c r="T1604"/>
    </row>
    <row r="1605" spans="15:20">
      <c r="O1605" s="247"/>
      <c r="P1605"/>
      <c r="Q1605" s="224"/>
      <c r="S1605" s="202"/>
      <c r="T1605"/>
    </row>
    <row r="1606" spans="15:20">
      <c r="O1606" s="247"/>
      <c r="P1606"/>
      <c r="Q1606" s="224"/>
      <c r="S1606" s="202"/>
      <c r="T1606"/>
    </row>
    <row r="1607" spans="15:20">
      <c r="O1607" s="247"/>
      <c r="P1607"/>
      <c r="Q1607" s="224"/>
      <c r="S1607" s="202"/>
      <c r="T1607"/>
    </row>
    <row r="1608" spans="15:20">
      <c r="O1608" s="247"/>
      <c r="P1608"/>
      <c r="Q1608" s="224"/>
      <c r="S1608" s="202"/>
      <c r="T1608"/>
    </row>
    <row r="1609" spans="15:20">
      <c r="O1609" s="247"/>
      <c r="P1609"/>
      <c r="Q1609" s="224"/>
      <c r="S1609" s="202"/>
      <c r="T1609"/>
    </row>
    <row r="1610" spans="15:20">
      <c r="O1610" s="247"/>
      <c r="P1610"/>
      <c r="Q1610" s="224"/>
      <c r="S1610" s="202"/>
      <c r="T1610"/>
    </row>
    <row r="1611" spans="15:20">
      <c r="O1611" s="247"/>
      <c r="P1611"/>
      <c r="Q1611" s="224"/>
      <c r="S1611" s="202"/>
      <c r="T1611"/>
    </row>
    <row r="1612" spans="15:20">
      <c r="O1612" s="247"/>
      <c r="P1612"/>
      <c r="Q1612" s="224"/>
      <c r="S1612" s="202"/>
      <c r="T1612"/>
    </row>
    <row r="1613" spans="15:20">
      <c r="O1613" s="247"/>
      <c r="P1613"/>
      <c r="Q1613" s="224"/>
      <c r="S1613" s="202"/>
      <c r="T1613"/>
    </row>
    <row r="1614" spans="15:20">
      <c r="O1614" s="247"/>
      <c r="P1614"/>
      <c r="Q1614" s="224"/>
      <c r="S1614" s="202"/>
      <c r="T1614"/>
    </row>
    <row r="1615" spans="15:20">
      <c r="O1615" s="247"/>
      <c r="P1615"/>
      <c r="Q1615" s="224"/>
      <c r="S1615" s="202"/>
      <c r="T1615"/>
    </row>
    <row r="1616" spans="15:20">
      <c r="O1616" s="247"/>
      <c r="P1616"/>
      <c r="Q1616" s="224"/>
      <c r="S1616" s="202"/>
      <c r="T1616"/>
    </row>
    <row r="1617" spans="15:20">
      <c r="O1617" s="247"/>
      <c r="P1617"/>
      <c r="Q1617" s="224"/>
      <c r="S1617" s="202"/>
      <c r="T1617"/>
    </row>
    <row r="1618" spans="15:20">
      <c r="O1618" s="247"/>
      <c r="P1618"/>
      <c r="Q1618" s="224"/>
      <c r="S1618" s="202"/>
      <c r="T1618"/>
    </row>
    <row r="1619" spans="15:20">
      <c r="O1619" s="247"/>
      <c r="P1619"/>
      <c r="Q1619" s="224"/>
      <c r="S1619" s="202"/>
      <c r="T1619"/>
    </row>
    <row r="1620" spans="15:20">
      <c r="O1620" s="247"/>
      <c r="P1620"/>
      <c r="Q1620" s="224"/>
      <c r="S1620" s="202"/>
      <c r="T1620"/>
    </row>
    <row r="1621" spans="15:20">
      <c r="O1621" s="247"/>
      <c r="P1621"/>
      <c r="Q1621" s="224"/>
      <c r="S1621" s="202"/>
      <c r="T1621"/>
    </row>
    <row r="1622" spans="15:20">
      <c r="O1622" s="247"/>
      <c r="P1622"/>
      <c r="Q1622" s="224"/>
      <c r="S1622" s="202"/>
      <c r="T1622"/>
    </row>
    <row r="1623" spans="15:20">
      <c r="O1623" s="247"/>
      <c r="P1623"/>
      <c r="Q1623" s="224"/>
      <c r="S1623" s="202"/>
      <c r="T1623"/>
    </row>
    <row r="1624" spans="15:20">
      <c r="O1624" s="247"/>
      <c r="P1624"/>
      <c r="Q1624" s="224"/>
      <c r="S1624" s="202"/>
      <c r="T1624"/>
    </row>
    <row r="1625" spans="15:20">
      <c r="O1625" s="247"/>
      <c r="P1625"/>
      <c r="Q1625" s="224"/>
      <c r="S1625" s="202"/>
      <c r="T1625"/>
    </row>
    <row r="1626" spans="15:20">
      <c r="O1626" s="247"/>
      <c r="P1626"/>
      <c r="Q1626" s="224"/>
      <c r="S1626" s="202"/>
      <c r="T1626"/>
    </row>
    <row r="1627" spans="15:20">
      <c r="O1627" s="247"/>
      <c r="P1627"/>
      <c r="Q1627" s="224"/>
      <c r="S1627" s="202"/>
      <c r="T1627"/>
    </row>
    <row r="1628" spans="15:20">
      <c r="O1628" s="247"/>
      <c r="P1628"/>
      <c r="Q1628" s="224"/>
      <c r="S1628" s="202"/>
      <c r="T1628"/>
    </row>
    <row r="1629" spans="15:20">
      <c r="O1629" s="247"/>
      <c r="P1629"/>
      <c r="Q1629" s="224"/>
      <c r="S1629" s="202"/>
      <c r="T1629"/>
    </row>
    <row r="1630" spans="15:20">
      <c r="O1630" s="247"/>
      <c r="P1630"/>
      <c r="Q1630" s="224"/>
      <c r="S1630" s="202"/>
      <c r="T1630"/>
    </row>
    <row r="1631" spans="15:20">
      <c r="O1631" s="247"/>
      <c r="P1631"/>
      <c r="Q1631" s="224"/>
      <c r="S1631" s="202"/>
      <c r="T1631"/>
    </row>
    <row r="1632" spans="15:20">
      <c r="O1632" s="247"/>
      <c r="P1632"/>
      <c r="Q1632" s="224"/>
      <c r="S1632" s="202"/>
      <c r="T1632"/>
    </row>
    <row r="1633" spans="15:20">
      <c r="O1633" s="247"/>
      <c r="P1633"/>
      <c r="Q1633" s="224"/>
      <c r="S1633" s="202"/>
      <c r="T1633"/>
    </row>
    <row r="1634" spans="15:20">
      <c r="O1634" s="247"/>
      <c r="P1634"/>
      <c r="Q1634" s="224"/>
      <c r="S1634" s="202"/>
      <c r="T1634"/>
    </row>
    <row r="1635" spans="15:20">
      <c r="O1635" s="247"/>
      <c r="P1635"/>
      <c r="Q1635" s="224"/>
      <c r="S1635" s="202"/>
      <c r="T1635"/>
    </row>
    <row r="1636" spans="15:20">
      <c r="O1636" s="247"/>
      <c r="P1636"/>
      <c r="Q1636" s="224"/>
      <c r="S1636" s="202"/>
      <c r="T1636"/>
    </row>
    <row r="1637" spans="15:20">
      <c r="O1637" s="247"/>
      <c r="P1637"/>
      <c r="Q1637" s="224"/>
      <c r="S1637" s="202"/>
      <c r="T1637"/>
    </row>
    <row r="1638" spans="15:20">
      <c r="O1638" s="247"/>
      <c r="P1638"/>
      <c r="Q1638" s="224"/>
      <c r="S1638" s="202"/>
      <c r="T1638"/>
    </row>
    <row r="1639" spans="15:20">
      <c r="O1639" s="247"/>
      <c r="P1639"/>
      <c r="Q1639" s="224"/>
      <c r="S1639" s="202"/>
      <c r="T1639"/>
    </row>
    <row r="1640" spans="15:20">
      <c r="O1640" s="247"/>
      <c r="P1640"/>
      <c r="Q1640" s="224"/>
      <c r="S1640" s="202"/>
      <c r="T1640"/>
    </row>
    <row r="1641" spans="15:20">
      <c r="O1641" s="247"/>
      <c r="P1641"/>
      <c r="Q1641" s="224"/>
      <c r="S1641" s="202"/>
      <c r="T1641"/>
    </row>
    <row r="1642" spans="15:20">
      <c r="O1642" s="247"/>
      <c r="P1642"/>
      <c r="Q1642" s="224"/>
      <c r="S1642" s="202"/>
      <c r="T1642"/>
    </row>
    <row r="1643" spans="15:20">
      <c r="O1643" s="247"/>
      <c r="P1643"/>
      <c r="Q1643" s="224"/>
      <c r="S1643" s="202"/>
      <c r="T1643"/>
    </row>
    <row r="1644" spans="15:20">
      <c r="O1644" s="247"/>
      <c r="P1644"/>
      <c r="Q1644" s="224"/>
      <c r="S1644" s="202"/>
      <c r="T1644"/>
    </row>
    <row r="1645" spans="15:20">
      <c r="O1645" s="247"/>
      <c r="P1645"/>
      <c r="Q1645" s="224"/>
      <c r="S1645" s="202"/>
      <c r="T1645"/>
    </row>
    <row r="1646" spans="15:20">
      <c r="O1646" s="247"/>
      <c r="P1646"/>
      <c r="Q1646" s="224"/>
      <c r="S1646" s="202"/>
      <c r="T1646"/>
    </row>
    <row r="1647" spans="15:20">
      <c r="O1647" s="247"/>
      <c r="P1647"/>
      <c r="Q1647" s="224"/>
      <c r="S1647" s="202"/>
      <c r="T1647"/>
    </row>
    <row r="1648" spans="15:20">
      <c r="O1648" s="247"/>
      <c r="P1648"/>
      <c r="Q1648" s="224"/>
      <c r="S1648" s="202"/>
      <c r="T1648"/>
    </row>
    <row r="1649" spans="15:20">
      <c r="O1649" s="247"/>
      <c r="P1649"/>
      <c r="Q1649" s="224"/>
      <c r="S1649" s="202"/>
      <c r="T1649"/>
    </row>
    <row r="1650" spans="15:20">
      <c r="O1650" s="247"/>
      <c r="P1650"/>
      <c r="Q1650" s="224"/>
      <c r="S1650" s="202"/>
      <c r="T1650"/>
    </row>
    <row r="1651" spans="15:20">
      <c r="O1651" s="247"/>
      <c r="P1651"/>
      <c r="Q1651" s="224"/>
      <c r="S1651" s="202"/>
      <c r="T1651"/>
    </row>
    <row r="1652" spans="15:20">
      <c r="O1652" s="247"/>
      <c r="P1652"/>
      <c r="Q1652" s="224"/>
      <c r="S1652" s="202"/>
      <c r="T1652"/>
    </row>
    <row r="1653" spans="15:20">
      <c r="O1653" s="247"/>
      <c r="P1653"/>
      <c r="Q1653" s="224"/>
      <c r="S1653" s="202"/>
      <c r="T1653"/>
    </row>
    <row r="1654" spans="15:20">
      <c r="O1654" s="247"/>
      <c r="P1654"/>
      <c r="Q1654" s="224"/>
      <c r="S1654" s="202"/>
      <c r="T1654"/>
    </row>
    <row r="1655" spans="15:20">
      <c r="O1655" s="247"/>
      <c r="P1655"/>
      <c r="Q1655" s="224"/>
      <c r="S1655" s="202"/>
      <c r="T1655"/>
    </row>
    <row r="1656" spans="15:20">
      <c r="O1656" s="247"/>
      <c r="P1656"/>
      <c r="Q1656" s="224"/>
      <c r="S1656" s="202"/>
      <c r="T1656"/>
    </row>
    <row r="1657" spans="15:20">
      <c r="O1657" s="247"/>
      <c r="P1657"/>
      <c r="Q1657" s="224"/>
      <c r="S1657" s="202"/>
      <c r="T1657"/>
    </row>
    <row r="1658" spans="15:20">
      <c r="O1658" s="247"/>
      <c r="P1658"/>
      <c r="Q1658" s="224"/>
      <c r="S1658" s="202"/>
      <c r="T1658"/>
    </row>
    <row r="1659" spans="15:20">
      <c r="O1659" s="247"/>
      <c r="P1659"/>
      <c r="Q1659" s="224"/>
      <c r="S1659" s="202"/>
      <c r="T1659"/>
    </row>
    <row r="1660" spans="15:20">
      <c r="O1660" s="247"/>
      <c r="P1660"/>
      <c r="Q1660" s="224"/>
      <c r="S1660" s="202"/>
      <c r="T1660"/>
    </row>
    <row r="1661" spans="15:20">
      <c r="O1661" s="247"/>
      <c r="P1661"/>
      <c r="Q1661" s="224"/>
      <c r="S1661" s="202"/>
      <c r="T1661"/>
    </row>
    <row r="1662" spans="15:20">
      <c r="O1662" s="247"/>
      <c r="P1662"/>
      <c r="Q1662" s="224"/>
      <c r="S1662" s="202"/>
      <c r="T1662"/>
    </row>
    <row r="1663" spans="15:20">
      <c r="O1663" s="247"/>
      <c r="P1663"/>
      <c r="Q1663" s="224"/>
      <c r="S1663" s="202"/>
      <c r="T1663"/>
    </row>
    <row r="1664" spans="15:20">
      <c r="O1664" s="247"/>
      <c r="P1664"/>
      <c r="Q1664" s="224"/>
      <c r="S1664" s="202"/>
      <c r="T1664"/>
    </row>
    <row r="1665" spans="15:20">
      <c r="O1665" s="247"/>
      <c r="P1665"/>
      <c r="Q1665" s="224"/>
      <c r="S1665" s="202"/>
      <c r="T1665"/>
    </row>
    <row r="1666" spans="15:20">
      <c r="O1666" s="247"/>
      <c r="P1666"/>
      <c r="Q1666" s="224"/>
      <c r="S1666" s="202"/>
      <c r="T1666"/>
    </row>
    <row r="1667" spans="15:20">
      <c r="O1667" s="247"/>
      <c r="P1667"/>
      <c r="Q1667" s="224"/>
      <c r="S1667" s="202"/>
      <c r="T1667"/>
    </row>
    <row r="1668" spans="15:20">
      <c r="O1668" s="247"/>
      <c r="P1668"/>
      <c r="Q1668" s="224"/>
      <c r="S1668" s="202"/>
      <c r="T1668"/>
    </row>
    <row r="1669" spans="15:20">
      <c r="O1669" s="247"/>
      <c r="P1669"/>
      <c r="Q1669" s="224"/>
      <c r="S1669" s="202"/>
      <c r="T1669"/>
    </row>
    <row r="1670" spans="15:20">
      <c r="O1670" s="247"/>
      <c r="P1670"/>
      <c r="Q1670" s="224"/>
      <c r="S1670" s="202"/>
      <c r="T1670"/>
    </row>
    <row r="1671" spans="15:20">
      <c r="O1671" s="247"/>
      <c r="P1671"/>
      <c r="Q1671" s="224"/>
      <c r="S1671" s="202"/>
      <c r="T1671"/>
    </row>
    <row r="1672" spans="15:20">
      <c r="O1672" s="247"/>
      <c r="P1672"/>
      <c r="Q1672" s="224"/>
      <c r="S1672" s="202"/>
      <c r="T1672"/>
    </row>
    <row r="1673" spans="15:20">
      <c r="O1673" s="247"/>
      <c r="P1673"/>
      <c r="Q1673" s="224"/>
      <c r="S1673" s="202"/>
      <c r="T1673"/>
    </row>
    <row r="1674" spans="15:20">
      <c r="O1674" s="247"/>
      <c r="P1674"/>
      <c r="Q1674" s="224"/>
      <c r="S1674" s="202"/>
      <c r="T1674"/>
    </row>
    <row r="1675" spans="15:20">
      <c r="O1675" s="247"/>
      <c r="P1675"/>
      <c r="Q1675" s="224"/>
      <c r="S1675" s="202"/>
      <c r="T1675"/>
    </row>
    <row r="1676" spans="15:20">
      <c r="O1676" s="247"/>
      <c r="P1676"/>
      <c r="Q1676" s="224"/>
      <c r="S1676" s="202"/>
      <c r="T1676"/>
    </row>
    <row r="1677" spans="15:20">
      <c r="O1677" s="247"/>
      <c r="P1677"/>
      <c r="Q1677" s="224"/>
      <c r="S1677" s="202"/>
      <c r="T1677"/>
    </row>
    <row r="1678" spans="15:20">
      <c r="O1678" s="247"/>
      <c r="P1678"/>
      <c r="Q1678" s="224"/>
      <c r="S1678" s="202"/>
      <c r="T1678"/>
    </row>
    <row r="1679" spans="15:20">
      <c r="O1679" s="247"/>
      <c r="P1679"/>
      <c r="Q1679" s="224"/>
      <c r="S1679" s="202"/>
      <c r="T1679"/>
    </row>
    <row r="1680" spans="15:20">
      <c r="O1680" s="247"/>
      <c r="P1680"/>
      <c r="Q1680" s="224"/>
      <c r="S1680" s="202"/>
      <c r="T1680"/>
    </row>
    <row r="1681" spans="15:20">
      <c r="O1681" s="247"/>
      <c r="P1681"/>
      <c r="Q1681" s="224"/>
      <c r="S1681" s="202"/>
      <c r="T1681"/>
    </row>
    <row r="1682" spans="15:20">
      <c r="O1682" s="247"/>
      <c r="P1682"/>
      <c r="Q1682" s="224"/>
      <c r="S1682" s="202"/>
      <c r="T1682"/>
    </row>
    <row r="1683" spans="15:20">
      <c r="O1683" s="247"/>
      <c r="P1683"/>
      <c r="Q1683" s="224"/>
      <c r="S1683" s="202"/>
      <c r="T1683"/>
    </row>
    <row r="1684" spans="15:20">
      <c r="O1684" s="247"/>
      <c r="P1684"/>
      <c r="Q1684" s="224"/>
      <c r="S1684" s="202"/>
      <c r="T1684"/>
    </row>
    <row r="1685" spans="15:20">
      <c r="O1685" s="247"/>
      <c r="P1685"/>
      <c r="Q1685" s="224"/>
      <c r="S1685" s="202"/>
      <c r="T1685"/>
    </row>
    <row r="1686" spans="15:20">
      <c r="O1686" s="247"/>
      <c r="P1686"/>
      <c r="Q1686" s="224"/>
      <c r="S1686" s="202"/>
      <c r="T1686"/>
    </row>
    <row r="1687" spans="15:20">
      <c r="O1687" s="247"/>
      <c r="P1687"/>
      <c r="Q1687" s="224"/>
      <c r="S1687" s="202"/>
      <c r="T1687"/>
    </row>
    <row r="1688" spans="15:20">
      <c r="O1688" s="247"/>
      <c r="P1688"/>
      <c r="Q1688" s="224"/>
      <c r="S1688" s="202"/>
      <c r="T1688"/>
    </row>
    <row r="1689" spans="15:20">
      <c r="O1689" s="247"/>
      <c r="P1689"/>
      <c r="Q1689" s="224"/>
      <c r="S1689" s="202"/>
      <c r="T1689"/>
    </row>
    <row r="1690" spans="15:20">
      <c r="O1690" s="247"/>
      <c r="P1690"/>
      <c r="Q1690" s="224"/>
      <c r="S1690" s="202"/>
      <c r="T1690"/>
    </row>
    <row r="1691" spans="15:20">
      <c r="O1691" s="247"/>
      <c r="P1691"/>
      <c r="Q1691" s="224"/>
      <c r="S1691" s="202"/>
      <c r="T1691"/>
    </row>
    <row r="1692" spans="15:20">
      <c r="O1692" s="247"/>
      <c r="P1692"/>
      <c r="Q1692" s="224"/>
      <c r="S1692" s="202"/>
      <c r="T1692"/>
    </row>
    <row r="1693" spans="15:20">
      <c r="O1693" s="247"/>
      <c r="P1693"/>
      <c r="Q1693" s="224"/>
      <c r="S1693" s="202"/>
      <c r="T1693"/>
    </row>
    <row r="1694" spans="15:20">
      <c r="O1694" s="247"/>
      <c r="P1694"/>
      <c r="Q1694" s="224"/>
      <c r="S1694" s="202"/>
      <c r="T1694"/>
    </row>
    <row r="1695" spans="15:20">
      <c r="O1695" s="247"/>
      <c r="P1695"/>
      <c r="Q1695" s="224"/>
      <c r="S1695" s="202"/>
      <c r="T1695"/>
    </row>
    <row r="1696" spans="15:20">
      <c r="O1696" s="247"/>
      <c r="P1696"/>
      <c r="Q1696" s="224"/>
      <c r="S1696" s="202"/>
      <c r="T1696"/>
    </row>
    <row r="1697" spans="15:20">
      <c r="O1697" s="247"/>
      <c r="P1697"/>
      <c r="Q1697" s="224"/>
      <c r="S1697" s="202"/>
      <c r="T1697"/>
    </row>
    <row r="1698" spans="15:20">
      <c r="O1698" s="247"/>
      <c r="P1698"/>
      <c r="Q1698" s="224"/>
      <c r="S1698" s="202"/>
      <c r="T1698"/>
    </row>
    <row r="1699" spans="15:20">
      <c r="O1699" s="247"/>
      <c r="P1699"/>
      <c r="Q1699" s="224"/>
      <c r="S1699" s="202"/>
      <c r="T1699"/>
    </row>
    <row r="1700" spans="15:20">
      <c r="O1700" s="247"/>
      <c r="P1700"/>
      <c r="Q1700" s="224"/>
      <c r="S1700" s="202"/>
      <c r="T1700"/>
    </row>
    <row r="1701" spans="15:20">
      <c r="O1701" s="247"/>
      <c r="P1701"/>
      <c r="Q1701" s="224"/>
      <c r="S1701" s="202"/>
      <c r="T1701"/>
    </row>
    <row r="1702" spans="15:20">
      <c r="O1702" s="247"/>
      <c r="P1702"/>
      <c r="Q1702" s="224"/>
      <c r="S1702" s="202"/>
      <c r="T1702"/>
    </row>
    <row r="1703" spans="15:20">
      <c r="O1703" s="247"/>
      <c r="P1703"/>
      <c r="Q1703" s="224"/>
      <c r="S1703" s="202"/>
      <c r="T1703"/>
    </row>
    <row r="1704" spans="15:20">
      <c r="O1704" s="247"/>
      <c r="P1704"/>
      <c r="Q1704" s="224"/>
      <c r="S1704" s="202"/>
      <c r="T1704"/>
    </row>
    <row r="1705" spans="15:20">
      <c r="O1705" s="247"/>
      <c r="P1705"/>
      <c r="Q1705" s="224"/>
      <c r="S1705" s="202"/>
      <c r="T1705"/>
    </row>
    <row r="1706" spans="15:20">
      <c r="O1706" s="247"/>
      <c r="P1706"/>
      <c r="Q1706" s="224"/>
      <c r="S1706" s="202"/>
      <c r="T1706"/>
    </row>
    <row r="1707" spans="15:20">
      <c r="O1707" s="247"/>
      <c r="P1707"/>
      <c r="Q1707" s="224"/>
      <c r="S1707" s="202"/>
      <c r="T1707"/>
    </row>
    <row r="1708" spans="15:20">
      <c r="O1708" s="247"/>
      <c r="P1708"/>
      <c r="Q1708" s="224"/>
      <c r="S1708" s="202"/>
      <c r="T1708"/>
    </row>
    <row r="1709" spans="15:20">
      <c r="O1709" s="247"/>
      <c r="P1709"/>
      <c r="Q1709" s="224"/>
      <c r="S1709" s="202"/>
      <c r="T1709"/>
    </row>
    <row r="1710" spans="15:20">
      <c r="O1710" s="247"/>
      <c r="P1710"/>
      <c r="Q1710" s="224"/>
      <c r="S1710" s="202"/>
      <c r="T1710"/>
    </row>
    <row r="1711" spans="15:20">
      <c r="O1711" s="247"/>
      <c r="P1711"/>
      <c r="Q1711" s="224"/>
      <c r="S1711" s="202"/>
      <c r="T1711"/>
    </row>
    <row r="1712" spans="15:20">
      <c r="O1712" s="247"/>
      <c r="P1712"/>
      <c r="Q1712" s="224"/>
      <c r="S1712" s="202"/>
      <c r="T1712"/>
    </row>
    <row r="1713" spans="15:20">
      <c r="O1713" s="247"/>
      <c r="P1713"/>
      <c r="Q1713" s="224"/>
      <c r="S1713" s="202"/>
      <c r="T1713"/>
    </row>
    <row r="1714" spans="15:20">
      <c r="O1714" s="247"/>
      <c r="P1714"/>
      <c r="Q1714" s="224"/>
      <c r="S1714" s="202"/>
      <c r="T1714"/>
    </row>
    <row r="1715" spans="15:20">
      <c r="O1715" s="247"/>
      <c r="P1715"/>
      <c r="Q1715" s="224"/>
      <c r="S1715" s="202"/>
      <c r="T1715"/>
    </row>
    <row r="1716" spans="15:20">
      <c r="O1716" s="247"/>
      <c r="P1716"/>
      <c r="Q1716" s="224"/>
      <c r="S1716" s="202"/>
      <c r="T1716"/>
    </row>
    <row r="1717" spans="15:20">
      <c r="O1717" s="247"/>
      <c r="P1717"/>
      <c r="Q1717" s="224"/>
      <c r="S1717" s="202"/>
      <c r="T1717"/>
    </row>
    <row r="1718" spans="15:20">
      <c r="O1718" s="247"/>
      <c r="P1718"/>
      <c r="Q1718" s="224"/>
      <c r="S1718" s="202"/>
      <c r="T1718"/>
    </row>
    <row r="1719" spans="15:20">
      <c r="O1719" s="247"/>
      <c r="P1719"/>
      <c r="Q1719" s="224"/>
      <c r="S1719" s="202"/>
      <c r="T1719"/>
    </row>
    <row r="1720" spans="15:20">
      <c r="O1720" s="247"/>
      <c r="P1720"/>
      <c r="Q1720" s="224"/>
      <c r="S1720" s="202"/>
      <c r="T1720"/>
    </row>
    <row r="1721" spans="15:20">
      <c r="O1721" s="247"/>
      <c r="P1721"/>
      <c r="Q1721" s="224"/>
      <c r="S1721" s="202"/>
      <c r="T1721"/>
    </row>
    <row r="1722" spans="15:20">
      <c r="O1722" s="247"/>
      <c r="P1722"/>
      <c r="Q1722" s="224"/>
      <c r="S1722" s="202"/>
      <c r="T1722"/>
    </row>
    <row r="1723" spans="15:20">
      <c r="O1723" s="247"/>
      <c r="P1723"/>
      <c r="Q1723" s="224"/>
      <c r="S1723" s="202"/>
      <c r="T1723"/>
    </row>
    <row r="1724" spans="15:20">
      <c r="O1724" s="247"/>
      <c r="P1724"/>
      <c r="Q1724" s="224"/>
      <c r="S1724" s="202"/>
      <c r="T1724"/>
    </row>
    <row r="1725" spans="15:20">
      <c r="O1725" s="247"/>
      <c r="P1725"/>
      <c r="Q1725" s="224"/>
      <c r="S1725" s="202"/>
      <c r="T1725"/>
    </row>
    <row r="1726" spans="15:20">
      <c r="O1726" s="247"/>
      <c r="P1726"/>
      <c r="Q1726" s="224"/>
      <c r="S1726" s="202"/>
      <c r="T1726"/>
    </row>
    <row r="1727" spans="15:20">
      <c r="O1727" s="247"/>
      <c r="P1727"/>
      <c r="Q1727" s="224"/>
      <c r="S1727" s="202"/>
      <c r="T1727"/>
    </row>
    <row r="1728" spans="15:20">
      <c r="O1728" s="247"/>
      <c r="P1728"/>
      <c r="Q1728" s="224"/>
      <c r="S1728" s="202"/>
      <c r="T1728"/>
    </row>
    <row r="1729" spans="15:20">
      <c r="O1729" s="247"/>
      <c r="P1729"/>
      <c r="Q1729" s="224"/>
      <c r="S1729" s="202"/>
      <c r="T1729"/>
    </row>
    <row r="1730" spans="15:20">
      <c r="O1730" s="247"/>
      <c r="P1730"/>
      <c r="Q1730" s="224"/>
      <c r="S1730" s="202"/>
      <c r="T1730"/>
    </row>
    <row r="1731" spans="15:20">
      <c r="O1731" s="247"/>
      <c r="P1731"/>
      <c r="Q1731" s="224"/>
      <c r="S1731" s="202"/>
      <c r="T1731"/>
    </row>
    <row r="1732" spans="15:20">
      <c r="O1732" s="247"/>
      <c r="P1732"/>
      <c r="Q1732" s="224"/>
      <c r="S1732" s="202"/>
      <c r="T1732"/>
    </row>
    <row r="1733" spans="15:20">
      <c r="O1733" s="247"/>
      <c r="P1733"/>
      <c r="Q1733" s="224"/>
      <c r="S1733" s="202"/>
      <c r="T1733"/>
    </row>
    <row r="1734" spans="15:20">
      <c r="O1734" s="247"/>
      <c r="P1734"/>
      <c r="Q1734" s="224"/>
      <c r="S1734" s="202"/>
      <c r="T1734"/>
    </row>
    <row r="1735" spans="15:20">
      <c r="O1735" s="247"/>
      <c r="P1735"/>
      <c r="Q1735" s="224"/>
      <c r="S1735" s="202"/>
      <c r="T1735"/>
    </row>
    <row r="1736" spans="15:20">
      <c r="O1736" s="247"/>
      <c r="P1736"/>
      <c r="Q1736" s="224"/>
      <c r="S1736" s="202"/>
      <c r="T1736"/>
    </row>
    <row r="1737" spans="15:20">
      <c r="O1737" s="247"/>
      <c r="P1737"/>
      <c r="Q1737" s="224"/>
      <c r="S1737" s="202"/>
      <c r="T1737"/>
    </row>
    <row r="1738" spans="15:20">
      <c r="O1738" s="247"/>
      <c r="P1738"/>
      <c r="Q1738" s="224"/>
      <c r="S1738" s="202"/>
      <c r="T1738"/>
    </row>
    <row r="1739" spans="15:20">
      <c r="O1739" s="247"/>
      <c r="P1739"/>
      <c r="Q1739" s="224"/>
      <c r="S1739" s="202"/>
      <c r="T1739"/>
    </row>
    <row r="1740" spans="15:20">
      <c r="O1740" s="247"/>
      <c r="P1740"/>
      <c r="Q1740" s="224"/>
      <c r="S1740" s="202"/>
      <c r="T1740"/>
    </row>
    <row r="1741" spans="15:20">
      <c r="O1741" s="247"/>
      <c r="P1741"/>
      <c r="Q1741" s="224"/>
      <c r="S1741" s="202"/>
      <c r="T1741"/>
    </row>
    <row r="1742" spans="15:20">
      <c r="O1742" s="247"/>
      <c r="P1742"/>
      <c r="Q1742" s="224"/>
      <c r="S1742" s="202"/>
      <c r="T1742"/>
    </row>
    <row r="1743" spans="15:20">
      <c r="O1743" s="247"/>
      <c r="P1743"/>
      <c r="Q1743" s="224"/>
      <c r="S1743" s="202"/>
      <c r="T1743"/>
    </row>
    <row r="1744" spans="15:20">
      <c r="O1744" s="247"/>
      <c r="P1744"/>
      <c r="Q1744" s="224"/>
      <c r="S1744" s="202"/>
      <c r="T1744"/>
    </row>
    <row r="1745" spans="15:20">
      <c r="O1745" s="247"/>
      <c r="P1745"/>
      <c r="Q1745" s="224"/>
      <c r="S1745" s="202"/>
      <c r="T1745"/>
    </row>
    <row r="1746" spans="15:20">
      <c r="O1746" s="247"/>
      <c r="P1746"/>
      <c r="Q1746" s="224"/>
      <c r="S1746" s="202"/>
      <c r="T1746"/>
    </row>
    <row r="1747" spans="15:20">
      <c r="O1747" s="247"/>
      <c r="P1747"/>
      <c r="Q1747" s="224"/>
      <c r="S1747" s="202"/>
      <c r="T1747"/>
    </row>
    <row r="1748" spans="15:20">
      <c r="O1748" s="247"/>
      <c r="P1748"/>
      <c r="Q1748" s="224"/>
      <c r="S1748" s="202"/>
      <c r="T1748"/>
    </row>
    <row r="1749" spans="15:20">
      <c r="O1749" s="247"/>
      <c r="P1749"/>
      <c r="Q1749" s="224"/>
      <c r="S1749" s="202"/>
      <c r="T1749"/>
    </row>
    <row r="1750" spans="15:20">
      <c r="O1750" s="247"/>
      <c r="P1750"/>
      <c r="Q1750" s="224"/>
      <c r="S1750" s="202"/>
      <c r="T1750"/>
    </row>
    <row r="1751" spans="15:20">
      <c r="O1751" s="247"/>
      <c r="P1751"/>
      <c r="Q1751" s="224"/>
      <c r="S1751" s="202"/>
      <c r="T1751"/>
    </row>
    <row r="1752" spans="15:20">
      <c r="O1752" s="247"/>
      <c r="P1752"/>
      <c r="Q1752" s="224"/>
      <c r="S1752" s="202"/>
      <c r="T1752"/>
    </row>
    <row r="1753" spans="15:20">
      <c r="O1753" s="247"/>
      <c r="P1753"/>
      <c r="Q1753" s="224"/>
      <c r="S1753" s="202"/>
      <c r="T1753"/>
    </row>
    <row r="1754" spans="15:20">
      <c r="O1754" s="247"/>
      <c r="P1754"/>
      <c r="Q1754" s="224"/>
      <c r="S1754" s="202"/>
      <c r="T1754"/>
    </row>
    <row r="1755" spans="15:20">
      <c r="O1755" s="247"/>
      <c r="P1755"/>
      <c r="Q1755" s="224"/>
      <c r="S1755" s="202"/>
      <c r="T1755"/>
    </row>
    <row r="1756" spans="15:20">
      <c r="O1756" s="247"/>
      <c r="P1756"/>
      <c r="Q1756" s="224"/>
      <c r="S1756" s="202"/>
      <c r="T1756"/>
    </row>
    <row r="1757" spans="15:20">
      <c r="O1757" s="247"/>
      <c r="P1757"/>
      <c r="Q1757" s="224"/>
      <c r="S1757" s="202"/>
      <c r="T1757"/>
    </row>
    <row r="1758" spans="15:20">
      <c r="O1758" s="247"/>
      <c r="P1758"/>
      <c r="Q1758" s="224"/>
      <c r="S1758" s="202"/>
      <c r="T1758"/>
    </row>
    <row r="1759" spans="15:20">
      <c r="O1759" s="247"/>
      <c r="P1759"/>
      <c r="Q1759" s="224"/>
      <c r="S1759" s="202"/>
      <c r="T1759"/>
    </row>
    <row r="1760" spans="15:20">
      <c r="O1760" s="247"/>
      <c r="P1760"/>
      <c r="Q1760" s="224"/>
      <c r="S1760" s="202"/>
      <c r="T1760"/>
    </row>
    <row r="1761" spans="15:20">
      <c r="O1761" s="247"/>
      <c r="P1761"/>
      <c r="Q1761" s="224"/>
      <c r="S1761" s="202"/>
      <c r="T1761"/>
    </row>
    <row r="1762" spans="15:20">
      <c r="O1762" s="247"/>
      <c r="P1762"/>
      <c r="Q1762" s="224"/>
      <c r="S1762" s="202"/>
      <c r="T1762"/>
    </row>
    <row r="1763" spans="15:20">
      <c r="O1763" s="247"/>
      <c r="P1763"/>
      <c r="Q1763" s="224"/>
      <c r="S1763" s="202"/>
      <c r="T1763"/>
    </row>
    <row r="1764" spans="15:20">
      <c r="O1764" s="247"/>
      <c r="P1764"/>
      <c r="Q1764" s="224"/>
      <c r="S1764" s="202"/>
      <c r="T1764"/>
    </row>
    <row r="1765" spans="15:20">
      <c r="O1765" s="247"/>
      <c r="P1765"/>
      <c r="Q1765" s="224"/>
      <c r="S1765" s="202"/>
      <c r="T1765"/>
    </row>
    <row r="1766" spans="15:20">
      <c r="O1766" s="247"/>
      <c r="P1766"/>
      <c r="Q1766" s="224"/>
      <c r="S1766" s="202"/>
      <c r="T1766"/>
    </row>
    <row r="1767" spans="15:20">
      <c r="O1767" s="247"/>
      <c r="P1767"/>
      <c r="Q1767" s="224"/>
      <c r="S1767" s="202"/>
      <c r="T1767"/>
    </row>
    <row r="1768" spans="15:20">
      <c r="O1768" s="247"/>
      <c r="P1768"/>
      <c r="Q1768" s="224"/>
      <c r="S1768" s="202"/>
      <c r="T1768"/>
    </row>
    <row r="1769" spans="15:20">
      <c r="O1769" s="247"/>
      <c r="P1769"/>
      <c r="Q1769" s="224"/>
      <c r="S1769" s="202"/>
      <c r="T1769"/>
    </row>
    <row r="1770" spans="15:20">
      <c r="O1770" s="247"/>
      <c r="P1770"/>
      <c r="Q1770" s="224"/>
      <c r="S1770" s="202"/>
      <c r="T1770"/>
    </row>
    <row r="1771" spans="15:20">
      <c r="O1771" s="247"/>
      <c r="P1771"/>
      <c r="Q1771" s="224"/>
      <c r="S1771" s="202"/>
      <c r="T1771"/>
    </row>
    <row r="1772" spans="15:20">
      <c r="O1772" s="247"/>
      <c r="P1772"/>
      <c r="Q1772" s="224"/>
      <c r="S1772" s="202"/>
      <c r="T1772"/>
    </row>
    <row r="1773" spans="15:20">
      <c r="O1773" s="247"/>
      <c r="P1773"/>
      <c r="Q1773" s="224"/>
      <c r="S1773" s="202"/>
      <c r="T1773"/>
    </row>
    <row r="1774" spans="15:20">
      <c r="O1774" s="247"/>
      <c r="P1774"/>
      <c r="Q1774" s="224"/>
      <c r="S1774" s="202"/>
      <c r="T1774"/>
    </row>
    <row r="1775" spans="15:20">
      <c r="O1775" s="247"/>
      <c r="P1775"/>
      <c r="Q1775" s="224"/>
      <c r="S1775" s="202"/>
      <c r="T1775"/>
    </row>
    <row r="1776" spans="15:20">
      <c r="O1776" s="247"/>
      <c r="P1776"/>
      <c r="Q1776" s="224"/>
      <c r="S1776" s="202"/>
      <c r="T1776"/>
    </row>
    <row r="1777" spans="15:20">
      <c r="O1777" s="247"/>
      <c r="P1777"/>
      <c r="Q1777" s="224"/>
      <c r="S1777" s="202"/>
      <c r="T1777"/>
    </row>
    <row r="1778" spans="15:20">
      <c r="O1778" s="247"/>
      <c r="P1778"/>
      <c r="Q1778" s="224"/>
      <c r="S1778" s="202"/>
      <c r="T1778"/>
    </row>
    <row r="1779" spans="15:20">
      <c r="O1779" s="247"/>
      <c r="P1779"/>
      <c r="Q1779" s="224"/>
      <c r="S1779" s="202"/>
      <c r="T1779"/>
    </row>
    <row r="1780" spans="15:20">
      <c r="O1780" s="247"/>
      <c r="P1780"/>
      <c r="Q1780" s="224"/>
      <c r="S1780" s="202"/>
      <c r="T1780"/>
    </row>
    <row r="1781" spans="15:20">
      <c r="O1781" s="247"/>
      <c r="P1781"/>
      <c r="Q1781" s="224"/>
      <c r="S1781" s="202"/>
      <c r="T1781"/>
    </row>
    <row r="1782" spans="15:20">
      <c r="O1782" s="247"/>
      <c r="P1782"/>
      <c r="Q1782" s="224"/>
      <c r="S1782" s="202"/>
      <c r="T1782"/>
    </row>
    <row r="1783" spans="15:20">
      <c r="O1783" s="247"/>
      <c r="P1783"/>
      <c r="Q1783" s="224"/>
      <c r="S1783" s="202"/>
      <c r="T1783"/>
    </row>
    <row r="1784" spans="15:20">
      <c r="O1784" s="247"/>
      <c r="P1784"/>
      <c r="Q1784" s="224"/>
      <c r="S1784" s="202"/>
      <c r="T1784"/>
    </row>
    <row r="1785" spans="15:20">
      <c r="O1785" s="247"/>
      <c r="P1785"/>
      <c r="Q1785" s="224"/>
      <c r="S1785" s="202"/>
      <c r="T1785"/>
    </row>
    <row r="1786" spans="15:20">
      <c r="O1786" s="247"/>
      <c r="P1786"/>
      <c r="Q1786" s="224"/>
      <c r="S1786" s="202"/>
      <c r="T1786"/>
    </row>
    <row r="1787" spans="15:20">
      <c r="O1787" s="247"/>
      <c r="P1787"/>
      <c r="Q1787" s="224"/>
      <c r="S1787" s="202"/>
      <c r="T1787"/>
    </row>
    <row r="1788" spans="15:20">
      <c r="O1788" s="247"/>
      <c r="P1788"/>
      <c r="Q1788" s="224"/>
      <c r="S1788" s="202"/>
      <c r="T1788"/>
    </row>
    <row r="1789" spans="15:20">
      <c r="O1789" s="247"/>
      <c r="P1789"/>
      <c r="Q1789" s="224"/>
      <c r="S1789" s="202"/>
      <c r="T1789"/>
    </row>
    <row r="1790" spans="15:20">
      <c r="O1790" s="247"/>
      <c r="P1790"/>
      <c r="Q1790" s="224"/>
      <c r="S1790" s="202"/>
      <c r="T1790"/>
    </row>
    <row r="1791" spans="15:20">
      <c r="O1791" s="247"/>
      <c r="P1791"/>
      <c r="Q1791" s="224"/>
      <c r="S1791" s="202"/>
      <c r="T1791"/>
    </row>
    <row r="1792" spans="15:20">
      <c r="O1792" s="247"/>
      <c r="P1792"/>
      <c r="Q1792" s="224"/>
      <c r="S1792" s="202"/>
      <c r="T1792"/>
    </row>
    <row r="1793" spans="15:20">
      <c r="O1793" s="247"/>
      <c r="P1793"/>
      <c r="Q1793" s="224"/>
      <c r="S1793" s="202"/>
      <c r="T1793"/>
    </row>
    <row r="1794" spans="15:20">
      <c r="O1794" s="247"/>
      <c r="P1794"/>
      <c r="Q1794" s="224"/>
      <c r="S1794" s="202"/>
      <c r="T1794"/>
    </row>
    <row r="1795" spans="15:20">
      <c r="O1795" s="247"/>
      <c r="P1795"/>
      <c r="Q1795" s="224"/>
      <c r="S1795" s="202"/>
      <c r="T1795"/>
    </row>
    <row r="1796" spans="15:20">
      <c r="O1796" s="247"/>
      <c r="P1796"/>
      <c r="Q1796" s="224"/>
      <c r="S1796" s="202"/>
      <c r="T1796"/>
    </row>
    <row r="1797" spans="15:20">
      <c r="O1797" s="247"/>
      <c r="P1797"/>
      <c r="Q1797" s="224"/>
      <c r="S1797" s="202"/>
      <c r="T1797"/>
    </row>
    <row r="1798" spans="15:20">
      <c r="O1798" s="247"/>
      <c r="P1798"/>
      <c r="Q1798" s="224"/>
      <c r="S1798" s="202"/>
      <c r="T1798"/>
    </row>
    <row r="1799" spans="15:20">
      <c r="O1799" s="247"/>
      <c r="P1799"/>
      <c r="Q1799" s="224"/>
      <c r="S1799" s="202"/>
      <c r="T1799"/>
    </row>
    <row r="1800" spans="15:20">
      <c r="O1800" s="247"/>
      <c r="P1800"/>
      <c r="Q1800" s="224"/>
      <c r="S1800" s="202"/>
      <c r="T1800"/>
    </row>
    <row r="1801" spans="15:20">
      <c r="O1801" s="247"/>
      <c r="P1801"/>
      <c r="Q1801" s="224"/>
      <c r="S1801" s="202"/>
      <c r="T1801"/>
    </row>
    <row r="1802" spans="15:20">
      <c r="O1802" s="247"/>
      <c r="P1802"/>
      <c r="Q1802" s="224"/>
      <c r="S1802" s="202"/>
      <c r="T1802"/>
    </row>
    <row r="1803" spans="15:20">
      <c r="O1803" s="247"/>
      <c r="P1803"/>
      <c r="Q1803" s="224"/>
      <c r="S1803" s="202"/>
      <c r="T1803"/>
    </row>
    <row r="1804" spans="15:20">
      <c r="O1804" s="247"/>
      <c r="P1804"/>
      <c r="Q1804" s="224"/>
      <c r="S1804" s="202"/>
      <c r="T1804"/>
    </row>
    <row r="1805" spans="15:20">
      <c r="O1805" s="247"/>
      <c r="P1805"/>
      <c r="Q1805" s="224"/>
      <c r="S1805" s="202"/>
      <c r="T1805"/>
    </row>
    <row r="1806" spans="15:20">
      <c r="O1806" s="247"/>
      <c r="P1806"/>
      <c r="Q1806" s="224"/>
      <c r="S1806" s="202"/>
      <c r="T1806"/>
    </row>
    <row r="1807" spans="15:20">
      <c r="O1807" s="247"/>
      <c r="P1807"/>
      <c r="Q1807" s="224"/>
      <c r="S1807" s="202"/>
      <c r="T1807"/>
    </row>
    <row r="1808" spans="15:20">
      <c r="O1808" s="247"/>
      <c r="P1808"/>
      <c r="Q1808" s="224"/>
      <c r="S1808" s="202"/>
      <c r="T1808"/>
    </row>
    <row r="1809" spans="15:20">
      <c r="O1809" s="247"/>
      <c r="P1809"/>
      <c r="Q1809" s="224"/>
      <c r="S1809" s="202"/>
      <c r="T1809"/>
    </row>
    <row r="1810" spans="15:20">
      <c r="O1810" s="247"/>
      <c r="P1810"/>
      <c r="Q1810" s="224"/>
      <c r="S1810" s="202"/>
      <c r="T1810"/>
    </row>
    <row r="1811" spans="15:20">
      <c r="O1811" s="247"/>
      <c r="P1811"/>
      <c r="Q1811" s="224"/>
      <c r="S1811" s="202"/>
      <c r="T1811"/>
    </row>
    <row r="1812" spans="15:20">
      <c r="O1812" s="247"/>
      <c r="P1812"/>
      <c r="Q1812" s="224"/>
      <c r="S1812" s="202"/>
      <c r="T1812"/>
    </row>
    <row r="1813" spans="15:20">
      <c r="O1813" s="247"/>
      <c r="P1813"/>
      <c r="Q1813" s="224"/>
      <c r="S1813" s="202"/>
      <c r="T1813"/>
    </row>
    <row r="1814" spans="15:20">
      <c r="O1814" s="247"/>
      <c r="P1814"/>
      <c r="Q1814" s="224"/>
      <c r="S1814" s="202"/>
      <c r="T1814"/>
    </row>
    <row r="1815" spans="15:20">
      <c r="O1815" s="247"/>
      <c r="P1815"/>
      <c r="Q1815" s="224"/>
      <c r="S1815" s="202"/>
      <c r="T1815"/>
    </row>
    <row r="1816" spans="15:20">
      <c r="O1816" s="247"/>
      <c r="P1816"/>
      <c r="Q1816" s="224"/>
      <c r="S1816" s="202"/>
      <c r="T1816"/>
    </row>
    <row r="1817" spans="15:20">
      <c r="O1817" s="247"/>
      <c r="P1817"/>
      <c r="Q1817" s="224"/>
      <c r="S1817" s="202"/>
      <c r="T1817"/>
    </row>
    <row r="1818" spans="15:20">
      <c r="O1818" s="247"/>
      <c r="P1818"/>
      <c r="Q1818" s="224"/>
      <c r="S1818" s="202"/>
      <c r="T1818"/>
    </row>
    <row r="1819" spans="15:20">
      <c r="O1819" s="247"/>
      <c r="P1819"/>
      <c r="Q1819" s="224"/>
      <c r="S1819" s="202"/>
      <c r="T1819"/>
    </row>
    <row r="1820" spans="15:20">
      <c r="O1820" s="247"/>
      <c r="P1820"/>
      <c r="Q1820" s="224"/>
      <c r="S1820" s="202"/>
      <c r="T1820"/>
    </row>
    <row r="1821" spans="15:20">
      <c r="O1821" s="247"/>
      <c r="P1821"/>
      <c r="Q1821" s="224"/>
      <c r="S1821" s="202"/>
      <c r="T1821"/>
    </row>
    <row r="1822" spans="15:20">
      <c r="O1822" s="247"/>
      <c r="P1822"/>
      <c r="Q1822" s="224"/>
      <c r="S1822" s="202"/>
      <c r="T1822"/>
    </row>
    <row r="1823" spans="15:20">
      <c r="O1823" s="247"/>
      <c r="P1823"/>
      <c r="Q1823" s="224"/>
      <c r="S1823" s="202"/>
      <c r="T1823"/>
    </row>
    <row r="1824" spans="15:20">
      <c r="O1824" s="247"/>
      <c r="P1824"/>
      <c r="Q1824" s="224"/>
      <c r="S1824" s="202"/>
      <c r="T1824"/>
    </row>
    <row r="1825" spans="15:20">
      <c r="O1825" s="247"/>
      <c r="P1825"/>
      <c r="Q1825" s="224"/>
      <c r="S1825" s="202"/>
      <c r="T1825"/>
    </row>
    <row r="1826" spans="15:20">
      <c r="O1826" s="247"/>
      <c r="P1826"/>
      <c r="Q1826" s="224"/>
      <c r="S1826" s="202"/>
      <c r="T1826"/>
    </row>
    <row r="1827" spans="15:20">
      <c r="O1827" s="247"/>
      <c r="P1827"/>
      <c r="Q1827" s="224"/>
      <c r="S1827" s="202"/>
      <c r="T1827"/>
    </row>
    <row r="1828" spans="15:20">
      <c r="O1828" s="247"/>
      <c r="P1828"/>
      <c r="Q1828" s="224"/>
      <c r="S1828" s="202"/>
      <c r="T1828"/>
    </row>
    <row r="1829" spans="15:20">
      <c r="O1829" s="247"/>
      <c r="P1829"/>
      <c r="Q1829" s="224"/>
      <c r="S1829" s="202"/>
      <c r="T1829"/>
    </row>
    <row r="1830" spans="15:20">
      <c r="O1830" s="247"/>
      <c r="P1830"/>
      <c r="Q1830" s="224"/>
      <c r="S1830" s="202"/>
      <c r="T1830"/>
    </row>
    <row r="1831" spans="15:20">
      <c r="O1831" s="247"/>
      <c r="P1831"/>
      <c r="Q1831" s="224"/>
      <c r="S1831" s="202"/>
      <c r="T1831"/>
    </row>
    <row r="1832" spans="15:20">
      <c r="O1832" s="247"/>
      <c r="P1832"/>
      <c r="Q1832" s="224"/>
      <c r="S1832" s="202"/>
      <c r="T1832"/>
    </row>
    <row r="1833" spans="15:20">
      <c r="O1833" s="247"/>
      <c r="P1833"/>
      <c r="Q1833" s="224"/>
      <c r="S1833" s="202"/>
      <c r="T1833"/>
    </row>
    <row r="1834" spans="15:20">
      <c r="O1834" s="247"/>
      <c r="P1834"/>
      <c r="Q1834" s="224"/>
      <c r="S1834" s="202"/>
      <c r="T1834"/>
    </row>
    <row r="1835" spans="15:20">
      <c r="O1835" s="247"/>
      <c r="P1835"/>
      <c r="Q1835" s="224"/>
      <c r="S1835" s="202"/>
      <c r="T1835"/>
    </row>
    <row r="1836" spans="15:20">
      <c r="O1836" s="247"/>
      <c r="P1836"/>
      <c r="Q1836" s="224"/>
      <c r="S1836" s="202"/>
      <c r="T1836"/>
    </row>
    <row r="1837" spans="15:20">
      <c r="O1837" s="247"/>
      <c r="P1837"/>
      <c r="Q1837" s="224"/>
      <c r="S1837" s="202"/>
      <c r="T1837"/>
    </row>
    <row r="1838" spans="15:20">
      <c r="O1838" s="247"/>
      <c r="P1838"/>
      <c r="Q1838" s="224"/>
      <c r="S1838" s="202"/>
      <c r="T1838"/>
    </row>
    <row r="1839" spans="15:20">
      <c r="O1839" s="247"/>
      <c r="P1839"/>
      <c r="Q1839" s="224"/>
      <c r="S1839" s="202"/>
      <c r="T1839"/>
    </row>
    <row r="1840" spans="15:20">
      <c r="O1840" s="247"/>
      <c r="P1840"/>
      <c r="Q1840" s="224"/>
      <c r="S1840" s="202"/>
      <c r="T1840"/>
    </row>
    <row r="1841" spans="15:20">
      <c r="O1841" s="247"/>
      <c r="P1841"/>
      <c r="Q1841" s="224"/>
      <c r="S1841" s="202"/>
      <c r="T1841"/>
    </row>
    <row r="1842" spans="15:20">
      <c r="O1842" s="247"/>
      <c r="P1842"/>
      <c r="Q1842" s="224"/>
      <c r="S1842" s="202"/>
      <c r="T1842"/>
    </row>
    <row r="1843" spans="15:20">
      <c r="O1843" s="247"/>
      <c r="P1843"/>
      <c r="Q1843" s="224"/>
      <c r="S1843" s="202"/>
      <c r="T1843"/>
    </row>
    <row r="1844" spans="15:20">
      <c r="O1844" s="247"/>
      <c r="P1844"/>
      <c r="Q1844" s="224"/>
      <c r="S1844" s="202"/>
      <c r="T1844"/>
    </row>
    <row r="1845" spans="15:20">
      <c r="O1845" s="247"/>
      <c r="P1845"/>
      <c r="Q1845" s="224"/>
      <c r="S1845" s="202"/>
      <c r="T1845"/>
    </row>
    <row r="1846" spans="15:20">
      <c r="O1846" s="247"/>
      <c r="P1846"/>
      <c r="Q1846" s="224"/>
      <c r="S1846" s="202"/>
      <c r="T1846"/>
    </row>
    <row r="1847" spans="15:20">
      <c r="O1847" s="247"/>
      <c r="P1847"/>
      <c r="Q1847" s="224"/>
      <c r="S1847" s="202"/>
      <c r="T1847"/>
    </row>
    <row r="1848" spans="15:20">
      <c r="O1848" s="247"/>
      <c r="P1848"/>
      <c r="Q1848" s="224"/>
      <c r="S1848" s="202"/>
      <c r="T1848"/>
    </row>
    <row r="1849" spans="15:20">
      <c r="O1849" s="247"/>
      <c r="P1849"/>
      <c r="Q1849" s="224"/>
      <c r="S1849" s="202"/>
      <c r="T1849"/>
    </row>
    <row r="1850" spans="15:20">
      <c r="O1850" s="247"/>
      <c r="P1850"/>
      <c r="Q1850" s="224"/>
      <c r="S1850" s="202"/>
      <c r="T1850"/>
    </row>
    <row r="1851" spans="15:20">
      <c r="O1851" s="247"/>
      <c r="P1851"/>
      <c r="Q1851" s="224"/>
      <c r="S1851" s="202"/>
      <c r="T1851"/>
    </row>
    <row r="1852" spans="15:20">
      <c r="O1852" s="247"/>
      <c r="P1852"/>
      <c r="Q1852" s="224"/>
      <c r="S1852" s="202"/>
      <c r="T1852"/>
    </row>
    <row r="1853" spans="15:20">
      <c r="O1853" s="247"/>
      <c r="P1853"/>
      <c r="Q1853" s="224"/>
      <c r="S1853" s="202"/>
      <c r="T1853"/>
    </row>
    <row r="1854" spans="15:20">
      <c r="O1854" s="247"/>
      <c r="P1854"/>
      <c r="Q1854" s="224"/>
      <c r="S1854" s="202"/>
      <c r="T1854"/>
    </row>
    <row r="1855" spans="15:20">
      <c r="O1855" s="247"/>
      <c r="P1855"/>
      <c r="Q1855" s="224"/>
      <c r="S1855" s="202"/>
      <c r="T1855"/>
    </row>
    <row r="1856" spans="15:20">
      <c r="O1856" s="247"/>
      <c r="P1856"/>
      <c r="Q1856" s="224"/>
      <c r="S1856" s="202"/>
      <c r="T1856"/>
    </row>
    <row r="1857" spans="15:20">
      <c r="O1857" s="247"/>
      <c r="P1857"/>
      <c r="Q1857" s="224"/>
      <c r="S1857" s="202"/>
      <c r="T1857"/>
    </row>
    <row r="1858" spans="15:20">
      <c r="O1858" s="247"/>
      <c r="P1858"/>
      <c r="Q1858" s="224"/>
      <c r="S1858" s="202"/>
      <c r="T1858"/>
    </row>
    <row r="1859" spans="15:20">
      <c r="O1859" s="247"/>
      <c r="P1859"/>
      <c r="Q1859" s="224"/>
      <c r="S1859" s="202"/>
      <c r="T1859"/>
    </row>
    <row r="1860" spans="15:20">
      <c r="O1860" s="247"/>
      <c r="P1860"/>
      <c r="Q1860" s="224"/>
      <c r="S1860" s="202"/>
      <c r="T1860"/>
    </row>
    <row r="1861" spans="15:20">
      <c r="O1861" s="247"/>
      <c r="P1861"/>
      <c r="Q1861" s="224"/>
      <c r="S1861" s="202"/>
      <c r="T1861"/>
    </row>
    <row r="1862" spans="15:20">
      <c r="O1862" s="247"/>
      <c r="P1862"/>
      <c r="Q1862" s="224"/>
      <c r="S1862" s="202"/>
      <c r="T1862"/>
    </row>
    <row r="1863" spans="15:20">
      <c r="O1863" s="247"/>
      <c r="P1863"/>
      <c r="Q1863" s="224"/>
      <c r="S1863" s="202"/>
      <c r="T1863"/>
    </row>
    <row r="1864" spans="15:20">
      <c r="O1864" s="247"/>
      <c r="P1864"/>
      <c r="Q1864" s="224"/>
      <c r="S1864" s="202"/>
      <c r="T1864"/>
    </row>
    <row r="1865" spans="15:20">
      <c r="O1865" s="247"/>
      <c r="P1865"/>
      <c r="Q1865" s="224"/>
      <c r="S1865" s="202"/>
      <c r="T1865"/>
    </row>
    <row r="1866" spans="15:20">
      <c r="O1866" s="247"/>
      <c r="P1866"/>
      <c r="Q1866" s="224"/>
      <c r="S1866" s="202"/>
      <c r="T1866"/>
    </row>
    <row r="1867" spans="15:20">
      <c r="O1867" s="247"/>
      <c r="P1867"/>
      <c r="Q1867" s="224"/>
      <c r="S1867" s="202"/>
      <c r="T1867"/>
    </row>
    <row r="1868" spans="15:20">
      <c r="O1868" s="247"/>
      <c r="P1868"/>
      <c r="Q1868" s="224"/>
      <c r="S1868" s="202"/>
      <c r="T1868"/>
    </row>
    <row r="1869" spans="15:20">
      <c r="O1869" s="247"/>
      <c r="P1869"/>
      <c r="Q1869" s="224"/>
      <c r="S1869" s="202"/>
      <c r="T1869"/>
    </row>
    <row r="1870" spans="15:20">
      <c r="O1870" s="247"/>
      <c r="P1870"/>
      <c r="Q1870" s="224"/>
      <c r="S1870" s="202"/>
      <c r="T1870"/>
    </row>
    <row r="1871" spans="15:20">
      <c r="O1871" s="247"/>
      <c r="P1871"/>
      <c r="Q1871" s="224"/>
      <c r="S1871" s="202"/>
      <c r="T1871"/>
    </row>
    <row r="1872" spans="15:20">
      <c r="O1872" s="247"/>
      <c r="P1872"/>
      <c r="Q1872" s="224"/>
      <c r="S1872" s="202"/>
      <c r="T1872"/>
    </row>
    <row r="1873" spans="15:20">
      <c r="O1873" s="247"/>
      <c r="P1873"/>
      <c r="Q1873" s="224"/>
      <c r="S1873" s="202"/>
      <c r="T1873"/>
    </row>
    <row r="1874" spans="15:20">
      <c r="O1874" s="247"/>
      <c r="P1874"/>
      <c r="Q1874" s="224"/>
      <c r="S1874" s="202"/>
      <c r="T1874"/>
    </row>
    <row r="1875" spans="15:20">
      <c r="O1875" s="247"/>
      <c r="P1875"/>
      <c r="Q1875" s="224"/>
      <c r="S1875" s="202"/>
      <c r="T1875"/>
    </row>
    <row r="1876" spans="15:20">
      <c r="O1876" s="247"/>
      <c r="P1876"/>
      <c r="Q1876" s="224"/>
      <c r="S1876" s="202"/>
      <c r="T1876"/>
    </row>
    <row r="1877" spans="15:20">
      <c r="O1877" s="247"/>
      <c r="P1877"/>
      <c r="Q1877" s="224"/>
      <c r="S1877" s="202"/>
      <c r="T1877"/>
    </row>
    <row r="1878" spans="15:20">
      <c r="O1878" s="247"/>
      <c r="P1878"/>
      <c r="Q1878" s="224"/>
      <c r="S1878" s="202"/>
      <c r="T1878"/>
    </row>
    <row r="1879" spans="15:20">
      <c r="O1879" s="247"/>
      <c r="P1879"/>
      <c r="Q1879" s="224"/>
      <c r="S1879" s="202"/>
      <c r="T1879"/>
    </row>
    <row r="1880" spans="15:20">
      <c r="O1880" s="247"/>
      <c r="P1880"/>
      <c r="Q1880" s="224"/>
      <c r="S1880" s="202"/>
      <c r="T1880"/>
    </row>
    <row r="1881" spans="15:20">
      <c r="O1881" s="247"/>
      <c r="P1881"/>
      <c r="Q1881" s="224"/>
      <c r="S1881" s="202"/>
      <c r="T1881"/>
    </row>
    <row r="1882" spans="15:20">
      <c r="O1882" s="247"/>
      <c r="P1882"/>
      <c r="Q1882" s="224"/>
      <c r="S1882" s="202"/>
      <c r="T1882"/>
    </row>
    <row r="1883" spans="15:20">
      <c r="O1883" s="247"/>
      <c r="P1883"/>
      <c r="Q1883" s="224"/>
      <c r="S1883" s="202"/>
      <c r="T1883"/>
    </row>
    <row r="1884" spans="15:20">
      <c r="O1884" s="247"/>
      <c r="P1884"/>
      <c r="Q1884" s="224"/>
      <c r="S1884" s="202"/>
      <c r="T1884"/>
    </row>
    <row r="1885" spans="15:20">
      <c r="O1885" s="247"/>
      <c r="P1885"/>
      <c r="Q1885" s="224"/>
      <c r="S1885" s="202"/>
      <c r="T1885"/>
    </row>
    <row r="1886" spans="15:20">
      <c r="O1886" s="247"/>
      <c r="P1886"/>
      <c r="Q1886" s="224"/>
      <c r="S1886" s="202"/>
      <c r="T1886"/>
    </row>
    <row r="1887" spans="15:20">
      <c r="O1887" s="247"/>
      <c r="P1887"/>
      <c r="Q1887" s="224"/>
      <c r="S1887" s="202"/>
      <c r="T1887"/>
    </row>
    <row r="1888" spans="15:20">
      <c r="O1888" s="247"/>
      <c r="P1888"/>
      <c r="Q1888" s="224"/>
      <c r="S1888" s="202"/>
      <c r="T1888"/>
    </row>
    <row r="1889" spans="15:20">
      <c r="O1889" s="247"/>
      <c r="P1889"/>
      <c r="Q1889" s="224"/>
      <c r="S1889" s="202"/>
      <c r="T1889"/>
    </row>
    <row r="1890" spans="15:20">
      <c r="O1890" s="247"/>
      <c r="P1890"/>
      <c r="Q1890" s="224"/>
      <c r="S1890" s="202"/>
      <c r="T1890"/>
    </row>
    <row r="1891" spans="15:20">
      <c r="O1891" s="247"/>
      <c r="P1891"/>
      <c r="Q1891" s="224"/>
      <c r="S1891" s="202"/>
      <c r="T1891"/>
    </row>
    <row r="1892" spans="15:20">
      <c r="O1892" s="247"/>
      <c r="P1892"/>
      <c r="Q1892" s="224"/>
      <c r="S1892" s="202"/>
      <c r="T1892"/>
    </row>
    <row r="1893" spans="15:20">
      <c r="O1893" s="247"/>
      <c r="P1893"/>
      <c r="Q1893" s="224"/>
      <c r="S1893" s="202"/>
      <c r="T1893"/>
    </row>
    <row r="1894" spans="15:20">
      <c r="O1894" s="247"/>
      <c r="P1894"/>
      <c r="Q1894" s="224"/>
      <c r="S1894" s="202"/>
      <c r="T1894"/>
    </row>
    <row r="1895" spans="15:20">
      <c r="O1895" s="247"/>
      <c r="P1895"/>
      <c r="Q1895" s="224"/>
      <c r="S1895" s="202"/>
      <c r="T1895"/>
    </row>
    <row r="1896" spans="15:20">
      <c r="O1896" s="247"/>
      <c r="P1896"/>
      <c r="Q1896" s="224"/>
      <c r="S1896" s="202"/>
      <c r="T1896"/>
    </row>
    <row r="1897" spans="15:20">
      <c r="O1897" s="247"/>
      <c r="P1897"/>
      <c r="Q1897" s="224"/>
      <c r="S1897" s="202"/>
      <c r="T1897"/>
    </row>
    <row r="1898" spans="15:20">
      <c r="O1898" s="247"/>
      <c r="P1898"/>
      <c r="Q1898" s="224"/>
      <c r="S1898" s="202"/>
      <c r="T1898"/>
    </row>
    <row r="1899" spans="15:20">
      <c r="O1899" s="247"/>
      <c r="P1899"/>
      <c r="Q1899" s="224"/>
      <c r="S1899" s="202"/>
      <c r="T1899"/>
    </row>
    <row r="1900" spans="15:20">
      <c r="O1900" s="247"/>
      <c r="P1900"/>
      <c r="Q1900" s="224"/>
      <c r="S1900" s="202"/>
      <c r="T1900"/>
    </row>
    <row r="1901" spans="15:20">
      <c r="O1901" s="247"/>
      <c r="P1901"/>
      <c r="Q1901" s="224"/>
      <c r="S1901" s="202"/>
      <c r="T1901"/>
    </row>
    <row r="1902" spans="15:20">
      <c r="O1902" s="247"/>
      <c r="P1902"/>
      <c r="Q1902" s="224"/>
      <c r="S1902" s="202"/>
      <c r="T1902"/>
    </row>
    <row r="1903" spans="15:20">
      <c r="O1903" s="247"/>
      <c r="P1903"/>
      <c r="Q1903" s="224"/>
      <c r="S1903" s="202"/>
      <c r="T1903"/>
    </row>
    <row r="1904" spans="15:20">
      <c r="O1904" s="247"/>
      <c r="P1904"/>
      <c r="Q1904" s="224"/>
      <c r="S1904" s="202"/>
      <c r="T1904"/>
    </row>
    <row r="1905" spans="15:20">
      <c r="O1905" s="247"/>
      <c r="P1905"/>
      <c r="Q1905" s="224"/>
      <c r="S1905" s="202"/>
      <c r="T1905"/>
    </row>
    <row r="1906" spans="15:20">
      <c r="O1906" s="247"/>
      <c r="P1906"/>
      <c r="Q1906" s="224"/>
      <c r="S1906" s="202"/>
      <c r="T1906"/>
    </row>
    <row r="1907" spans="15:20">
      <c r="O1907" s="247"/>
      <c r="P1907"/>
      <c r="Q1907" s="224"/>
      <c r="S1907" s="202"/>
      <c r="T1907"/>
    </row>
    <row r="1908" spans="15:20">
      <c r="O1908" s="247"/>
      <c r="P1908"/>
      <c r="Q1908" s="224"/>
      <c r="S1908" s="202"/>
      <c r="T1908"/>
    </row>
    <row r="1909" spans="15:20">
      <c r="O1909" s="247"/>
      <c r="P1909"/>
      <c r="Q1909" s="224"/>
      <c r="S1909" s="202"/>
      <c r="T1909"/>
    </row>
    <row r="1910" spans="15:20">
      <c r="O1910" s="247"/>
      <c r="P1910"/>
      <c r="Q1910" s="224"/>
      <c r="S1910" s="202"/>
      <c r="T1910"/>
    </row>
    <row r="1911" spans="15:20">
      <c r="O1911" s="247"/>
      <c r="P1911"/>
      <c r="Q1911" s="224"/>
      <c r="S1911" s="202"/>
      <c r="T1911"/>
    </row>
    <row r="1912" spans="15:20">
      <c r="O1912" s="247"/>
      <c r="P1912"/>
      <c r="Q1912" s="224"/>
      <c r="S1912" s="202"/>
      <c r="T1912"/>
    </row>
    <row r="1913" spans="15:20">
      <c r="O1913" s="247"/>
      <c r="P1913"/>
      <c r="Q1913" s="224"/>
      <c r="S1913" s="202"/>
      <c r="T1913"/>
    </row>
    <row r="1914" spans="15:20">
      <c r="O1914" s="247"/>
      <c r="P1914"/>
      <c r="Q1914" s="224"/>
      <c r="S1914" s="202"/>
      <c r="T1914"/>
    </row>
    <row r="1915" spans="15:20">
      <c r="O1915" s="247"/>
      <c r="P1915"/>
      <c r="Q1915" s="224"/>
      <c r="S1915" s="202"/>
      <c r="T1915"/>
    </row>
    <row r="1916" spans="15:20">
      <c r="O1916" s="247"/>
      <c r="P1916"/>
      <c r="Q1916" s="224"/>
      <c r="S1916" s="202"/>
      <c r="T1916"/>
    </row>
    <row r="1917" spans="15:20">
      <c r="O1917" s="247"/>
      <c r="P1917"/>
      <c r="Q1917" s="224"/>
      <c r="S1917" s="202"/>
      <c r="T1917"/>
    </row>
    <row r="1918" spans="15:20">
      <c r="O1918" s="247"/>
      <c r="P1918"/>
      <c r="Q1918" s="224"/>
      <c r="S1918" s="202"/>
      <c r="T1918"/>
    </row>
    <row r="1919" spans="15:20">
      <c r="O1919" s="247"/>
      <c r="P1919"/>
      <c r="Q1919" s="224"/>
      <c r="S1919" s="202"/>
      <c r="T1919"/>
    </row>
    <row r="1920" spans="15:20">
      <c r="O1920" s="247"/>
      <c r="P1920"/>
      <c r="Q1920" s="224"/>
      <c r="S1920" s="202"/>
      <c r="T1920"/>
    </row>
    <row r="1921" spans="15:20">
      <c r="O1921" s="247"/>
      <c r="P1921"/>
      <c r="Q1921" s="224"/>
      <c r="S1921" s="202"/>
      <c r="T1921"/>
    </row>
    <row r="1922" spans="15:20">
      <c r="O1922" s="247"/>
      <c r="P1922"/>
      <c r="Q1922" s="224"/>
      <c r="S1922" s="202"/>
      <c r="T1922"/>
    </row>
    <row r="1923" spans="15:20">
      <c r="O1923" s="247"/>
      <c r="P1923"/>
      <c r="Q1923" s="224"/>
      <c r="S1923" s="202"/>
      <c r="T1923"/>
    </row>
    <row r="1924" spans="15:20">
      <c r="O1924" s="247"/>
      <c r="P1924"/>
      <c r="Q1924" s="224"/>
      <c r="S1924" s="202"/>
      <c r="T1924"/>
    </row>
    <row r="1925" spans="15:20">
      <c r="O1925" s="247"/>
      <c r="P1925"/>
      <c r="Q1925" s="224"/>
      <c r="S1925" s="202"/>
      <c r="T1925"/>
    </row>
    <row r="1926" spans="15:20">
      <c r="O1926" s="247"/>
      <c r="P1926"/>
      <c r="Q1926" s="224"/>
      <c r="S1926" s="202"/>
      <c r="T1926"/>
    </row>
    <row r="1927" spans="15:20">
      <c r="O1927" s="247"/>
      <c r="P1927"/>
      <c r="Q1927" s="224"/>
      <c r="S1927" s="202"/>
      <c r="T1927"/>
    </row>
    <row r="1928" spans="15:20">
      <c r="O1928" s="247"/>
      <c r="P1928"/>
      <c r="Q1928" s="224"/>
      <c r="S1928" s="202"/>
      <c r="T1928"/>
    </row>
    <row r="1929" spans="15:20">
      <c r="O1929" s="247"/>
      <c r="P1929"/>
      <c r="Q1929" s="224"/>
      <c r="S1929" s="202"/>
      <c r="T1929"/>
    </row>
    <row r="1930" spans="15:20">
      <c r="O1930" s="247"/>
      <c r="P1930"/>
      <c r="Q1930" s="224"/>
      <c r="S1930" s="202"/>
      <c r="T1930"/>
    </row>
    <row r="1931" spans="15:20">
      <c r="O1931" s="247"/>
      <c r="P1931"/>
      <c r="Q1931" s="224"/>
      <c r="S1931" s="202"/>
      <c r="T1931"/>
    </row>
    <row r="1932" spans="15:20">
      <c r="O1932" s="247"/>
      <c r="P1932"/>
      <c r="Q1932" s="224"/>
      <c r="S1932" s="202"/>
      <c r="T1932"/>
    </row>
    <row r="1933" spans="15:20">
      <c r="O1933" s="247"/>
      <c r="P1933"/>
      <c r="Q1933" s="224"/>
      <c r="S1933" s="202"/>
      <c r="T1933"/>
    </row>
    <row r="1934" spans="15:20">
      <c r="O1934" s="247"/>
      <c r="P1934"/>
      <c r="Q1934" s="224"/>
      <c r="S1934" s="202"/>
      <c r="T1934"/>
    </row>
    <row r="1935" spans="15:20">
      <c r="O1935" s="247"/>
      <c r="P1935"/>
      <c r="Q1935" s="224"/>
      <c r="S1935" s="202"/>
      <c r="T1935"/>
    </row>
    <row r="1936" spans="15:20">
      <c r="O1936" s="247"/>
      <c r="P1936"/>
      <c r="Q1936" s="224"/>
      <c r="S1936" s="202"/>
      <c r="T1936"/>
    </row>
    <row r="1937" spans="15:20">
      <c r="O1937" s="247"/>
      <c r="P1937"/>
      <c r="Q1937" s="224"/>
      <c r="S1937" s="202"/>
      <c r="T1937"/>
    </row>
    <row r="1938" spans="15:20">
      <c r="O1938" s="247"/>
      <c r="P1938"/>
      <c r="Q1938" s="224"/>
      <c r="S1938" s="202"/>
      <c r="T1938"/>
    </row>
    <row r="1939" spans="15:20">
      <c r="O1939" s="247"/>
      <c r="P1939"/>
      <c r="Q1939" s="224"/>
      <c r="S1939" s="202"/>
      <c r="T1939"/>
    </row>
    <row r="1940" spans="15:20">
      <c r="O1940" s="247"/>
      <c r="P1940"/>
      <c r="Q1940" s="224"/>
      <c r="S1940" s="202"/>
      <c r="T1940"/>
    </row>
    <row r="1941" spans="15:20">
      <c r="O1941" s="247"/>
      <c r="P1941"/>
      <c r="Q1941" s="224"/>
      <c r="S1941" s="202"/>
      <c r="T1941"/>
    </row>
    <row r="1942" spans="15:20">
      <c r="O1942" s="247"/>
      <c r="P1942"/>
      <c r="Q1942" s="224"/>
      <c r="S1942" s="202"/>
      <c r="T1942"/>
    </row>
    <row r="1943" spans="15:20">
      <c r="O1943" s="247"/>
      <c r="P1943"/>
      <c r="Q1943" s="224"/>
      <c r="S1943" s="202"/>
      <c r="T1943"/>
    </row>
    <row r="1944" spans="15:20">
      <c r="O1944" s="247"/>
      <c r="P1944"/>
      <c r="Q1944" s="224"/>
      <c r="S1944" s="202"/>
      <c r="T1944"/>
    </row>
    <row r="1945" spans="15:20">
      <c r="O1945" s="247"/>
      <c r="P1945"/>
      <c r="Q1945" s="224"/>
      <c r="S1945" s="202"/>
      <c r="T1945"/>
    </row>
    <row r="1946" spans="15:20">
      <c r="O1946" s="247"/>
      <c r="P1946"/>
      <c r="Q1946" s="224"/>
      <c r="S1946" s="202"/>
      <c r="T1946"/>
    </row>
    <row r="1947" spans="15:20">
      <c r="O1947" s="247"/>
      <c r="P1947"/>
      <c r="Q1947" s="224"/>
      <c r="S1947" s="202"/>
      <c r="T1947"/>
    </row>
    <row r="1948" spans="15:20">
      <c r="O1948" s="247"/>
      <c r="P1948"/>
      <c r="Q1948" s="224"/>
      <c r="S1948" s="202"/>
      <c r="T1948"/>
    </row>
    <row r="1949" spans="15:20">
      <c r="O1949" s="247"/>
      <c r="P1949"/>
      <c r="Q1949" s="224"/>
      <c r="S1949" s="202"/>
      <c r="T1949"/>
    </row>
    <row r="1950" spans="15:20">
      <c r="O1950" s="247"/>
      <c r="P1950"/>
      <c r="Q1950" s="224"/>
      <c r="S1950" s="202"/>
      <c r="T1950"/>
    </row>
    <row r="1951" spans="15:20">
      <c r="O1951" s="247"/>
      <c r="P1951"/>
      <c r="Q1951" s="224"/>
      <c r="S1951" s="202"/>
      <c r="T1951"/>
    </row>
    <row r="1952" spans="15:20">
      <c r="O1952" s="247"/>
      <c r="P1952"/>
      <c r="Q1952" s="224"/>
      <c r="S1952" s="202"/>
      <c r="T1952"/>
    </row>
    <row r="1953" spans="15:20">
      <c r="O1953" s="247"/>
      <c r="P1953"/>
      <c r="Q1953" s="224"/>
      <c r="S1953" s="202"/>
      <c r="T1953"/>
    </row>
    <row r="1954" spans="15:20">
      <c r="O1954" s="247"/>
      <c r="P1954"/>
      <c r="Q1954" s="224"/>
      <c r="S1954" s="202"/>
      <c r="T1954"/>
    </row>
    <row r="1955" spans="15:20">
      <c r="O1955" s="247"/>
      <c r="P1955"/>
      <c r="Q1955" s="224"/>
      <c r="S1955" s="202"/>
      <c r="T1955"/>
    </row>
    <row r="1956" spans="15:20">
      <c r="O1956" s="247"/>
      <c r="P1956"/>
      <c r="Q1956" s="224"/>
      <c r="S1956" s="202"/>
      <c r="T1956"/>
    </row>
    <row r="1957" spans="15:20">
      <c r="O1957" s="247"/>
      <c r="P1957"/>
      <c r="Q1957" s="224"/>
      <c r="S1957" s="202"/>
      <c r="T1957"/>
    </row>
    <row r="1958" spans="15:20">
      <c r="O1958" s="247"/>
      <c r="P1958"/>
      <c r="Q1958" s="224"/>
      <c r="S1958" s="202"/>
      <c r="T1958"/>
    </row>
    <row r="1959" spans="15:20">
      <c r="O1959" s="247"/>
      <c r="P1959"/>
      <c r="Q1959" s="224"/>
      <c r="S1959" s="202"/>
      <c r="T1959"/>
    </row>
    <row r="1960" spans="15:20">
      <c r="O1960" s="247"/>
      <c r="P1960"/>
      <c r="Q1960" s="224"/>
      <c r="S1960" s="202"/>
      <c r="T1960"/>
    </row>
    <row r="1961" spans="15:20">
      <c r="O1961" s="247"/>
      <c r="P1961"/>
      <c r="Q1961" s="224"/>
      <c r="S1961" s="202"/>
      <c r="T1961"/>
    </row>
    <row r="1962" spans="15:20">
      <c r="O1962" s="247"/>
      <c r="P1962"/>
      <c r="Q1962" s="224"/>
      <c r="S1962" s="202"/>
      <c r="T1962"/>
    </row>
    <row r="1963" spans="15:20">
      <c r="O1963" s="247"/>
      <c r="P1963"/>
      <c r="Q1963" s="224"/>
      <c r="S1963" s="202"/>
      <c r="T1963"/>
    </row>
    <row r="1964" spans="15:20">
      <c r="O1964" s="247"/>
      <c r="P1964"/>
      <c r="Q1964" s="224"/>
      <c r="S1964" s="202"/>
      <c r="T1964"/>
    </row>
    <row r="1965" spans="15:20">
      <c r="O1965" s="247"/>
      <c r="P1965"/>
      <c r="Q1965" s="224"/>
      <c r="S1965" s="202"/>
      <c r="T1965"/>
    </row>
    <row r="1966" spans="15:20">
      <c r="O1966" s="247"/>
      <c r="P1966"/>
      <c r="Q1966" s="224"/>
      <c r="S1966" s="202"/>
      <c r="T1966"/>
    </row>
    <row r="1967" spans="15:20">
      <c r="O1967" s="247"/>
      <c r="P1967"/>
      <c r="Q1967" s="224"/>
      <c r="S1967" s="202"/>
      <c r="T1967"/>
    </row>
    <row r="1968" spans="15:20">
      <c r="O1968" s="247"/>
      <c r="P1968"/>
      <c r="Q1968" s="224"/>
      <c r="S1968" s="202"/>
      <c r="T1968"/>
    </row>
    <row r="1969" spans="15:20">
      <c r="O1969" s="247"/>
      <c r="P1969"/>
      <c r="Q1969" s="224"/>
      <c r="S1969" s="202"/>
      <c r="T1969"/>
    </row>
    <row r="1970" spans="15:20">
      <c r="O1970" s="247"/>
      <c r="P1970"/>
      <c r="Q1970" s="224"/>
      <c r="S1970" s="202"/>
      <c r="T1970"/>
    </row>
    <row r="1971" spans="15:20">
      <c r="O1971" s="247"/>
      <c r="P1971"/>
      <c r="Q1971" s="224"/>
      <c r="S1971" s="202"/>
      <c r="T1971"/>
    </row>
    <row r="1972" spans="15:20">
      <c r="O1972" s="247"/>
      <c r="P1972"/>
      <c r="Q1972" s="224"/>
      <c r="S1972" s="202"/>
      <c r="T1972"/>
    </row>
    <row r="1973" spans="15:20">
      <c r="O1973" s="247"/>
      <c r="P1973"/>
      <c r="Q1973" s="224"/>
      <c r="S1973" s="202"/>
      <c r="T1973"/>
    </row>
    <row r="1974" spans="15:20">
      <c r="O1974" s="247"/>
      <c r="P1974"/>
      <c r="Q1974" s="224"/>
      <c r="S1974" s="202"/>
      <c r="T1974"/>
    </row>
    <row r="1975" spans="15:20">
      <c r="O1975" s="247"/>
      <c r="P1975"/>
      <c r="Q1975" s="224"/>
      <c r="S1975" s="202"/>
      <c r="T1975"/>
    </row>
    <row r="1976" spans="15:20">
      <c r="O1976" s="247"/>
      <c r="P1976"/>
      <c r="Q1976" s="224"/>
      <c r="S1976" s="202"/>
      <c r="T1976"/>
    </row>
    <row r="1977" spans="15:20">
      <c r="O1977" s="247"/>
      <c r="P1977"/>
      <c r="Q1977" s="224"/>
      <c r="S1977" s="202"/>
      <c r="T1977"/>
    </row>
    <row r="1978" spans="15:20">
      <c r="O1978" s="247"/>
      <c r="P1978"/>
      <c r="Q1978" s="224"/>
      <c r="S1978" s="202"/>
      <c r="T1978"/>
    </row>
    <row r="1979" spans="15:20">
      <c r="O1979" s="247"/>
      <c r="P1979"/>
      <c r="Q1979" s="224"/>
      <c r="S1979" s="202"/>
      <c r="T1979"/>
    </row>
    <row r="1980" spans="15:20">
      <c r="O1980" s="247"/>
      <c r="P1980"/>
      <c r="Q1980" s="224"/>
      <c r="S1980" s="202"/>
      <c r="T1980"/>
    </row>
    <row r="1981" spans="15:20">
      <c r="O1981" s="247"/>
      <c r="P1981"/>
      <c r="Q1981" s="224"/>
      <c r="S1981" s="202"/>
      <c r="T1981"/>
    </row>
    <row r="1982" spans="15:20">
      <c r="O1982" s="247"/>
      <c r="P1982"/>
      <c r="Q1982" s="224"/>
      <c r="S1982" s="202"/>
      <c r="T1982"/>
    </row>
    <row r="1983" spans="15:20">
      <c r="O1983" s="247"/>
      <c r="P1983"/>
      <c r="Q1983" s="224"/>
      <c r="S1983" s="202"/>
      <c r="T1983"/>
    </row>
    <row r="1984" spans="15:20">
      <c r="O1984" s="247"/>
      <c r="P1984"/>
      <c r="Q1984" s="224"/>
      <c r="S1984" s="202"/>
      <c r="T1984"/>
    </row>
    <row r="1985" spans="15:20">
      <c r="O1985" s="247"/>
      <c r="P1985"/>
      <c r="Q1985" s="224"/>
      <c r="S1985" s="202"/>
      <c r="T1985"/>
    </row>
    <row r="1986" spans="15:20">
      <c r="O1986" s="247"/>
      <c r="P1986"/>
      <c r="Q1986" s="224"/>
      <c r="S1986" s="202"/>
      <c r="T1986"/>
    </row>
    <row r="1987" spans="15:20">
      <c r="O1987" s="247"/>
      <c r="P1987"/>
      <c r="Q1987" s="224"/>
      <c r="S1987" s="202"/>
      <c r="T1987"/>
    </row>
    <row r="1988" spans="15:20">
      <c r="O1988" s="247"/>
      <c r="P1988"/>
      <c r="Q1988" s="224"/>
      <c r="S1988" s="202"/>
      <c r="T1988"/>
    </row>
    <row r="1989" spans="15:20">
      <c r="O1989" s="247"/>
      <c r="P1989"/>
      <c r="Q1989" s="224"/>
      <c r="S1989" s="202"/>
      <c r="T1989"/>
    </row>
    <row r="1990" spans="15:20">
      <c r="O1990" s="247"/>
      <c r="P1990"/>
      <c r="Q1990" s="224"/>
      <c r="S1990" s="202"/>
      <c r="T1990"/>
    </row>
    <row r="1991" spans="15:20">
      <c r="O1991" s="247"/>
      <c r="P1991"/>
      <c r="Q1991" s="224"/>
      <c r="S1991" s="202"/>
      <c r="T1991"/>
    </row>
    <row r="1992" spans="15:20">
      <c r="O1992" s="247"/>
      <c r="P1992"/>
      <c r="Q1992" s="224"/>
      <c r="S1992" s="202"/>
      <c r="T1992"/>
    </row>
    <row r="1993" spans="15:20">
      <c r="O1993" s="247"/>
      <c r="P1993"/>
      <c r="Q1993" s="224"/>
      <c r="S1993" s="202"/>
      <c r="T1993"/>
    </row>
    <row r="1994" spans="15:20">
      <c r="O1994" s="247"/>
      <c r="P1994"/>
      <c r="Q1994" s="224"/>
      <c r="S1994" s="202"/>
      <c r="T1994"/>
    </row>
    <row r="1995" spans="15:20">
      <c r="O1995" s="247"/>
      <c r="P1995"/>
      <c r="Q1995" s="224"/>
      <c r="S1995" s="202"/>
      <c r="T1995"/>
    </row>
    <row r="1996" spans="15:20">
      <c r="O1996" s="247"/>
      <c r="P1996"/>
      <c r="Q1996" s="224"/>
      <c r="S1996" s="202"/>
      <c r="T1996"/>
    </row>
    <row r="1997" spans="15:20">
      <c r="O1997" s="247"/>
      <c r="P1997"/>
      <c r="Q1997" s="224"/>
      <c r="S1997" s="202"/>
      <c r="T1997"/>
    </row>
    <row r="1998" spans="15:20">
      <c r="O1998" s="247"/>
      <c r="P1998"/>
      <c r="Q1998" s="224"/>
      <c r="S1998" s="202"/>
      <c r="T1998"/>
    </row>
    <row r="1999" spans="15:20">
      <c r="O1999" s="247"/>
      <c r="P1999"/>
      <c r="Q1999" s="224"/>
      <c r="S1999" s="202"/>
      <c r="T1999"/>
    </row>
    <row r="2000" spans="15:20">
      <c r="O2000" s="247"/>
      <c r="P2000"/>
      <c r="Q2000" s="224"/>
      <c r="S2000" s="202"/>
      <c r="T2000"/>
    </row>
    <row r="2001" spans="15:20">
      <c r="O2001" s="247"/>
      <c r="P2001"/>
      <c r="Q2001" s="224"/>
      <c r="S2001" s="202"/>
      <c r="T2001"/>
    </row>
    <row r="2002" spans="15:20">
      <c r="O2002" s="247"/>
      <c r="P2002"/>
      <c r="Q2002" s="224"/>
      <c r="S2002" s="202"/>
      <c r="T2002"/>
    </row>
    <row r="2003" spans="15:20">
      <c r="O2003" s="247"/>
      <c r="P2003"/>
      <c r="Q2003" s="224"/>
      <c r="S2003" s="202"/>
      <c r="T2003"/>
    </row>
    <row r="2004" spans="15:20">
      <c r="O2004" s="247"/>
      <c r="P2004"/>
      <c r="Q2004" s="224"/>
      <c r="S2004" s="202"/>
      <c r="T2004"/>
    </row>
    <row r="2005" spans="15:20">
      <c r="O2005" s="247"/>
      <c r="P2005"/>
      <c r="Q2005" s="224"/>
      <c r="S2005" s="202"/>
      <c r="T2005"/>
    </row>
    <row r="2006" spans="15:20">
      <c r="O2006" s="247"/>
      <c r="P2006"/>
      <c r="Q2006" s="224"/>
      <c r="S2006" s="202"/>
      <c r="T2006"/>
    </row>
    <row r="2007" spans="15:20">
      <c r="O2007" s="247"/>
      <c r="P2007"/>
      <c r="Q2007" s="224"/>
      <c r="S2007" s="202"/>
      <c r="T2007"/>
    </row>
    <row r="2008" spans="15:20">
      <c r="O2008" s="247"/>
      <c r="P2008"/>
      <c r="Q2008" s="224"/>
      <c r="S2008" s="202"/>
      <c r="T2008"/>
    </row>
    <row r="2009" spans="15:20">
      <c r="O2009" s="247"/>
      <c r="P2009"/>
      <c r="Q2009" s="224"/>
      <c r="S2009" s="202"/>
      <c r="T2009"/>
    </row>
    <row r="2010" spans="15:20">
      <c r="O2010" s="247"/>
      <c r="P2010"/>
      <c r="Q2010" s="224"/>
      <c r="S2010" s="202"/>
      <c r="T2010"/>
    </row>
    <row r="2011" spans="15:20">
      <c r="O2011" s="247"/>
      <c r="P2011"/>
      <c r="Q2011" s="224"/>
      <c r="S2011" s="202"/>
      <c r="T2011"/>
    </row>
    <row r="2012" spans="15:20">
      <c r="O2012" s="247"/>
      <c r="P2012"/>
      <c r="Q2012" s="224"/>
      <c r="S2012" s="202"/>
      <c r="T2012"/>
    </row>
    <row r="2013" spans="15:20">
      <c r="O2013" s="247"/>
      <c r="P2013"/>
      <c r="Q2013" s="224"/>
      <c r="S2013" s="202"/>
      <c r="T2013"/>
    </row>
    <row r="2014" spans="15:20">
      <c r="O2014" s="247"/>
      <c r="P2014"/>
      <c r="Q2014" s="224"/>
      <c r="S2014" s="202"/>
      <c r="T2014"/>
    </row>
    <row r="2015" spans="15:20">
      <c r="O2015" s="247"/>
      <c r="P2015"/>
      <c r="Q2015" s="224"/>
      <c r="S2015" s="202"/>
      <c r="T2015"/>
    </row>
    <row r="2016" spans="15:20">
      <c r="O2016" s="247"/>
      <c r="P2016"/>
      <c r="Q2016" s="224"/>
      <c r="S2016" s="202"/>
      <c r="T2016"/>
    </row>
    <row r="2017" spans="15:20">
      <c r="O2017" s="247"/>
      <c r="P2017"/>
      <c r="Q2017" s="224"/>
      <c r="S2017" s="202"/>
      <c r="T2017"/>
    </row>
    <row r="2018" spans="15:20">
      <c r="O2018" s="247"/>
      <c r="P2018"/>
      <c r="Q2018" s="224"/>
      <c r="S2018" s="202"/>
      <c r="T2018"/>
    </row>
    <row r="2019" spans="15:20">
      <c r="O2019" s="247"/>
      <c r="P2019"/>
      <c r="Q2019" s="224"/>
      <c r="S2019" s="202"/>
      <c r="T2019"/>
    </row>
    <row r="2020" spans="15:20">
      <c r="O2020" s="247"/>
      <c r="P2020"/>
      <c r="Q2020" s="224"/>
      <c r="S2020" s="202"/>
      <c r="T2020"/>
    </row>
    <row r="2021" spans="15:20">
      <c r="O2021" s="247"/>
      <c r="P2021"/>
      <c r="Q2021" s="224"/>
      <c r="S2021" s="202"/>
      <c r="T2021"/>
    </row>
    <row r="2022" spans="15:20">
      <c r="O2022" s="247"/>
      <c r="P2022"/>
      <c r="Q2022" s="224"/>
      <c r="S2022" s="202"/>
      <c r="T2022"/>
    </row>
    <row r="2023" spans="15:20">
      <c r="O2023" s="247"/>
      <c r="P2023"/>
      <c r="Q2023" s="224"/>
      <c r="S2023" s="202"/>
      <c r="T2023"/>
    </row>
    <row r="2024" spans="15:20">
      <c r="O2024" s="247"/>
      <c r="P2024"/>
      <c r="Q2024" s="224"/>
      <c r="S2024" s="202"/>
      <c r="T2024"/>
    </row>
    <row r="2025" spans="15:20">
      <c r="O2025" s="247"/>
      <c r="P2025"/>
      <c r="Q2025" s="224"/>
      <c r="S2025" s="202"/>
      <c r="T2025"/>
    </row>
    <row r="2026" spans="15:20">
      <c r="O2026" s="247"/>
      <c r="P2026"/>
      <c r="Q2026" s="224"/>
      <c r="S2026" s="202"/>
      <c r="T2026"/>
    </row>
    <row r="2027" spans="15:20">
      <c r="O2027" s="247"/>
      <c r="P2027"/>
      <c r="Q2027" s="224"/>
      <c r="S2027" s="202"/>
      <c r="T2027"/>
    </row>
    <row r="2028" spans="15:20">
      <c r="O2028" s="247"/>
      <c r="P2028"/>
      <c r="Q2028" s="224"/>
      <c r="S2028" s="202"/>
      <c r="T2028"/>
    </row>
    <row r="2029" spans="15:20">
      <c r="O2029" s="247"/>
      <c r="P2029"/>
      <c r="Q2029" s="224"/>
      <c r="S2029" s="202"/>
      <c r="T2029"/>
    </row>
    <row r="2030" spans="15:20">
      <c r="O2030" s="247"/>
      <c r="P2030"/>
      <c r="Q2030" s="224"/>
      <c r="S2030" s="202"/>
      <c r="T2030"/>
    </row>
    <row r="2031" spans="15:20">
      <c r="O2031" s="247"/>
      <c r="P2031"/>
      <c r="Q2031" s="224"/>
      <c r="S2031" s="202"/>
      <c r="T2031"/>
    </row>
    <row r="2032" spans="15:20">
      <c r="O2032" s="247"/>
      <c r="P2032"/>
      <c r="Q2032" s="224"/>
      <c r="S2032" s="202"/>
      <c r="T2032"/>
    </row>
    <row r="2033" spans="15:20">
      <c r="O2033" s="247"/>
      <c r="P2033"/>
      <c r="Q2033" s="224"/>
      <c r="S2033" s="202"/>
      <c r="T2033"/>
    </row>
    <row r="2034" spans="15:20">
      <c r="O2034" s="247"/>
      <c r="P2034"/>
      <c r="Q2034" s="224"/>
      <c r="S2034" s="202"/>
      <c r="T2034"/>
    </row>
    <row r="2035" spans="15:20">
      <c r="O2035" s="247"/>
      <c r="P2035"/>
      <c r="Q2035" s="224"/>
      <c r="S2035" s="202"/>
      <c r="T2035"/>
    </row>
    <row r="2036" spans="15:20">
      <c r="O2036" s="247"/>
      <c r="P2036"/>
      <c r="Q2036" s="224"/>
      <c r="S2036" s="202"/>
      <c r="T2036"/>
    </row>
    <row r="2037" spans="15:20">
      <c r="O2037" s="247"/>
      <c r="P2037"/>
      <c r="Q2037" s="224"/>
      <c r="S2037" s="202"/>
      <c r="T2037"/>
    </row>
    <row r="2038" spans="15:20">
      <c r="O2038" s="247"/>
      <c r="P2038"/>
      <c r="Q2038" s="224"/>
      <c r="S2038" s="202"/>
      <c r="T2038"/>
    </row>
    <row r="2039" spans="15:20">
      <c r="O2039" s="247"/>
      <c r="P2039"/>
      <c r="Q2039" s="224"/>
      <c r="S2039" s="202"/>
      <c r="T2039"/>
    </row>
    <row r="2040" spans="15:20">
      <c r="O2040" s="247"/>
      <c r="P2040"/>
      <c r="Q2040" s="224"/>
      <c r="S2040" s="202"/>
      <c r="T2040"/>
    </row>
    <row r="2041" spans="15:20">
      <c r="O2041" s="247"/>
      <c r="P2041"/>
      <c r="Q2041" s="224"/>
      <c r="S2041" s="202"/>
      <c r="T2041"/>
    </row>
    <row r="2042" spans="15:20">
      <c r="O2042" s="247"/>
      <c r="P2042"/>
      <c r="Q2042" s="224"/>
      <c r="S2042" s="202"/>
      <c r="T2042"/>
    </row>
    <row r="2043" spans="15:20">
      <c r="O2043" s="247"/>
      <c r="P2043"/>
      <c r="Q2043" s="224"/>
      <c r="S2043" s="202"/>
      <c r="T2043"/>
    </row>
    <row r="2044" spans="15:20">
      <c r="O2044" s="247"/>
      <c r="P2044"/>
      <c r="Q2044" s="224"/>
      <c r="S2044" s="202"/>
      <c r="T2044"/>
    </row>
    <row r="2045" spans="15:20">
      <c r="O2045" s="247"/>
      <c r="P2045"/>
      <c r="Q2045" s="224"/>
      <c r="S2045" s="202"/>
      <c r="T2045"/>
    </row>
    <row r="2046" spans="15:20">
      <c r="O2046" s="247"/>
      <c r="P2046"/>
      <c r="Q2046" s="224"/>
      <c r="S2046" s="202"/>
      <c r="T2046"/>
    </row>
    <row r="2047" spans="15:20">
      <c r="O2047" s="247"/>
      <c r="P2047"/>
      <c r="Q2047" s="224"/>
      <c r="S2047" s="202"/>
      <c r="T2047"/>
    </row>
    <row r="2048" spans="15:20">
      <c r="O2048" s="247"/>
      <c r="P2048"/>
      <c r="Q2048" s="224"/>
      <c r="S2048" s="202"/>
      <c r="T2048"/>
    </row>
    <row r="2049" spans="15:20">
      <c r="O2049" s="247"/>
      <c r="P2049"/>
      <c r="Q2049" s="224"/>
      <c r="S2049" s="202"/>
      <c r="T2049"/>
    </row>
    <row r="2050" spans="15:20">
      <c r="O2050" s="247"/>
      <c r="P2050"/>
      <c r="Q2050" s="224"/>
      <c r="S2050" s="202"/>
      <c r="T2050"/>
    </row>
    <row r="2051" spans="15:20">
      <c r="O2051" s="247"/>
      <c r="P2051"/>
      <c r="Q2051" s="224"/>
      <c r="S2051" s="202"/>
      <c r="T2051"/>
    </row>
    <row r="2052" spans="15:20">
      <c r="O2052" s="247"/>
      <c r="P2052"/>
      <c r="Q2052" s="224"/>
      <c r="S2052" s="202"/>
      <c r="T2052"/>
    </row>
    <row r="2053" spans="15:20">
      <c r="O2053" s="247"/>
      <c r="P2053"/>
      <c r="Q2053" s="224"/>
      <c r="S2053" s="202"/>
      <c r="T2053"/>
    </row>
    <row r="2054" spans="15:20">
      <c r="O2054" s="247"/>
      <c r="P2054"/>
      <c r="Q2054" s="224"/>
      <c r="S2054" s="202"/>
      <c r="T2054"/>
    </row>
    <row r="2055" spans="15:20">
      <c r="O2055" s="247"/>
      <c r="P2055"/>
      <c r="Q2055" s="224"/>
      <c r="S2055" s="202"/>
      <c r="T2055"/>
    </row>
    <row r="2056" spans="15:20">
      <c r="O2056" s="247"/>
      <c r="P2056"/>
      <c r="Q2056" s="224"/>
      <c r="S2056" s="202"/>
      <c r="T2056"/>
    </row>
    <row r="2057" spans="15:20">
      <c r="O2057" s="247"/>
      <c r="P2057"/>
      <c r="Q2057" s="224"/>
      <c r="S2057" s="202"/>
      <c r="T2057"/>
    </row>
    <row r="2058" spans="15:20">
      <c r="O2058" s="247"/>
      <c r="P2058"/>
      <c r="Q2058" s="224"/>
      <c r="S2058" s="202"/>
      <c r="T2058"/>
    </row>
    <row r="2059" spans="15:20">
      <c r="O2059" s="247"/>
      <c r="P2059"/>
      <c r="Q2059" s="224"/>
      <c r="S2059" s="202"/>
      <c r="T2059"/>
    </row>
    <row r="2060" spans="15:20">
      <c r="O2060" s="247"/>
      <c r="P2060"/>
      <c r="Q2060" s="224"/>
      <c r="S2060" s="202"/>
      <c r="T2060"/>
    </row>
    <row r="2061" spans="15:20">
      <c r="O2061" s="247"/>
      <c r="P2061"/>
      <c r="Q2061" s="224"/>
      <c r="S2061" s="202"/>
      <c r="T2061"/>
    </row>
    <row r="2062" spans="15:20">
      <c r="O2062" s="247"/>
      <c r="P2062"/>
      <c r="Q2062" s="224"/>
      <c r="S2062" s="202"/>
      <c r="T2062"/>
    </row>
    <row r="2063" spans="15:20">
      <c r="O2063" s="247"/>
      <c r="P2063"/>
      <c r="Q2063" s="224"/>
      <c r="S2063" s="202"/>
      <c r="T2063"/>
    </row>
    <row r="2064" spans="15:20">
      <c r="O2064" s="247"/>
      <c r="P2064"/>
      <c r="Q2064" s="224"/>
      <c r="S2064" s="202"/>
      <c r="T2064"/>
    </row>
    <row r="2065" spans="15:20">
      <c r="O2065" s="247"/>
      <c r="P2065"/>
      <c r="Q2065" s="224"/>
      <c r="S2065" s="202"/>
      <c r="T2065"/>
    </row>
    <row r="2066" spans="15:20">
      <c r="O2066" s="247"/>
      <c r="P2066"/>
      <c r="Q2066" s="224"/>
      <c r="S2066" s="202"/>
      <c r="T2066"/>
    </row>
    <row r="2067" spans="15:20">
      <c r="O2067" s="247"/>
      <c r="P2067"/>
      <c r="Q2067" s="224"/>
      <c r="S2067" s="202"/>
      <c r="T2067"/>
    </row>
    <row r="2068" spans="15:20">
      <c r="O2068" s="247"/>
      <c r="P2068"/>
      <c r="Q2068" s="224"/>
      <c r="S2068" s="202"/>
      <c r="T2068"/>
    </row>
    <row r="2069" spans="15:20">
      <c r="O2069" s="247"/>
      <c r="P2069"/>
      <c r="Q2069" s="224"/>
      <c r="S2069" s="202"/>
      <c r="T2069"/>
    </row>
    <row r="2070" spans="15:20">
      <c r="O2070" s="247"/>
      <c r="P2070"/>
      <c r="Q2070" s="224"/>
      <c r="S2070" s="202"/>
      <c r="T2070"/>
    </row>
    <row r="2071" spans="15:20">
      <c r="O2071" s="247"/>
      <c r="P2071"/>
      <c r="Q2071" s="224"/>
      <c r="S2071" s="202"/>
      <c r="T2071"/>
    </row>
    <row r="2072" spans="15:20">
      <c r="O2072" s="247"/>
      <c r="P2072"/>
      <c r="Q2072" s="224"/>
      <c r="S2072" s="202"/>
      <c r="T2072"/>
    </row>
    <row r="2073" spans="15:20">
      <c r="O2073" s="247"/>
      <c r="P2073"/>
      <c r="Q2073" s="224"/>
      <c r="S2073" s="202"/>
      <c r="T2073"/>
    </row>
    <row r="2074" spans="15:20">
      <c r="O2074" s="247"/>
      <c r="P2074"/>
      <c r="Q2074" s="224"/>
      <c r="S2074" s="202"/>
      <c r="T2074"/>
    </row>
    <row r="2075" spans="15:20">
      <c r="O2075" s="247"/>
      <c r="P2075"/>
      <c r="Q2075" s="224"/>
      <c r="S2075" s="202"/>
      <c r="T2075"/>
    </row>
    <row r="2076" spans="15:20">
      <c r="O2076" s="247"/>
      <c r="P2076"/>
      <c r="Q2076" s="224"/>
      <c r="S2076" s="202"/>
      <c r="T2076"/>
    </row>
    <row r="2077" spans="15:20">
      <c r="O2077" s="247"/>
      <c r="P2077"/>
      <c r="Q2077" s="224"/>
      <c r="S2077" s="202"/>
      <c r="T2077"/>
    </row>
    <row r="2078" spans="15:20">
      <c r="O2078" s="247"/>
      <c r="P2078"/>
      <c r="Q2078" s="224"/>
      <c r="S2078" s="202"/>
      <c r="T2078"/>
    </row>
    <row r="2079" spans="15:20">
      <c r="O2079" s="247"/>
      <c r="P2079"/>
      <c r="Q2079" s="224"/>
      <c r="S2079" s="202"/>
      <c r="T2079"/>
    </row>
    <row r="2080" spans="15:20">
      <c r="O2080" s="247"/>
      <c r="P2080"/>
      <c r="Q2080" s="224"/>
      <c r="S2080" s="202"/>
      <c r="T2080"/>
    </row>
    <row r="2081" spans="15:20">
      <c r="O2081" s="247"/>
      <c r="P2081"/>
      <c r="Q2081" s="224"/>
      <c r="S2081" s="202"/>
      <c r="T2081"/>
    </row>
    <row r="2082" spans="15:20">
      <c r="O2082" s="247"/>
      <c r="P2082"/>
      <c r="Q2082" s="224"/>
      <c r="S2082" s="202"/>
      <c r="T2082"/>
    </row>
    <row r="2083" spans="15:20">
      <c r="O2083" s="247"/>
      <c r="P2083"/>
      <c r="Q2083" s="224"/>
      <c r="S2083" s="202"/>
      <c r="T2083"/>
    </row>
    <row r="2084" spans="15:20">
      <c r="O2084" s="247"/>
      <c r="P2084"/>
      <c r="Q2084" s="224"/>
      <c r="S2084" s="202"/>
      <c r="T2084"/>
    </row>
    <row r="2085" spans="15:20">
      <c r="O2085" s="247"/>
      <c r="P2085"/>
      <c r="Q2085" s="224"/>
      <c r="S2085" s="202"/>
      <c r="T2085"/>
    </row>
    <row r="2086" spans="15:20">
      <c r="O2086" s="247"/>
      <c r="P2086"/>
      <c r="Q2086" s="224"/>
      <c r="S2086" s="202"/>
      <c r="T2086"/>
    </row>
    <row r="2087" spans="15:20">
      <c r="O2087" s="247"/>
      <c r="P2087"/>
      <c r="Q2087" s="224"/>
      <c r="S2087" s="202"/>
      <c r="T2087"/>
    </row>
    <row r="2088" spans="15:20">
      <c r="O2088" s="247"/>
      <c r="P2088"/>
      <c r="Q2088" s="224"/>
      <c r="S2088" s="202"/>
      <c r="T2088"/>
    </row>
    <row r="2089" spans="15:20">
      <c r="O2089" s="247"/>
      <c r="P2089"/>
      <c r="Q2089" s="224"/>
      <c r="S2089" s="202"/>
      <c r="T2089"/>
    </row>
    <row r="2090" spans="15:20">
      <c r="O2090" s="247"/>
      <c r="P2090"/>
      <c r="Q2090" s="224"/>
      <c r="S2090" s="202"/>
      <c r="T2090"/>
    </row>
    <row r="2091" spans="15:20">
      <c r="O2091" s="247"/>
      <c r="P2091"/>
      <c r="Q2091" s="224"/>
      <c r="S2091" s="202"/>
      <c r="T2091"/>
    </row>
    <row r="2092" spans="15:20">
      <c r="O2092" s="247"/>
      <c r="P2092"/>
      <c r="Q2092" s="224"/>
      <c r="S2092" s="202"/>
      <c r="T2092"/>
    </row>
    <row r="2093" spans="15:20">
      <c r="O2093" s="247"/>
      <c r="P2093"/>
      <c r="Q2093" s="224"/>
      <c r="S2093" s="202"/>
      <c r="T2093"/>
    </row>
    <row r="2094" spans="15:20">
      <c r="O2094" s="247"/>
      <c r="P2094"/>
      <c r="Q2094" s="224"/>
      <c r="S2094" s="202"/>
      <c r="T2094"/>
    </row>
    <row r="2095" spans="15:20">
      <c r="O2095" s="247"/>
      <c r="P2095"/>
      <c r="Q2095" s="224"/>
      <c r="S2095" s="202"/>
      <c r="T2095"/>
    </row>
    <row r="2096" spans="15:20">
      <c r="O2096" s="247"/>
      <c r="P2096"/>
      <c r="Q2096" s="224"/>
      <c r="S2096" s="202"/>
      <c r="T2096"/>
    </row>
    <row r="2097" spans="15:20">
      <c r="O2097" s="247"/>
      <c r="P2097"/>
      <c r="Q2097" s="224"/>
      <c r="S2097" s="202"/>
      <c r="T2097"/>
    </row>
    <row r="2098" spans="15:20">
      <c r="O2098" s="247"/>
      <c r="P2098"/>
      <c r="Q2098" s="224"/>
      <c r="S2098" s="202"/>
      <c r="T2098"/>
    </row>
    <row r="2099" spans="15:20">
      <c r="O2099" s="247"/>
      <c r="P2099"/>
      <c r="Q2099" s="224"/>
      <c r="S2099" s="202"/>
      <c r="T2099"/>
    </row>
    <row r="2100" spans="15:20">
      <c r="O2100" s="247"/>
      <c r="P2100"/>
      <c r="Q2100" s="224"/>
      <c r="S2100" s="202"/>
      <c r="T2100"/>
    </row>
    <row r="2101" spans="15:20">
      <c r="O2101" s="247"/>
      <c r="P2101"/>
      <c r="Q2101" s="224"/>
      <c r="S2101" s="202"/>
      <c r="T2101"/>
    </row>
    <row r="2102" spans="15:20">
      <c r="O2102" s="247"/>
      <c r="P2102"/>
      <c r="Q2102" s="224"/>
      <c r="S2102" s="202"/>
      <c r="T2102"/>
    </row>
    <row r="2103" spans="15:20">
      <c r="O2103" s="247"/>
      <c r="P2103"/>
      <c r="Q2103" s="224"/>
      <c r="S2103" s="202"/>
      <c r="T2103"/>
    </row>
    <row r="2104" spans="15:20">
      <c r="O2104" s="247"/>
      <c r="P2104"/>
      <c r="Q2104" s="224"/>
      <c r="S2104" s="202"/>
      <c r="T2104"/>
    </row>
    <row r="2105" spans="15:20">
      <c r="O2105" s="247"/>
      <c r="P2105"/>
      <c r="Q2105" s="224"/>
      <c r="S2105" s="202"/>
      <c r="T2105"/>
    </row>
    <row r="2106" spans="15:20">
      <c r="O2106" s="247"/>
      <c r="P2106"/>
      <c r="Q2106" s="224"/>
      <c r="S2106" s="202"/>
      <c r="T2106"/>
    </row>
    <row r="2107" spans="15:20">
      <c r="O2107" s="247"/>
      <c r="P2107"/>
      <c r="Q2107" s="224"/>
      <c r="S2107" s="202"/>
      <c r="T2107"/>
    </row>
    <row r="2108" spans="15:20">
      <c r="O2108" s="247"/>
      <c r="P2108"/>
      <c r="Q2108" s="224"/>
      <c r="S2108" s="202"/>
      <c r="T2108"/>
    </row>
    <row r="2109" spans="15:20">
      <c r="O2109" s="247"/>
      <c r="P2109"/>
      <c r="Q2109" s="224"/>
      <c r="S2109" s="202"/>
      <c r="T2109"/>
    </row>
    <row r="2110" spans="15:20">
      <c r="O2110" s="247"/>
      <c r="P2110"/>
      <c r="Q2110" s="224"/>
      <c r="S2110" s="202"/>
      <c r="T2110"/>
    </row>
    <row r="2111" spans="15:20">
      <c r="O2111" s="247"/>
      <c r="P2111"/>
      <c r="Q2111" s="224"/>
      <c r="S2111" s="202"/>
      <c r="T2111"/>
    </row>
    <row r="2112" spans="15:20">
      <c r="O2112" s="247"/>
      <c r="P2112"/>
      <c r="Q2112" s="224"/>
      <c r="S2112" s="202"/>
      <c r="T2112"/>
    </row>
    <row r="2113" spans="15:20">
      <c r="O2113" s="247"/>
      <c r="P2113"/>
      <c r="Q2113" s="224"/>
      <c r="S2113" s="202"/>
      <c r="T2113"/>
    </row>
    <row r="2114" spans="15:20">
      <c r="O2114" s="247"/>
      <c r="P2114"/>
      <c r="Q2114" s="224"/>
      <c r="S2114" s="202"/>
      <c r="T2114"/>
    </row>
    <row r="2115" spans="15:20">
      <c r="O2115" s="247"/>
      <c r="P2115"/>
      <c r="Q2115" s="224"/>
      <c r="S2115" s="202"/>
      <c r="T2115"/>
    </row>
    <row r="2116" spans="15:20">
      <c r="O2116" s="247"/>
      <c r="P2116"/>
      <c r="Q2116" s="224"/>
      <c r="S2116" s="202"/>
      <c r="T2116"/>
    </row>
    <row r="2117" spans="15:20">
      <c r="O2117" s="247"/>
      <c r="P2117"/>
      <c r="Q2117" s="224"/>
      <c r="S2117" s="202"/>
      <c r="T2117"/>
    </row>
    <row r="2118" spans="15:20">
      <c r="O2118" s="247"/>
      <c r="P2118"/>
      <c r="Q2118" s="224"/>
      <c r="S2118" s="202"/>
      <c r="T2118"/>
    </row>
    <row r="2119" spans="15:20">
      <c r="O2119" s="247"/>
      <c r="P2119"/>
      <c r="Q2119" s="224"/>
      <c r="S2119" s="202"/>
      <c r="T2119"/>
    </row>
    <row r="2120" spans="15:20">
      <c r="O2120" s="247"/>
      <c r="P2120"/>
      <c r="Q2120" s="224"/>
      <c r="S2120" s="202"/>
      <c r="T2120"/>
    </row>
    <row r="2121" spans="15:20">
      <c r="O2121" s="247"/>
      <c r="P2121"/>
      <c r="Q2121" s="224"/>
      <c r="S2121" s="202"/>
      <c r="T2121"/>
    </row>
    <row r="2122" spans="15:20">
      <c r="O2122" s="247"/>
      <c r="P2122"/>
      <c r="Q2122" s="224"/>
      <c r="S2122" s="202"/>
      <c r="T2122"/>
    </row>
    <row r="2123" spans="15:20">
      <c r="O2123" s="247"/>
      <c r="P2123"/>
      <c r="Q2123" s="224"/>
      <c r="S2123" s="202"/>
      <c r="T2123"/>
    </row>
    <row r="2124" spans="15:20">
      <c r="O2124" s="247"/>
      <c r="P2124"/>
      <c r="Q2124" s="224"/>
      <c r="S2124" s="202"/>
      <c r="T2124"/>
    </row>
    <row r="2125" spans="15:20">
      <c r="O2125" s="247"/>
      <c r="P2125"/>
      <c r="Q2125" s="224"/>
      <c r="S2125" s="202"/>
      <c r="T2125"/>
    </row>
    <row r="2126" spans="15:20">
      <c r="O2126" s="247"/>
      <c r="P2126"/>
      <c r="Q2126" s="224"/>
      <c r="S2126" s="202"/>
      <c r="T2126"/>
    </row>
    <row r="2127" spans="15:20">
      <c r="O2127" s="247"/>
      <c r="P2127"/>
      <c r="Q2127" s="224"/>
      <c r="S2127" s="202"/>
      <c r="T2127"/>
    </row>
    <row r="2128" spans="15:20">
      <c r="O2128" s="247"/>
      <c r="P2128"/>
      <c r="Q2128" s="224"/>
      <c r="S2128" s="202"/>
      <c r="T2128"/>
    </row>
    <row r="2129" spans="15:20">
      <c r="O2129" s="247"/>
      <c r="P2129"/>
      <c r="Q2129" s="224"/>
      <c r="S2129" s="202"/>
      <c r="T2129"/>
    </row>
    <row r="2130" spans="15:20">
      <c r="O2130" s="247"/>
      <c r="P2130"/>
      <c r="Q2130" s="224"/>
      <c r="S2130" s="202"/>
      <c r="T2130"/>
    </row>
    <row r="2131" spans="15:20">
      <c r="O2131" s="247"/>
      <c r="P2131"/>
      <c r="Q2131" s="224"/>
      <c r="S2131" s="202"/>
      <c r="T2131"/>
    </row>
    <row r="2132" spans="15:20">
      <c r="O2132" s="247"/>
      <c r="P2132"/>
      <c r="Q2132" s="224"/>
      <c r="S2132" s="202"/>
      <c r="T2132"/>
    </row>
    <row r="2133" spans="15:20">
      <c r="O2133" s="247"/>
      <c r="P2133"/>
      <c r="Q2133" s="224"/>
      <c r="S2133" s="202"/>
      <c r="T2133"/>
    </row>
    <row r="2134" spans="15:20">
      <c r="O2134" s="247"/>
      <c r="P2134"/>
      <c r="Q2134" s="224"/>
      <c r="S2134" s="202"/>
      <c r="T2134"/>
    </row>
    <row r="2135" spans="15:20">
      <c r="O2135" s="247"/>
      <c r="P2135"/>
      <c r="Q2135" s="224"/>
      <c r="S2135" s="202"/>
      <c r="T2135"/>
    </row>
    <row r="2136" spans="15:20">
      <c r="O2136" s="247"/>
      <c r="P2136"/>
      <c r="Q2136" s="224"/>
      <c r="S2136" s="202"/>
      <c r="T2136"/>
    </row>
    <row r="2137" spans="15:20">
      <c r="O2137" s="247"/>
      <c r="P2137"/>
      <c r="Q2137" s="224"/>
      <c r="S2137" s="202"/>
      <c r="T2137"/>
    </row>
    <row r="2138" spans="15:20">
      <c r="O2138" s="247"/>
      <c r="P2138"/>
      <c r="Q2138" s="224"/>
      <c r="S2138" s="202"/>
      <c r="T2138"/>
    </row>
    <row r="2139" spans="15:20">
      <c r="O2139" s="247"/>
      <c r="P2139"/>
      <c r="Q2139" s="224"/>
      <c r="S2139" s="202"/>
      <c r="T2139"/>
    </row>
    <row r="2140" spans="15:20">
      <c r="O2140" s="247"/>
      <c r="P2140"/>
      <c r="Q2140" s="224"/>
      <c r="S2140" s="202"/>
      <c r="T2140"/>
    </row>
    <row r="2141" spans="15:20">
      <c r="O2141" s="247"/>
      <c r="P2141"/>
      <c r="Q2141" s="224"/>
      <c r="S2141" s="202"/>
      <c r="T2141"/>
    </row>
    <row r="2142" spans="15:20">
      <c r="O2142" s="247"/>
      <c r="P2142"/>
      <c r="Q2142" s="224"/>
      <c r="S2142" s="202"/>
      <c r="T2142"/>
    </row>
    <row r="2143" spans="15:20">
      <c r="O2143" s="247"/>
      <c r="P2143"/>
      <c r="Q2143" s="224"/>
      <c r="S2143" s="202"/>
      <c r="T2143"/>
    </row>
    <row r="2144" spans="15:20">
      <c r="O2144" s="247"/>
      <c r="P2144"/>
      <c r="Q2144" s="224"/>
      <c r="S2144" s="202"/>
      <c r="T2144"/>
    </row>
    <row r="2145" spans="15:20">
      <c r="O2145" s="247"/>
      <c r="P2145"/>
      <c r="Q2145" s="224"/>
      <c r="S2145" s="202"/>
      <c r="T2145"/>
    </row>
    <row r="2146" spans="15:20">
      <c r="O2146" s="247"/>
      <c r="P2146"/>
      <c r="Q2146" s="224"/>
      <c r="S2146" s="202"/>
      <c r="T2146"/>
    </row>
    <row r="2147" spans="15:20">
      <c r="O2147" s="247"/>
      <c r="P2147"/>
      <c r="Q2147" s="224"/>
      <c r="S2147" s="202"/>
      <c r="T2147"/>
    </row>
    <row r="2148" spans="15:20">
      <c r="O2148" s="247"/>
      <c r="P2148"/>
      <c r="Q2148" s="224"/>
      <c r="S2148" s="202"/>
      <c r="T2148"/>
    </row>
    <row r="2149" spans="15:20">
      <c r="O2149" s="247"/>
      <c r="P2149"/>
      <c r="Q2149" s="224"/>
      <c r="S2149" s="202"/>
      <c r="T2149"/>
    </row>
    <row r="2150" spans="15:20">
      <c r="O2150" s="247"/>
      <c r="P2150"/>
      <c r="Q2150" s="224"/>
      <c r="S2150" s="202"/>
      <c r="T2150"/>
    </row>
    <row r="2151" spans="15:20">
      <c r="O2151" s="247"/>
      <c r="P2151"/>
      <c r="Q2151" s="224"/>
      <c r="S2151" s="202"/>
      <c r="T2151"/>
    </row>
    <row r="2152" spans="15:20">
      <c r="O2152" s="247"/>
      <c r="P2152"/>
      <c r="Q2152" s="224"/>
      <c r="S2152" s="202"/>
      <c r="T2152"/>
    </row>
    <row r="2153" spans="15:20">
      <c r="O2153" s="247"/>
      <c r="P2153"/>
      <c r="Q2153" s="224"/>
      <c r="S2153" s="202"/>
      <c r="T2153"/>
    </row>
    <row r="2154" spans="15:20">
      <c r="O2154" s="247"/>
      <c r="P2154"/>
      <c r="Q2154" s="224"/>
      <c r="S2154" s="202"/>
      <c r="T2154"/>
    </row>
    <row r="2155" spans="15:20">
      <c r="O2155" s="247"/>
      <c r="P2155"/>
      <c r="Q2155" s="224"/>
      <c r="S2155" s="202"/>
      <c r="T2155"/>
    </row>
    <row r="2156" spans="15:20">
      <c r="O2156" s="247"/>
      <c r="P2156"/>
      <c r="Q2156" s="224"/>
      <c r="S2156" s="202"/>
      <c r="T2156"/>
    </row>
    <row r="2157" spans="15:20">
      <c r="O2157" s="247"/>
      <c r="P2157"/>
      <c r="Q2157" s="224"/>
      <c r="S2157" s="202"/>
      <c r="T2157"/>
    </row>
    <row r="2158" spans="15:20">
      <c r="O2158" s="247"/>
      <c r="P2158"/>
      <c r="Q2158" s="224"/>
      <c r="S2158" s="202"/>
      <c r="T2158"/>
    </row>
    <row r="2159" spans="15:20">
      <c r="O2159" s="247"/>
      <c r="P2159"/>
      <c r="Q2159" s="224"/>
      <c r="S2159" s="202"/>
      <c r="T2159"/>
    </row>
    <row r="2160" spans="15:20">
      <c r="O2160" s="247"/>
      <c r="P2160"/>
      <c r="Q2160" s="224"/>
      <c r="S2160" s="202"/>
      <c r="T2160"/>
    </row>
    <row r="2161" spans="15:20">
      <c r="O2161" s="247"/>
      <c r="P2161"/>
      <c r="Q2161" s="224"/>
      <c r="S2161" s="202"/>
      <c r="T2161"/>
    </row>
    <row r="2162" spans="15:20">
      <c r="O2162" s="247"/>
      <c r="P2162"/>
      <c r="Q2162" s="224"/>
      <c r="S2162" s="202"/>
      <c r="T2162"/>
    </row>
    <row r="2163" spans="15:20">
      <c r="O2163" s="247"/>
      <c r="P2163"/>
      <c r="Q2163" s="224"/>
      <c r="S2163" s="202"/>
      <c r="T2163"/>
    </row>
    <row r="2164" spans="15:20">
      <c r="O2164" s="247"/>
      <c r="P2164"/>
      <c r="Q2164" s="224"/>
      <c r="S2164" s="202"/>
      <c r="T2164"/>
    </row>
    <row r="2165" spans="15:20">
      <c r="O2165" s="247"/>
      <c r="P2165"/>
      <c r="Q2165" s="224"/>
      <c r="S2165" s="202"/>
      <c r="T2165"/>
    </row>
    <row r="2166" spans="15:20">
      <c r="O2166" s="247"/>
      <c r="P2166"/>
      <c r="Q2166" s="224"/>
      <c r="S2166" s="202"/>
      <c r="T2166"/>
    </row>
    <row r="2167" spans="15:20">
      <c r="O2167" s="247"/>
      <c r="P2167"/>
      <c r="Q2167" s="224"/>
      <c r="S2167" s="202"/>
      <c r="T2167"/>
    </row>
    <row r="2168" spans="15:20">
      <c r="O2168" s="247"/>
      <c r="P2168"/>
      <c r="Q2168" s="224"/>
      <c r="S2168" s="202"/>
      <c r="T2168"/>
    </row>
    <row r="2169" spans="15:20">
      <c r="O2169" s="247"/>
      <c r="P2169"/>
      <c r="Q2169" s="224"/>
      <c r="S2169" s="202"/>
      <c r="T2169"/>
    </row>
    <row r="2170" spans="15:20">
      <c r="O2170" s="247"/>
      <c r="P2170"/>
      <c r="Q2170" s="224"/>
      <c r="S2170" s="202"/>
      <c r="T2170"/>
    </row>
    <row r="2171" spans="15:20">
      <c r="O2171" s="247"/>
      <c r="P2171"/>
      <c r="Q2171" s="224"/>
      <c r="S2171" s="202"/>
      <c r="T2171"/>
    </row>
    <row r="2172" spans="15:20">
      <c r="O2172" s="247"/>
      <c r="P2172"/>
      <c r="Q2172" s="224"/>
      <c r="S2172" s="202"/>
      <c r="T2172"/>
    </row>
    <row r="2173" spans="15:20">
      <c r="O2173" s="247"/>
      <c r="P2173"/>
      <c r="Q2173" s="224"/>
      <c r="S2173" s="202"/>
      <c r="T2173"/>
    </row>
    <row r="2174" spans="15:20">
      <c r="O2174" s="247"/>
      <c r="P2174"/>
      <c r="Q2174" s="224"/>
      <c r="S2174" s="202"/>
      <c r="T2174"/>
    </row>
    <row r="2175" spans="15:20">
      <c r="O2175" s="247"/>
      <c r="P2175"/>
      <c r="Q2175" s="224"/>
      <c r="S2175" s="202"/>
      <c r="T2175"/>
    </row>
    <row r="2176" spans="15:20">
      <c r="O2176" s="247"/>
      <c r="P2176"/>
      <c r="Q2176" s="224"/>
      <c r="S2176" s="202"/>
      <c r="T2176"/>
    </row>
    <row r="2177" spans="15:20">
      <c r="O2177" s="247"/>
      <c r="P2177"/>
      <c r="Q2177" s="224"/>
      <c r="S2177" s="202"/>
      <c r="T2177"/>
    </row>
    <row r="2178" spans="15:20">
      <c r="O2178" s="247"/>
      <c r="P2178"/>
      <c r="Q2178" s="224"/>
      <c r="S2178" s="202"/>
      <c r="T2178"/>
    </row>
    <row r="2179" spans="15:20">
      <c r="O2179" s="247"/>
      <c r="P2179"/>
      <c r="Q2179" s="224"/>
      <c r="S2179" s="202"/>
      <c r="T2179"/>
    </row>
    <row r="2180" spans="15:20">
      <c r="O2180" s="247"/>
      <c r="P2180"/>
      <c r="Q2180" s="224"/>
      <c r="S2180" s="202"/>
      <c r="T2180"/>
    </row>
    <row r="2181" spans="15:20">
      <c r="O2181" s="247"/>
      <c r="P2181"/>
      <c r="Q2181" s="224"/>
      <c r="S2181" s="202"/>
      <c r="T2181"/>
    </row>
    <row r="2182" spans="15:20">
      <c r="O2182" s="247"/>
      <c r="P2182"/>
      <c r="Q2182" s="224"/>
      <c r="S2182" s="202"/>
      <c r="T2182"/>
    </row>
    <row r="2183" spans="15:20">
      <c r="O2183" s="247"/>
      <c r="P2183"/>
      <c r="Q2183" s="224"/>
      <c r="S2183" s="202"/>
      <c r="T2183"/>
    </row>
    <row r="2184" spans="15:20">
      <c r="O2184" s="247"/>
      <c r="P2184"/>
      <c r="Q2184" s="224"/>
      <c r="S2184" s="202"/>
      <c r="T2184"/>
    </row>
    <row r="2185" spans="15:20">
      <c r="O2185" s="247"/>
      <c r="P2185"/>
      <c r="Q2185" s="224"/>
      <c r="S2185" s="202"/>
      <c r="T2185"/>
    </row>
    <row r="2186" spans="15:20">
      <c r="O2186" s="247"/>
      <c r="P2186"/>
      <c r="Q2186" s="224"/>
      <c r="S2186" s="202"/>
      <c r="T2186"/>
    </row>
    <row r="2187" spans="15:20">
      <c r="O2187" s="247"/>
      <c r="P2187"/>
      <c r="Q2187" s="224"/>
      <c r="S2187" s="202"/>
      <c r="T2187"/>
    </row>
    <row r="2188" spans="15:20">
      <c r="O2188" s="247"/>
      <c r="P2188"/>
      <c r="Q2188" s="224"/>
      <c r="S2188" s="202"/>
      <c r="T2188"/>
    </row>
    <row r="2189" spans="15:20">
      <c r="O2189" s="247"/>
      <c r="P2189"/>
      <c r="Q2189" s="224"/>
      <c r="S2189" s="202"/>
      <c r="T2189"/>
    </row>
    <row r="2190" spans="15:20">
      <c r="O2190" s="247"/>
      <c r="P2190"/>
      <c r="Q2190" s="224"/>
      <c r="S2190" s="202"/>
      <c r="T2190"/>
    </row>
    <row r="2191" spans="15:20">
      <c r="O2191" s="247"/>
      <c r="P2191"/>
      <c r="Q2191" s="224"/>
      <c r="S2191" s="202"/>
      <c r="T2191"/>
    </row>
    <row r="2192" spans="15:20">
      <c r="O2192" s="247"/>
      <c r="P2192"/>
      <c r="Q2192" s="224"/>
      <c r="S2192" s="202"/>
      <c r="T2192"/>
    </row>
    <row r="2193" spans="15:20">
      <c r="O2193" s="247"/>
      <c r="P2193"/>
      <c r="Q2193" s="224"/>
      <c r="S2193" s="202"/>
      <c r="T2193"/>
    </row>
    <row r="2194" spans="15:20">
      <c r="O2194" s="247"/>
      <c r="P2194"/>
      <c r="Q2194" s="224"/>
      <c r="S2194" s="202"/>
      <c r="T2194"/>
    </row>
    <row r="2195" spans="15:20">
      <c r="O2195" s="247"/>
      <c r="P2195"/>
      <c r="Q2195" s="224"/>
      <c r="S2195" s="202"/>
      <c r="T2195"/>
    </row>
    <row r="2196" spans="15:20">
      <c r="O2196" s="247"/>
      <c r="P2196"/>
      <c r="Q2196" s="224"/>
      <c r="S2196" s="202"/>
      <c r="T2196"/>
    </row>
    <row r="2197" spans="15:20">
      <c r="O2197" s="247"/>
      <c r="P2197"/>
      <c r="Q2197" s="224"/>
      <c r="S2197" s="202"/>
      <c r="T2197"/>
    </row>
    <row r="2198" spans="15:20">
      <c r="O2198" s="247"/>
      <c r="P2198"/>
      <c r="Q2198" s="224"/>
      <c r="S2198" s="202"/>
      <c r="T2198"/>
    </row>
    <row r="2199" spans="15:20">
      <c r="O2199" s="247"/>
      <c r="P2199"/>
      <c r="Q2199" s="224"/>
      <c r="S2199" s="202"/>
      <c r="T2199"/>
    </row>
    <row r="2200" spans="15:20">
      <c r="O2200" s="247"/>
      <c r="P2200"/>
      <c r="Q2200" s="224"/>
      <c r="S2200" s="202"/>
      <c r="T2200"/>
    </row>
    <row r="2201" spans="15:20">
      <c r="O2201" s="247"/>
      <c r="P2201"/>
      <c r="Q2201" s="224"/>
      <c r="S2201" s="202"/>
      <c r="T2201"/>
    </row>
    <row r="2202" spans="15:20">
      <c r="O2202" s="247"/>
      <c r="P2202"/>
      <c r="Q2202" s="224"/>
      <c r="S2202" s="202"/>
      <c r="T2202"/>
    </row>
    <row r="2203" spans="15:20">
      <c r="O2203" s="247"/>
      <c r="P2203"/>
      <c r="Q2203" s="224"/>
      <c r="S2203" s="202"/>
      <c r="T2203"/>
    </row>
    <row r="2204" spans="15:20">
      <c r="O2204" s="247"/>
      <c r="P2204"/>
      <c r="Q2204" s="224"/>
      <c r="S2204" s="202"/>
      <c r="T2204"/>
    </row>
    <row r="2205" spans="15:20">
      <c r="O2205" s="247"/>
      <c r="P2205"/>
      <c r="Q2205" s="224"/>
      <c r="S2205" s="202"/>
      <c r="T2205"/>
    </row>
    <row r="2206" spans="15:20">
      <c r="O2206" s="247"/>
      <c r="P2206"/>
      <c r="Q2206" s="224"/>
      <c r="S2206" s="202"/>
      <c r="T2206"/>
    </row>
    <row r="2207" spans="15:20">
      <c r="O2207" s="247"/>
      <c r="P2207"/>
      <c r="Q2207" s="224"/>
      <c r="S2207" s="202"/>
      <c r="T2207"/>
    </row>
    <row r="2208" spans="15:20">
      <c r="O2208" s="247"/>
      <c r="P2208"/>
      <c r="Q2208" s="224"/>
      <c r="S2208" s="202"/>
      <c r="T2208"/>
    </row>
    <row r="2209" spans="15:20">
      <c r="O2209" s="247"/>
      <c r="P2209"/>
      <c r="Q2209" s="224"/>
      <c r="S2209" s="202"/>
      <c r="T2209"/>
    </row>
    <row r="2210" spans="15:20">
      <c r="O2210" s="247"/>
      <c r="P2210"/>
      <c r="Q2210" s="224"/>
      <c r="S2210" s="202"/>
      <c r="T2210"/>
    </row>
    <row r="2211" spans="15:20">
      <c r="O2211" s="247"/>
      <c r="P2211"/>
      <c r="Q2211" s="224"/>
      <c r="S2211" s="202"/>
      <c r="T2211"/>
    </row>
    <row r="2212" spans="15:20">
      <c r="O2212" s="247"/>
      <c r="P2212"/>
      <c r="Q2212" s="224"/>
      <c r="S2212" s="202"/>
      <c r="T2212"/>
    </row>
    <row r="2213" spans="15:20">
      <c r="O2213" s="247"/>
      <c r="P2213"/>
      <c r="Q2213" s="224"/>
      <c r="S2213" s="202"/>
      <c r="T2213"/>
    </row>
    <row r="2214" spans="15:20">
      <c r="O2214" s="247"/>
      <c r="P2214"/>
      <c r="Q2214" s="224"/>
      <c r="S2214" s="202"/>
      <c r="T2214"/>
    </row>
    <row r="2215" spans="15:20">
      <c r="O2215" s="247"/>
      <c r="P2215"/>
      <c r="Q2215" s="224"/>
      <c r="S2215" s="202"/>
      <c r="T2215"/>
    </row>
    <row r="2216" spans="15:20">
      <c r="O2216" s="247"/>
      <c r="P2216"/>
      <c r="Q2216" s="224"/>
      <c r="S2216" s="202"/>
      <c r="T2216"/>
    </row>
    <row r="2217" spans="15:20">
      <c r="O2217" s="247"/>
      <c r="P2217"/>
      <c r="Q2217" s="224"/>
      <c r="S2217" s="202"/>
      <c r="T2217"/>
    </row>
    <row r="2218" spans="15:20">
      <c r="O2218" s="247"/>
      <c r="P2218"/>
      <c r="Q2218" s="224"/>
      <c r="S2218" s="202"/>
      <c r="T2218"/>
    </row>
    <row r="2219" spans="15:20">
      <c r="O2219" s="247"/>
      <c r="P2219"/>
      <c r="Q2219" s="224"/>
      <c r="S2219" s="202"/>
      <c r="T2219"/>
    </row>
    <row r="2220" spans="15:20">
      <c r="O2220" s="247"/>
      <c r="P2220"/>
      <c r="Q2220" s="224"/>
      <c r="S2220" s="202"/>
      <c r="T2220"/>
    </row>
    <row r="2221" spans="15:20">
      <c r="O2221" s="247"/>
      <c r="P2221"/>
      <c r="Q2221" s="224"/>
      <c r="S2221" s="202"/>
      <c r="T2221"/>
    </row>
    <row r="2222" spans="15:20">
      <c r="O2222" s="247"/>
      <c r="P2222"/>
      <c r="Q2222" s="224"/>
      <c r="S2222" s="202"/>
      <c r="T2222"/>
    </row>
    <row r="2223" spans="15:20">
      <c r="O2223" s="247"/>
      <c r="P2223"/>
      <c r="Q2223" s="224"/>
      <c r="S2223" s="202"/>
      <c r="T2223"/>
    </row>
    <row r="2224" spans="15:20">
      <c r="O2224" s="247"/>
      <c r="P2224"/>
      <c r="Q2224" s="224"/>
      <c r="S2224" s="202"/>
      <c r="T2224"/>
    </row>
    <row r="2225" spans="15:20">
      <c r="O2225" s="247"/>
      <c r="P2225"/>
      <c r="Q2225" s="224"/>
      <c r="S2225" s="202"/>
      <c r="T2225"/>
    </row>
    <row r="2226" spans="15:20">
      <c r="O2226" s="247"/>
      <c r="P2226"/>
      <c r="Q2226" s="224"/>
      <c r="S2226" s="202"/>
      <c r="T2226"/>
    </row>
    <row r="2227" spans="15:20">
      <c r="O2227" s="247"/>
      <c r="P2227"/>
      <c r="Q2227" s="224"/>
      <c r="S2227" s="202"/>
      <c r="T2227"/>
    </row>
    <row r="2228" spans="15:20">
      <c r="O2228" s="247"/>
      <c r="P2228"/>
      <c r="Q2228" s="224"/>
      <c r="S2228" s="202"/>
      <c r="T2228"/>
    </row>
    <row r="2229" spans="15:20">
      <c r="O2229" s="247"/>
      <c r="P2229"/>
      <c r="Q2229" s="224"/>
      <c r="S2229" s="202"/>
      <c r="T2229"/>
    </row>
    <row r="2230" spans="15:20">
      <c r="O2230" s="247"/>
      <c r="P2230"/>
      <c r="Q2230" s="224"/>
      <c r="S2230" s="202"/>
      <c r="T2230"/>
    </row>
    <row r="2231" spans="15:20">
      <c r="O2231" s="247"/>
      <c r="P2231"/>
      <c r="Q2231" s="224"/>
      <c r="S2231" s="202"/>
      <c r="T2231"/>
    </row>
    <row r="2232" spans="15:20">
      <c r="O2232" s="247"/>
      <c r="P2232"/>
      <c r="Q2232" s="224"/>
      <c r="S2232" s="202"/>
      <c r="T2232"/>
    </row>
    <row r="2233" spans="15:20">
      <c r="O2233" s="247"/>
      <c r="P2233"/>
      <c r="Q2233" s="224"/>
      <c r="S2233" s="202"/>
      <c r="T2233"/>
    </row>
    <row r="2234" spans="15:20">
      <c r="O2234" s="247"/>
      <c r="P2234"/>
      <c r="Q2234" s="224"/>
      <c r="S2234" s="202"/>
      <c r="T2234"/>
    </row>
    <row r="2235" spans="15:20">
      <c r="O2235" s="247"/>
      <c r="P2235"/>
      <c r="Q2235" s="224"/>
      <c r="S2235" s="202"/>
      <c r="T2235"/>
    </row>
    <row r="2236" spans="15:20">
      <c r="O2236" s="247"/>
      <c r="P2236"/>
      <c r="Q2236" s="224"/>
      <c r="S2236" s="202"/>
      <c r="T2236"/>
    </row>
    <row r="2237" spans="15:20">
      <c r="O2237" s="247"/>
      <c r="P2237"/>
      <c r="Q2237" s="224"/>
      <c r="S2237" s="202"/>
      <c r="T2237"/>
    </row>
    <row r="2238" spans="15:20">
      <c r="O2238" s="247"/>
      <c r="P2238"/>
      <c r="Q2238" s="224"/>
      <c r="S2238" s="202"/>
      <c r="T2238"/>
    </row>
    <row r="2239" spans="15:20">
      <c r="O2239" s="247"/>
      <c r="P2239"/>
      <c r="Q2239" s="224"/>
      <c r="S2239" s="202"/>
      <c r="T2239"/>
    </row>
    <row r="2240" spans="15:20">
      <c r="O2240" s="247"/>
      <c r="P2240"/>
      <c r="Q2240" s="224"/>
      <c r="S2240" s="202"/>
      <c r="T2240"/>
    </row>
    <row r="2241" spans="15:20">
      <c r="O2241" s="247"/>
      <c r="P2241"/>
      <c r="Q2241" s="224"/>
      <c r="S2241" s="202"/>
      <c r="T2241"/>
    </row>
    <row r="2242" spans="15:20">
      <c r="O2242" s="247"/>
      <c r="P2242"/>
      <c r="Q2242" s="224"/>
      <c r="S2242" s="202"/>
      <c r="T2242"/>
    </row>
    <row r="2243" spans="15:20">
      <c r="O2243" s="247"/>
      <c r="P2243"/>
      <c r="Q2243" s="224"/>
      <c r="S2243" s="202"/>
      <c r="T2243"/>
    </row>
    <row r="2244" spans="15:20">
      <c r="O2244" s="247"/>
      <c r="P2244"/>
      <c r="Q2244" s="224"/>
      <c r="S2244" s="202"/>
      <c r="T2244"/>
    </row>
    <row r="2245" spans="15:20">
      <c r="O2245" s="247"/>
      <c r="P2245"/>
      <c r="Q2245" s="224"/>
      <c r="S2245" s="202"/>
      <c r="T2245"/>
    </row>
    <row r="2246" spans="15:20">
      <c r="O2246" s="247"/>
      <c r="P2246"/>
      <c r="Q2246" s="224"/>
      <c r="S2246" s="202"/>
      <c r="T2246"/>
    </row>
    <row r="2247" spans="15:20">
      <c r="O2247" s="247"/>
      <c r="P2247"/>
      <c r="Q2247" s="224"/>
      <c r="S2247" s="202"/>
      <c r="T2247"/>
    </row>
    <row r="2248" spans="15:20">
      <c r="O2248" s="247"/>
      <c r="P2248"/>
      <c r="Q2248" s="224"/>
      <c r="S2248" s="202"/>
      <c r="T2248"/>
    </row>
    <row r="2249" spans="15:20">
      <c r="O2249" s="247"/>
      <c r="P2249"/>
      <c r="Q2249" s="224"/>
      <c r="S2249" s="202"/>
      <c r="T2249"/>
    </row>
    <row r="2250" spans="15:20">
      <c r="O2250" s="247"/>
      <c r="P2250"/>
      <c r="Q2250" s="224"/>
      <c r="S2250" s="202"/>
      <c r="T2250"/>
    </row>
    <row r="2251" spans="15:20">
      <c r="O2251" s="247"/>
      <c r="P2251"/>
      <c r="Q2251" s="224"/>
      <c r="S2251" s="202"/>
      <c r="T2251"/>
    </row>
    <row r="2252" spans="15:20">
      <c r="O2252" s="247"/>
      <c r="P2252"/>
      <c r="Q2252" s="224"/>
      <c r="S2252" s="202"/>
      <c r="T2252"/>
    </row>
    <row r="2253" spans="15:20">
      <c r="O2253" s="247"/>
      <c r="P2253"/>
      <c r="Q2253" s="224"/>
      <c r="S2253" s="202"/>
      <c r="T2253"/>
    </row>
    <row r="2254" spans="15:20">
      <c r="O2254" s="247"/>
      <c r="P2254"/>
      <c r="Q2254" s="224"/>
      <c r="S2254" s="202"/>
      <c r="T2254"/>
    </row>
    <row r="2255" spans="15:20">
      <c r="O2255" s="247"/>
      <c r="P2255"/>
      <c r="Q2255" s="224"/>
      <c r="S2255" s="202"/>
      <c r="T2255"/>
    </row>
    <row r="2256" spans="15:20">
      <c r="O2256" s="247"/>
      <c r="P2256"/>
      <c r="Q2256" s="224"/>
      <c r="S2256" s="202"/>
      <c r="T2256"/>
    </row>
    <row r="2257" spans="15:20">
      <c r="O2257" s="247"/>
      <c r="P2257"/>
      <c r="Q2257" s="224"/>
      <c r="S2257" s="202"/>
      <c r="T2257"/>
    </row>
    <row r="2258" spans="15:20">
      <c r="O2258" s="247"/>
      <c r="P2258"/>
      <c r="Q2258" s="224"/>
      <c r="S2258" s="202"/>
      <c r="T2258"/>
    </row>
    <row r="2259" spans="15:20">
      <c r="O2259" s="247"/>
      <c r="P2259"/>
      <c r="Q2259" s="224"/>
      <c r="S2259" s="202"/>
      <c r="T2259"/>
    </row>
    <row r="2260" spans="15:20">
      <c r="O2260" s="247"/>
      <c r="P2260"/>
      <c r="Q2260" s="224"/>
      <c r="S2260" s="202"/>
      <c r="T2260"/>
    </row>
    <row r="2261" spans="15:20">
      <c r="O2261" s="247"/>
      <c r="P2261"/>
      <c r="Q2261" s="224"/>
      <c r="S2261" s="202"/>
      <c r="T2261"/>
    </row>
    <row r="2262" spans="15:20">
      <c r="O2262" s="247"/>
      <c r="P2262"/>
      <c r="Q2262" s="224"/>
      <c r="S2262" s="202"/>
      <c r="T2262"/>
    </row>
    <row r="2263" spans="15:20">
      <c r="O2263" s="247"/>
      <c r="P2263"/>
      <c r="Q2263" s="224"/>
      <c r="S2263" s="202"/>
      <c r="T2263"/>
    </row>
    <row r="2264" spans="15:20">
      <c r="O2264" s="247"/>
      <c r="P2264"/>
      <c r="Q2264" s="224"/>
      <c r="S2264" s="202"/>
      <c r="T2264"/>
    </row>
    <row r="2265" spans="15:20">
      <c r="O2265" s="247"/>
      <c r="P2265"/>
      <c r="Q2265" s="224"/>
      <c r="S2265" s="202"/>
      <c r="T2265"/>
    </row>
    <row r="2266" spans="15:20">
      <c r="O2266" s="247"/>
      <c r="P2266"/>
      <c r="Q2266" s="224"/>
      <c r="S2266" s="202"/>
      <c r="T2266"/>
    </row>
    <row r="2267" spans="15:20">
      <c r="O2267" s="247"/>
      <c r="P2267"/>
      <c r="Q2267" s="224"/>
      <c r="S2267" s="202"/>
      <c r="T2267"/>
    </row>
    <row r="2268" spans="15:20">
      <c r="O2268" s="247"/>
      <c r="P2268"/>
      <c r="Q2268" s="224"/>
      <c r="S2268" s="202"/>
      <c r="T2268"/>
    </row>
    <row r="2269" spans="15:20">
      <c r="O2269" s="247"/>
      <c r="P2269"/>
      <c r="Q2269" s="224"/>
      <c r="S2269" s="202"/>
      <c r="T2269"/>
    </row>
    <row r="2270" spans="15:20">
      <c r="O2270" s="247"/>
      <c r="P2270"/>
      <c r="Q2270" s="224"/>
      <c r="S2270" s="202"/>
      <c r="T2270"/>
    </row>
    <row r="2271" spans="15:20">
      <c r="O2271" s="247"/>
      <c r="P2271"/>
      <c r="Q2271" s="224"/>
      <c r="S2271" s="202"/>
      <c r="T2271"/>
    </row>
    <row r="2272" spans="15:20">
      <c r="O2272" s="247"/>
      <c r="P2272"/>
      <c r="Q2272" s="224"/>
      <c r="S2272" s="202"/>
      <c r="T2272"/>
    </row>
    <row r="2273" spans="15:20">
      <c r="O2273" s="247"/>
      <c r="P2273"/>
      <c r="Q2273" s="224"/>
      <c r="S2273" s="202"/>
      <c r="T2273"/>
    </row>
    <row r="2274" spans="15:20">
      <c r="O2274" s="247"/>
      <c r="P2274"/>
      <c r="Q2274" s="224"/>
      <c r="S2274" s="202"/>
      <c r="T2274"/>
    </row>
    <row r="2275" spans="15:20">
      <c r="O2275" s="247"/>
      <c r="P2275"/>
      <c r="Q2275" s="224"/>
      <c r="S2275" s="202"/>
      <c r="T2275"/>
    </row>
    <row r="2276" spans="15:20">
      <c r="O2276" s="247"/>
      <c r="P2276"/>
      <c r="Q2276" s="224"/>
      <c r="S2276" s="202"/>
      <c r="T2276"/>
    </row>
    <row r="2277" spans="15:20">
      <c r="O2277" s="247"/>
      <c r="P2277"/>
      <c r="Q2277" s="224"/>
      <c r="S2277" s="202"/>
      <c r="T2277"/>
    </row>
    <row r="2278" spans="15:20">
      <c r="O2278" s="247"/>
      <c r="P2278"/>
      <c r="Q2278" s="224"/>
      <c r="S2278" s="202"/>
      <c r="T2278"/>
    </row>
    <row r="2279" spans="15:20">
      <c r="O2279" s="247"/>
      <c r="P2279"/>
      <c r="Q2279" s="224"/>
      <c r="S2279" s="202"/>
      <c r="T2279"/>
    </row>
    <row r="2280" spans="15:20">
      <c r="O2280" s="247"/>
      <c r="P2280"/>
      <c r="Q2280" s="224"/>
      <c r="S2280" s="202"/>
      <c r="T2280"/>
    </row>
    <row r="2281" spans="15:20">
      <c r="O2281" s="247"/>
      <c r="P2281"/>
      <c r="Q2281" s="224"/>
      <c r="S2281" s="202"/>
      <c r="T2281"/>
    </row>
    <row r="2282" spans="15:20">
      <c r="O2282" s="247"/>
      <c r="P2282"/>
      <c r="Q2282" s="224"/>
      <c r="S2282" s="202"/>
      <c r="T2282"/>
    </row>
    <row r="2283" spans="15:20">
      <c r="O2283" s="247"/>
      <c r="P2283"/>
      <c r="Q2283" s="224"/>
      <c r="S2283" s="202"/>
      <c r="T2283"/>
    </row>
    <row r="2284" spans="15:20">
      <c r="O2284" s="247"/>
      <c r="P2284"/>
      <c r="Q2284" s="224"/>
      <c r="S2284" s="202"/>
      <c r="T2284"/>
    </row>
    <row r="2285" spans="15:20">
      <c r="O2285" s="247"/>
      <c r="P2285"/>
      <c r="Q2285" s="224"/>
      <c r="S2285" s="202"/>
      <c r="T2285"/>
    </row>
    <row r="2286" spans="15:20">
      <c r="O2286" s="247"/>
      <c r="P2286"/>
      <c r="Q2286" s="224"/>
      <c r="S2286" s="202"/>
      <c r="T2286"/>
    </row>
    <row r="2287" spans="15:20">
      <c r="O2287" s="247"/>
      <c r="P2287"/>
      <c r="Q2287" s="224"/>
      <c r="S2287" s="202"/>
      <c r="T2287"/>
    </row>
    <row r="2288" spans="15:20">
      <c r="O2288" s="247"/>
      <c r="P2288"/>
      <c r="Q2288" s="224"/>
      <c r="S2288" s="202"/>
      <c r="T2288"/>
    </row>
    <row r="2289" spans="15:20">
      <c r="O2289" s="247"/>
      <c r="P2289"/>
      <c r="Q2289" s="224"/>
      <c r="S2289" s="202"/>
      <c r="T2289"/>
    </row>
    <row r="2290" spans="15:20">
      <c r="O2290" s="247"/>
      <c r="P2290"/>
      <c r="Q2290" s="224"/>
      <c r="S2290" s="202"/>
      <c r="T2290"/>
    </row>
    <row r="2291" spans="15:20">
      <c r="O2291" s="247"/>
      <c r="P2291"/>
      <c r="Q2291" s="224"/>
      <c r="S2291" s="202"/>
      <c r="T2291"/>
    </row>
    <row r="2292" spans="15:20">
      <c r="O2292" s="247"/>
      <c r="P2292"/>
      <c r="Q2292" s="224"/>
      <c r="S2292" s="202"/>
      <c r="T2292"/>
    </row>
    <row r="2293" spans="15:20">
      <c r="O2293" s="247"/>
      <c r="P2293"/>
      <c r="Q2293" s="224"/>
      <c r="S2293" s="202"/>
      <c r="T2293"/>
    </row>
    <row r="2294" spans="15:20">
      <c r="O2294" s="247"/>
      <c r="P2294"/>
      <c r="Q2294" s="224"/>
      <c r="S2294" s="202"/>
      <c r="T2294"/>
    </row>
    <row r="2295" spans="15:20">
      <c r="O2295" s="247"/>
      <c r="P2295"/>
      <c r="Q2295" s="224"/>
      <c r="S2295" s="202"/>
      <c r="T2295"/>
    </row>
    <row r="2296" spans="15:20">
      <c r="O2296" s="247"/>
      <c r="P2296"/>
      <c r="Q2296" s="224"/>
      <c r="S2296" s="202"/>
      <c r="T2296"/>
    </row>
    <row r="2297" spans="15:20">
      <c r="O2297" s="247"/>
      <c r="P2297"/>
      <c r="Q2297" s="224"/>
      <c r="S2297" s="202"/>
      <c r="T2297"/>
    </row>
    <row r="2298" spans="15:20">
      <c r="O2298" s="247"/>
      <c r="P2298"/>
      <c r="Q2298" s="224"/>
      <c r="S2298" s="202"/>
      <c r="T2298"/>
    </row>
    <row r="2299" spans="15:20">
      <c r="O2299" s="247"/>
      <c r="P2299"/>
      <c r="Q2299" s="224"/>
      <c r="S2299" s="202"/>
      <c r="T2299"/>
    </row>
    <row r="2300" spans="15:20">
      <c r="O2300" s="247"/>
      <c r="P2300"/>
      <c r="Q2300" s="224"/>
      <c r="S2300" s="202"/>
      <c r="T2300"/>
    </row>
    <row r="2301" spans="15:20">
      <c r="O2301" s="247"/>
      <c r="P2301"/>
      <c r="Q2301" s="224"/>
      <c r="S2301" s="202"/>
      <c r="T2301"/>
    </row>
    <row r="2302" spans="15:20">
      <c r="O2302" s="247"/>
      <c r="P2302"/>
      <c r="Q2302" s="224"/>
      <c r="S2302" s="202"/>
      <c r="T2302"/>
    </row>
    <row r="2303" spans="15:20">
      <c r="O2303" s="247"/>
      <c r="P2303"/>
      <c r="Q2303" s="224"/>
      <c r="S2303" s="202"/>
      <c r="T2303"/>
    </row>
    <row r="2304" spans="15:20">
      <c r="O2304" s="247"/>
      <c r="P2304"/>
      <c r="Q2304" s="224"/>
      <c r="S2304" s="202"/>
      <c r="T2304"/>
    </row>
    <row r="2305" spans="15:20">
      <c r="O2305" s="247"/>
      <c r="P2305"/>
      <c r="Q2305" s="224"/>
      <c r="S2305" s="202"/>
      <c r="T2305"/>
    </row>
    <row r="2306" spans="15:20">
      <c r="O2306" s="247"/>
      <c r="P2306"/>
      <c r="Q2306" s="224"/>
      <c r="S2306" s="202"/>
      <c r="T2306"/>
    </row>
    <row r="2307" spans="15:20">
      <c r="O2307" s="247"/>
      <c r="P2307"/>
      <c r="Q2307" s="224"/>
      <c r="S2307" s="202"/>
      <c r="T2307"/>
    </row>
    <row r="2308" spans="15:20">
      <c r="O2308" s="247"/>
      <c r="P2308"/>
      <c r="Q2308" s="224"/>
      <c r="S2308" s="202"/>
      <c r="T2308"/>
    </row>
    <row r="2309" spans="15:20">
      <c r="O2309" s="247"/>
      <c r="P2309"/>
      <c r="Q2309" s="224"/>
      <c r="S2309" s="202"/>
      <c r="T2309"/>
    </row>
    <row r="2310" spans="15:20">
      <c r="O2310" s="247"/>
      <c r="P2310"/>
      <c r="Q2310" s="224"/>
      <c r="S2310" s="202"/>
      <c r="T2310"/>
    </row>
    <row r="2311" spans="15:20">
      <c r="O2311" s="247"/>
      <c r="P2311"/>
      <c r="Q2311" s="224"/>
      <c r="S2311" s="202"/>
      <c r="T2311"/>
    </row>
    <row r="2312" spans="15:20">
      <c r="O2312" s="247"/>
      <c r="P2312"/>
      <c r="Q2312" s="224"/>
      <c r="S2312" s="202"/>
      <c r="T2312"/>
    </row>
    <row r="2313" spans="15:20">
      <c r="O2313" s="247"/>
      <c r="P2313"/>
      <c r="Q2313" s="224"/>
      <c r="S2313" s="202"/>
      <c r="T2313"/>
    </row>
    <row r="2314" spans="15:20">
      <c r="O2314" s="247"/>
      <c r="P2314"/>
      <c r="Q2314" s="224"/>
      <c r="S2314" s="202"/>
      <c r="T2314"/>
    </row>
    <row r="2315" spans="15:20">
      <c r="O2315" s="247"/>
      <c r="P2315"/>
      <c r="Q2315" s="224"/>
      <c r="S2315" s="202"/>
      <c r="T2315"/>
    </row>
    <row r="2316" spans="15:20">
      <c r="O2316" s="247"/>
      <c r="P2316"/>
      <c r="Q2316" s="224"/>
      <c r="S2316" s="202"/>
      <c r="T2316"/>
    </row>
    <row r="2317" spans="15:20">
      <c r="O2317" s="247"/>
      <c r="P2317"/>
      <c r="Q2317" s="224"/>
      <c r="S2317" s="202"/>
      <c r="T2317"/>
    </row>
    <row r="2318" spans="15:20">
      <c r="O2318" s="247"/>
      <c r="P2318"/>
      <c r="Q2318" s="224"/>
      <c r="S2318" s="202"/>
      <c r="T2318"/>
    </row>
    <row r="2319" spans="15:20">
      <c r="O2319" s="247"/>
      <c r="P2319"/>
      <c r="Q2319" s="224"/>
      <c r="S2319" s="202"/>
      <c r="T2319"/>
    </row>
    <row r="2320" spans="15:20">
      <c r="O2320" s="247"/>
      <c r="P2320"/>
      <c r="Q2320" s="224"/>
      <c r="S2320" s="202"/>
      <c r="T2320"/>
    </row>
    <row r="2321" spans="15:20">
      <c r="O2321" s="247"/>
      <c r="P2321"/>
      <c r="Q2321" s="224"/>
      <c r="S2321" s="202"/>
      <c r="T2321"/>
    </row>
    <row r="2322" spans="15:20">
      <c r="O2322" s="247"/>
      <c r="P2322"/>
      <c r="Q2322" s="224"/>
      <c r="S2322" s="202"/>
      <c r="T2322"/>
    </row>
    <row r="2323" spans="15:20">
      <c r="O2323" s="247"/>
      <c r="P2323"/>
      <c r="Q2323" s="224"/>
      <c r="S2323" s="202"/>
      <c r="T2323"/>
    </row>
    <row r="2324" spans="15:20">
      <c r="O2324" s="247"/>
      <c r="P2324"/>
      <c r="Q2324" s="224"/>
      <c r="S2324" s="202"/>
      <c r="T2324"/>
    </row>
    <row r="2325" spans="15:20">
      <c r="O2325" s="247"/>
      <c r="P2325"/>
      <c r="Q2325" s="224"/>
      <c r="S2325" s="202"/>
      <c r="T2325"/>
    </row>
    <row r="2326" spans="15:20">
      <c r="O2326" s="247"/>
      <c r="P2326"/>
      <c r="Q2326" s="224"/>
      <c r="S2326" s="202"/>
      <c r="T2326"/>
    </row>
    <row r="2327" spans="15:20">
      <c r="O2327" s="247"/>
      <c r="P2327"/>
      <c r="Q2327" s="224"/>
      <c r="S2327" s="202"/>
      <c r="T2327"/>
    </row>
    <row r="2328" spans="15:20">
      <c r="O2328" s="247"/>
      <c r="P2328"/>
      <c r="Q2328" s="224"/>
      <c r="S2328" s="202"/>
      <c r="T2328"/>
    </row>
    <row r="2329" spans="15:20">
      <c r="O2329" s="247"/>
      <c r="P2329"/>
      <c r="Q2329" s="224"/>
      <c r="S2329" s="202"/>
      <c r="T2329"/>
    </row>
    <row r="2330" spans="15:20">
      <c r="O2330" s="247"/>
      <c r="P2330"/>
      <c r="Q2330" s="224"/>
      <c r="S2330" s="202"/>
      <c r="T2330"/>
    </row>
    <row r="2331" spans="15:20">
      <c r="O2331" s="247"/>
      <c r="P2331"/>
      <c r="Q2331" s="224"/>
      <c r="S2331" s="202"/>
      <c r="T2331"/>
    </row>
    <row r="2332" spans="15:20">
      <c r="O2332" s="247"/>
      <c r="P2332"/>
      <c r="Q2332" s="224"/>
      <c r="S2332" s="202"/>
      <c r="T2332"/>
    </row>
    <row r="2333" spans="15:20">
      <c r="O2333" s="247"/>
      <c r="P2333"/>
      <c r="Q2333" s="224"/>
      <c r="S2333" s="202"/>
      <c r="T2333"/>
    </row>
    <row r="2334" spans="15:20">
      <c r="O2334" s="247"/>
      <c r="P2334"/>
      <c r="Q2334" s="224"/>
      <c r="S2334" s="202"/>
      <c r="T2334"/>
    </row>
    <row r="2335" spans="15:20">
      <c r="O2335" s="247"/>
      <c r="P2335"/>
      <c r="Q2335" s="224"/>
      <c r="S2335" s="202"/>
      <c r="T2335"/>
    </row>
    <row r="2336" spans="15:20">
      <c r="O2336" s="247"/>
      <c r="P2336"/>
      <c r="Q2336" s="224"/>
      <c r="S2336" s="202"/>
      <c r="T2336"/>
    </row>
    <row r="2337" spans="15:20">
      <c r="O2337" s="247"/>
      <c r="P2337"/>
      <c r="Q2337" s="224"/>
      <c r="S2337" s="202"/>
      <c r="T2337"/>
    </row>
    <row r="2338" spans="15:20">
      <c r="O2338" s="247"/>
      <c r="P2338"/>
      <c r="Q2338" s="224"/>
      <c r="S2338" s="202"/>
      <c r="T2338"/>
    </row>
    <row r="2339" spans="15:20">
      <c r="O2339" s="247"/>
      <c r="P2339"/>
      <c r="Q2339" s="224"/>
      <c r="S2339" s="202"/>
      <c r="T2339"/>
    </row>
    <row r="2340" spans="15:20">
      <c r="O2340" s="247"/>
      <c r="P2340"/>
      <c r="Q2340" s="224"/>
      <c r="S2340" s="202"/>
      <c r="T2340"/>
    </row>
    <row r="2341" spans="15:20">
      <c r="O2341" s="247"/>
      <c r="P2341"/>
      <c r="Q2341" s="224"/>
      <c r="S2341" s="202"/>
      <c r="T2341"/>
    </row>
    <row r="2342" spans="15:20">
      <c r="O2342" s="247"/>
      <c r="P2342"/>
      <c r="Q2342" s="224"/>
      <c r="S2342" s="202"/>
      <c r="T2342"/>
    </row>
    <row r="2343" spans="15:20">
      <c r="O2343" s="247"/>
      <c r="P2343"/>
      <c r="Q2343" s="224"/>
      <c r="S2343" s="202"/>
      <c r="T2343"/>
    </row>
    <row r="2344" spans="15:20">
      <c r="O2344" s="247"/>
      <c r="P2344"/>
      <c r="Q2344" s="224"/>
      <c r="S2344" s="202"/>
      <c r="T2344"/>
    </row>
    <row r="2345" spans="15:20">
      <c r="O2345" s="247"/>
      <c r="P2345"/>
      <c r="Q2345" s="224"/>
      <c r="S2345" s="202"/>
      <c r="T2345"/>
    </row>
    <row r="2346" spans="15:20">
      <c r="O2346" s="247"/>
      <c r="P2346"/>
      <c r="Q2346" s="224"/>
      <c r="S2346" s="202"/>
      <c r="T2346"/>
    </row>
    <row r="2347" spans="15:20">
      <c r="O2347" s="247"/>
      <c r="P2347"/>
      <c r="Q2347" s="224"/>
      <c r="S2347" s="202"/>
      <c r="T2347"/>
    </row>
    <row r="2348" spans="15:20">
      <c r="O2348" s="247"/>
      <c r="P2348"/>
      <c r="Q2348" s="224"/>
      <c r="S2348" s="202"/>
      <c r="T2348"/>
    </row>
    <row r="2349" spans="15:20">
      <c r="O2349" s="247"/>
      <c r="P2349"/>
      <c r="Q2349" s="224"/>
      <c r="S2349" s="202"/>
      <c r="T2349"/>
    </row>
    <row r="2350" spans="15:20">
      <c r="O2350" s="247"/>
      <c r="P2350"/>
      <c r="Q2350" s="224"/>
      <c r="S2350" s="202"/>
      <c r="T2350"/>
    </row>
    <row r="2351" spans="15:20">
      <c r="O2351" s="247"/>
      <c r="P2351"/>
      <c r="Q2351" s="224"/>
      <c r="S2351" s="202"/>
      <c r="T2351"/>
    </row>
    <row r="2352" spans="15:20">
      <c r="O2352" s="247"/>
      <c r="P2352"/>
      <c r="Q2352" s="224"/>
      <c r="S2352" s="202"/>
      <c r="T2352"/>
    </row>
    <row r="2353" spans="15:20">
      <c r="O2353" s="247"/>
      <c r="P2353"/>
      <c r="Q2353" s="224"/>
      <c r="S2353" s="202"/>
      <c r="T2353"/>
    </row>
    <row r="2354" spans="15:20">
      <c r="O2354" s="247"/>
      <c r="P2354"/>
      <c r="Q2354" s="224"/>
      <c r="S2354" s="202"/>
      <c r="T2354"/>
    </row>
    <row r="2355" spans="15:20">
      <c r="O2355" s="247"/>
      <c r="P2355"/>
      <c r="Q2355" s="224"/>
      <c r="S2355" s="202"/>
      <c r="T2355"/>
    </row>
    <row r="2356" spans="15:20">
      <c r="O2356" s="247"/>
      <c r="P2356"/>
      <c r="Q2356" s="224"/>
      <c r="S2356" s="202"/>
      <c r="T2356"/>
    </row>
    <row r="2357" spans="15:20">
      <c r="O2357" s="247"/>
      <c r="P2357"/>
      <c r="Q2357" s="224"/>
      <c r="S2357" s="202"/>
      <c r="T2357"/>
    </row>
    <row r="2358" spans="15:20">
      <c r="O2358" s="247"/>
      <c r="P2358"/>
      <c r="Q2358" s="224"/>
      <c r="S2358" s="202"/>
      <c r="T2358"/>
    </row>
    <row r="2359" spans="15:20">
      <c r="O2359" s="247"/>
      <c r="P2359"/>
      <c r="Q2359" s="224"/>
      <c r="S2359" s="202"/>
      <c r="T2359"/>
    </row>
    <row r="2360" spans="15:20">
      <c r="O2360" s="247"/>
      <c r="P2360"/>
      <c r="Q2360" s="224"/>
      <c r="S2360" s="202"/>
      <c r="T2360"/>
    </row>
    <row r="2361" spans="15:20">
      <c r="O2361" s="247"/>
      <c r="P2361"/>
      <c r="Q2361" s="224"/>
      <c r="S2361" s="202"/>
      <c r="T2361"/>
    </row>
    <row r="2362" spans="15:20">
      <c r="O2362" s="247"/>
      <c r="P2362"/>
      <c r="Q2362" s="224"/>
      <c r="S2362" s="202"/>
      <c r="T2362"/>
    </row>
    <row r="2363" spans="15:20">
      <c r="O2363" s="247"/>
      <c r="P2363"/>
      <c r="Q2363" s="224"/>
      <c r="S2363" s="202"/>
      <c r="T2363"/>
    </row>
    <row r="2364" spans="15:20">
      <c r="O2364" s="247"/>
      <c r="P2364"/>
      <c r="Q2364" s="224"/>
      <c r="S2364" s="202"/>
      <c r="T2364"/>
    </row>
    <row r="2365" spans="15:20">
      <c r="O2365" s="247"/>
      <c r="P2365"/>
      <c r="Q2365" s="224"/>
      <c r="S2365" s="202"/>
      <c r="T2365"/>
    </row>
    <row r="2366" spans="15:20">
      <c r="O2366" s="247"/>
      <c r="P2366"/>
      <c r="Q2366" s="224"/>
      <c r="S2366" s="202"/>
      <c r="T2366"/>
    </row>
    <row r="2367" spans="15:20">
      <c r="O2367" s="247"/>
      <c r="P2367"/>
      <c r="Q2367" s="224"/>
      <c r="S2367" s="202"/>
      <c r="T2367"/>
    </row>
    <row r="2368" spans="15:20">
      <c r="O2368" s="247"/>
      <c r="P2368"/>
      <c r="Q2368" s="224"/>
      <c r="S2368" s="202"/>
      <c r="T2368"/>
    </row>
    <row r="2369" spans="15:20">
      <c r="O2369" s="247"/>
      <c r="P2369"/>
      <c r="Q2369" s="224"/>
      <c r="S2369" s="202"/>
      <c r="T2369"/>
    </row>
    <row r="2370" spans="15:20">
      <c r="O2370" s="247"/>
      <c r="P2370"/>
      <c r="Q2370" s="224"/>
      <c r="S2370" s="202"/>
      <c r="T2370"/>
    </row>
    <row r="2371" spans="15:20">
      <c r="O2371" s="247"/>
      <c r="P2371"/>
      <c r="Q2371" s="224"/>
      <c r="S2371" s="202"/>
      <c r="T2371"/>
    </row>
    <row r="2372" spans="15:20">
      <c r="O2372" s="247"/>
      <c r="P2372"/>
      <c r="Q2372" s="224"/>
      <c r="S2372" s="202"/>
      <c r="T2372"/>
    </row>
    <row r="2373" spans="15:20">
      <c r="O2373" s="247"/>
      <c r="P2373"/>
      <c r="Q2373" s="224"/>
      <c r="S2373" s="202"/>
      <c r="T2373"/>
    </row>
    <row r="2374" spans="15:20">
      <c r="O2374" s="247"/>
      <c r="P2374"/>
      <c r="Q2374" s="224"/>
      <c r="S2374" s="202"/>
      <c r="T2374"/>
    </row>
    <row r="2375" spans="15:20">
      <c r="O2375" s="247"/>
      <c r="P2375"/>
      <c r="Q2375" s="224"/>
      <c r="S2375" s="202"/>
      <c r="T2375"/>
    </row>
    <row r="2376" spans="15:20">
      <c r="O2376" s="247"/>
      <c r="P2376"/>
      <c r="Q2376" s="224"/>
      <c r="S2376" s="202"/>
      <c r="T2376"/>
    </row>
    <row r="2377" spans="15:20">
      <c r="O2377" s="247"/>
      <c r="P2377"/>
      <c r="Q2377" s="224"/>
      <c r="S2377" s="202"/>
      <c r="T2377"/>
    </row>
    <row r="2378" spans="15:20">
      <c r="O2378" s="247"/>
      <c r="P2378"/>
      <c r="Q2378" s="224"/>
      <c r="S2378" s="202"/>
      <c r="T2378"/>
    </row>
    <row r="2379" spans="15:20">
      <c r="O2379" s="247"/>
      <c r="P2379"/>
      <c r="Q2379" s="224"/>
      <c r="S2379" s="202"/>
      <c r="T2379"/>
    </row>
    <row r="2380" spans="15:20">
      <c r="O2380" s="247"/>
      <c r="P2380"/>
      <c r="Q2380" s="224"/>
      <c r="S2380" s="202"/>
      <c r="T2380"/>
    </row>
    <row r="2381" spans="15:20">
      <c r="O2381" s="247"/>
      <c r="P2381"/>
      <c r="Q2381" s="224"/>
      <c r="S2381" s="202"/>
      <c r="T2381"/>
    </row>
    <row r="2382" spans="15:20">
      <c r="O2382" s="247"/>
      <c r="P2382"/>
      <c r="Q2382" s="224"/>
      <c r="S2382" s="202"/>
      <c r="T2382"/>
    </row>
    <row r="2383" spans="15:20">
      <c r="O2383" s="247"/>
      <c r="P2383"/>
      <c r="Q2383" s="224"/>
      <c r="S2383" s="202"/>
      <c r="T2383"/>
    </row>
    <row r="2384" spans="15:20">
      <c r="O2384" s="247"/>
      <c r="P2384"/>
      <c r="Q2384" s="224"/>
      <c r="S2384" s="202"/>
      <c r="T2384"/>
    </row>
    <row r="2385" spans="15:20">
      <c r="O2385" s="247"/>
      <c r="P2385"/>
      <c r="Q2385" s="224"/>
      <c r="S2385" s="202"/>
      <c r="T2385"/>
    </row>
    <row r="2386" spans="15:20">
      <c r="O2386" s="247"/>
      <c r="P2386"/>
      <c r="Q2386" s="224"/>
      <c r="S2386" s="202"/>
      <c r="T2386"/>
    </row>
    <row r="2387" spans="15:20">
      <c r="O2387" s="247"/>
      <c r="P2387"/>
      <c r="Q2387" s="224"/>
      <c r="S2387" s="202"/>
      <c r="T2387"/>
    </row>
    <row r="2388" spans="15:20">
      <c r="O2388" s="247"/>
      <c r="P2388"/>
      <c r="Q2388" s="224"/>
      <c r="S2388" s="202"/>
      <c r="T2388"/>
    </row>
    <row r="2389" spans="15:20">
      <c r="O2389" s="247"/>
      <c r="P2389"/>
      <c r="Q2389" s="224"/>
      <c r="S2389" s="202"/>
      <c r="T2389"/>
    </row>
    <row r="2390" spans="15:20">
      <c r="O2390" s="247"/>
      <c r="P2390"/>
      <c r="Q2390" s="224"/>
      <c r="S2390" s="202"/>
      <c r="T2390"/>
    </row>
    <row r="2391" spans="15:20">
      <c r="O2391" s="247"/>
      <c r="P2391"/>
      <c r="Q2391" s="224"/>
      <c r="S2391" s="202"/>
      <c r="T2391"/>
    </row>
    <row r="2392" spans="15:20">
      <c r="O2392" s="247"/>
      <c r="P2392"/>
      <c r="Q2392" s="224"/>
      <c r="S2392" s="202"/>
      <c r="T2392"/>
    </row>
    <row r="2393" spans="15:20">
      <c r="O2393" s="247"/>
      <c r="P2393"/>
      <c r="Q2393" s="224"/>
      <c r="S2393" s="202"/>
      <c r="T2393"/>
    </row>
    <row r="2394" spans="15:20">
      <c r="O2394" s="247"/>
      <c r="P2394"/>
      <c r="Q2394" s="224"/>
      <c r="S2394" s="202"/>
      <c r="T2394"/>
    </row>
    <row r="2395" spans="15:20">
      <c r="O2395" s="247"/>
      <c r="P2395"/>
      <c r="Q2395" s="224"/>
      <c r="S2395" s="202"/>
      <c r="T2395"/>
    </row>
    <row r="2396" spans="15:20">
      <c r="O2396" s="247"/>
      <c r="P2396"/>
      <c r="Q2396" s="224"/>
      <c r="S2396" s="202"/>
      <c r="T2396"/>
    </row>
    <row r="2397" spans="15:20">
      <c r="O2397" s="247"/>
      <c r="P2397"/>
      <c r="Q2397" s="224"/>
      <c r="S2397" s="202"/>
      <c r="T2397"/>
    </row>
    <row r="2398" spans="15:20">
      <c r="O2398" s="247"/>
      <c r="P2398"/>
      <c r="Q2398" s="224"/>
      <c r="S2398" s="202"/>
      <c r="T2398"/>
    </row>
    <row r="2399" spans="15:20">
      <c r="O2399" s="247"/>
      <c r="P2399"/>
      <c r="Q2399" s="224"/>
      <c r="S2399" s="202"/>
      <c r="T2399"/>
    </row>
    <row r="2400" spans="15:20">
      <c r="O2400" s="247"/>
      <c r="P2400"/>
      <c r="Q2400" s="224"/>
      <c r="S2400" s="202"/>
      <c r="T2400"/>
    </row>
    <row r="2401" spans="15:20">
      <c r="O2401" s="247"/>
      <c r="P2401"/>
      <c r="Q2401" s="224"/>
      <c r="S2401" s="202"/>
      <c r="T2401"/>
    </row>
    <row r="2402" spans="15:20">
      <c r="O2402" s="247"/>
      <c r="P2402"/>
      <c r="Q2402" s="224"/>
      <c r="S2402" s="202"/>
      <c r="T2402"/>
    </row>
    <row r="2403" spans="15:20">
      <c r="O2403" s="247"/>
      <c r="P2403"/>
      <c r="Q2403" s="224"/>
      <c r="S2403" s="202"/>
      <c r="T2403"/>
    </row>
    <row r="2404" spans="15:20">
      <c r="O2404" s="247"/>
      <c r="P2404"/>
      <c r="Q2404" s="224"/>
      <c r="S2404" s="202"/>
      <c r="T2404"/>
    </row>
    <row r="2405" spans="15:20">
      <c r="O2405" s="247"/>
      <c r="P2405"/>
      <c r="Q2405" s="224"/>
      <c r="S2405" s="202"/>
      <c r="T2405"/>
    </row>
    <row r="2406" spans="15:20">
      <c r="O2406" s="247"/>
      <c r="P2406"/>
      <c r="Q2406" s="224"/>
      <c r="S2406" s="202"/>
      <c r="T2406"/>
    </row>
    <row r="2407" spans="15:20">
      <c r="O2407" s="247"/>
      <c r="P2407"/>
      <c r="Q2407" s="224"/>
      <c r="S2407" s="202"/>
      <c r="T2407"/>
    </row>
    <row r="2408" spans="15:20">
      <c r="O2408" s="247"/>
      <c r="P2408"/>
      <c r="Q2408" s="224"/>
      <c r="S2408" s="202"/>
      <c r="T2408"/>
    </row>
    <row r="2409" spans="15:20">
      <c r="O2409" s="247"/>
      <c r="P2409"/>
      <c r="Q2409" s="224"/>
      <c r="S2409" s="202"/>
      <c r="T2409"/>
    </row>
    <row r="2410" spans="15:20">
      <c r="O2410" s="247"/>
      <c r="P2410"/>
      <c r="Q2410" s="224"/>
      <c r="S2410" s="202"/>
      <c r="T2410"/>
    </row>
    <row r="2411" spans="15:20">
      <c r="O2411" s="247"/>
      <c r="P2411"/>
      <c r="Q2411" s="224"/>
      <c r="S2411" s="202"/>
      <c r="T2411"/>
    </row>
    <row r="2412" spans="15:20">
      <c r="O2412" s="247"/>
      <c r="P2412"/>
      <c r="Q2412" s="224"/>
      <c r="S2412" s="202"/>
      <c r="T2412"/>
    </row>
    <row r="2413" spans="15:20">
      <c r="O2413" s="247"/>
      <c r="P2413"/>
      <c r="Q2413" s="224"/>
      <c r="S2413" s="202"/>
      <c r="T2413"/>
    </row>
    <row r="2414" spans="15:20">
      <c r="O2414" s="247"/>
      <c r="P2414"/>
      <c r="Q2414" s="224"/>
      <c r="S2414" s="202"/>
      <c r="T2414"/>
    </row>
    <row r="2415" spans="15:20">
      <c r="O2415" s="247"/>
      <c r="P2415"/>
      <c r="Q2415" s="224"/>
      <c r="S2415" s="202"/>
      <c r="T2415"/>
    </row>
    <row r="2416" spans="15:20">
      <c r="O2416" s="247"/>
      <c r="P2416"/>
      <c r="Q2416" s="224"/>
      <c r="S2416" s="202"/>
      <c r="T2416"/>
    </row>
    <row r="2417" spans="15:20">
      <c r="O2417" s="247"/>
      <c r="P2417"/>
      <c r="Q2417" s="224"/>
      <c r="S2417" s="202"/>
      <c r="T2417"/>
    </row>
    <row r="2418" spans="15:20">
      <c r="O2418" s="247"/>
      <c r="P2418"/>
      <c r="Q2418" s="224"/>
      <c r="S2418" s="202"/>
      <c r="T2418"/>
    </row>
    <row r="2419" spans="15:20">
      <c r="O2419" s="247"/>
      <c r="P2419"/>
      <c r="Q2419" s="224"/>
      <c r="S2419" s="202"/>
      <c r="T2419"/>
    </row>
    <row r="2420" spans="15:20">
      <c r="O2420" s="247"/>
      <c r="P2420"/>
      <c r="Q2420" s="224"/>
      <c r="S2420" s="202"/>
      <c r="T2420"/>
    </row>
    <row r="2421" spans="15:20">
      <c r="O2421" s="247"/>
      <c r="P2421"/>
      <c r="Q2421" s="224"/>
      <c r="S2421" s="202"/>
      <c r="T2421"/>
    </row>
    <row r="2422" spans="15:20">
      <c r="O2422" s="247"/>
      <c r="P2422"/>
      <c r="Q2422" s="224"/>
      <c r="S2422" s="202"/>
      <c r="T2422"/>
    </row>
    <row r="2423" spans="15:20">
      <c r="O2423" s="247"/>
      <c r="P2423"/>
      <c r="Q2423" s="224"/>
      <c r="S2423" s="202"/>
      <c r="T2423"/>
    </row>
    <row r="2424" spans="15:20">
      <c r="O2424" s="247"/>
      <c r="P2424"/>
      <c r="Q2424" s="224"/>
      <c r="S2424" s="202"/>
      <c r="T2424"/>
    </row>
    <row r="2425" spans="15:20">
      <c r="O2425" s="247"/>
      <c r="P2425"/>
      <c r="Q2425" s="224"/>
      <c r="S2425" s="202"/>
      <c r="T2425"/>
    </row>
    <row r="2426" spans="15:20">
      <c r="O2426" s="247"/>
      <c r="P2426"/>
      <c r="Q2426" s="224"/>
      <c r="S2426" s="202"/>
      <c r="T2426"/>
    </row>
    <row r="2427" spans="15:20">
      <c r="O2427" s="247"/>
      <c r="P2427"/>
      <c r="Q2427" s="224"/>
      <c r="S2427" s="202"/>
      <c r="T2427"/>
    </row>
    <row r="2428" spans="15:20">
      <c r="O2428" s="247"/>
      <c r="P2428"/>
      <c r="Q2428" s="224"/>
      <c r="S2428" s="202"/>
      <c r="T2428"/>
    </row>
    <row r="2429" spans="15:20">
      <c r="O2429" s="247"/>
      <c r="P2429"/>
      <c r="Q2429" s="224"/>
      <c r="S2429" s="202"/>
      <c r="T2429"/>
    </row>
    <row r="2430" spans="15:20">
      <c r="O2430" s="247"/>
      <c r="P2430"/>
      <c r="Q2430" s="224"/>
      <c r="S2430" s="202"/>
      <c r="T2430"/>
    </row>
    <row r="2431" spans="15:20">
      <c r="O2431" s="247"/>
      <c r="P2431"/>
      <c r="Q2431" s="224"/>
      <c r="S2431" s="202"/>
      <c r="T2431"/>
    </row>
    <row r="2432" spans="15:20">
      <c r="O2432" s="247"/>
      <c r="P2432"/>
      <c r="Q2432" s="224"/>
      <c r="S2432" s="202"/>
      <c r="T2432"/>
    </row>
    <row r="2433" spans="15:20">
      <c r="O2433" s="247"/>
      <c r="P2433"/>
      <c r="Q2433" s="224"/>
      <c r="S2433" s="202"/>
      <c r="T2433"/>
    </row>
    <row r="2434" spans="15:20">
      <c r="O2434" s="247"/>
      <c r="P2434"/>
      <c r="Q2434" s="224"/>
      <c r="S2434" s="202"/>
      <c r="T2434"/>
    </row>
    <row r="2435" spans="15:20">
      <c r="O2435" s="247"/>
      <c r="P2435"/>
      <c r="Q2435" s="224"/>
      <c r="S2435" s="202"/>
      <c r="T2435"/>
    </row>
    <row r="2436" spans="15:20">
      <c r="O2436" s="247"/>
      <c r="P2436"/>
      <c r="Q2436" s="224"/>
      <c r="S2436" s="202"/>
      <c r="T2436"/>
    </row>
    <row r="2437" spans="15:20">
      <c r="O2437" s="247"/>
      <c r="P2437"/>
      <c r="Q2437" s="224"/>
      <c r="S2437" s="202"/>
      <c r="T2437"/>
    </row>
    <row r="2438" spans="15:20">
      <c r="O2438" s="247"/>
      <c r="P2438"/>
      <c r="Q2438" s="224"/>
      <c r="S2438" s="202"/>
      <c r="T2438"/>
    </row>
    <row r="2439" spans="15:20">
      <c r="O2439" s="247"/>
      <c r="P2439"/>
      <c r="Q2439" s="224"/>
      <c r="S2439" s="202"/>
      <c r="T2439"/>
    </row>
    <row r="2440" spans="15:20">
      <c r="O2440" s="247"/>
      <c r="P2440"/>
      <c r="Q2440" s="224"/>
      <c r="S2440" s="202"/>
      <c r="T2440"/>
    </row>
    <row r="2441" spans="15:20">
      <c r="O2441" s="247"/>
      <c r="P2441"/>
      <c r="Q2441" s="224"/>
      <c r="S2441" s="202"/>
      <c r="T2441"/>
    </row>
    <row r="2442" spans="15:20">
      <c r="O2442" s="247"/>
      <c r="P2442"/>
      <c r="Q2442" s="224"/>
      <c r="S2442" s="202"/>
      <c r="T2442"/>
    </row>
    <row r="2443" spans="15:20">
      <c r="O2443" s="247"/>
      <c r="P2443"/>
      <c r="Q2443" s="224"/>
      <c r="S2443" s="202"/>
      <c r="T2443"/>
    </row>
    <row r="2444" spans="15:20">
      <c r="O2444" s="247"/>
      <c r="P2444"/>
      <c r="Q2444" s="224"/>
      <c r="S2444" s="202"/>
      <c r="T2444"/>
    </row>
    <row r="2445" spans="15:20">
      <c r="O2445" s="247"/>
      <c r="P2445"/>
      <c r="Q2445" s="224"/>
      <c r="S2445" s="202"/>
      <c r="T2445"/>
    </row>
    <row r="2446" spans="15:20">
      <c r="O2446" s="247"/>
      <c r="P2446"/>
      <c r="Q2446" s="224"/>
      <c r="S2446" s="202"/>
      <c r="T2446"/>
    </row>
    <row r="2447" spans="15:20">
      <c r="O2447" s="247"/>
      <c r="P2447"/>
      <c r="Q2447" s="224"/>
      <c r="S2447" s="202"/>
      <c r="T2447"/>
    </row>
    <row r="2448" spans="15:20">
      <c r="O2448" s="247"/>
      <c r="P2448"/>
      <c r="Q2448" s="224"/>
      <c r="S2448" s="202"/>
      <c r="T2448"/>
    </row>
    <row r="2449" spans="15:20">
      <c r="O2449" s="247"/>
      <c r="P2449"/>
      <c r="Q2449" s="224"/>
      <c r="S2449" s="202"/>
      <c r="T2449"/>
    </row>
    <row r="2450" spans="15:20">
      <c r="O2450" s="247"/>
      <c r="P2450"/>
      <c r="Q2450" s="224"/>
      <c r="S2450" s="202"/>
      <c r="T2450"/>
    </row>
    <row r="2451" spans="15:20">
      <c r="O2451" s="247"/>
      <c r="P2451"/>
      <c r="Q2451" s="224"/>
      <c r="S2451" s="202"/>
      <c r="T2451"/>
    </row>
    <row r="2452" spans="15:20">
      <c r="O2452" s="247"/>
      <c r="P2452"/>
      <c r="Q2452" s="224"/>
      <c r="S2452" s="202"/>
      <c r="T2452"/>
    </row>
    <row r="2453" spans="15:20">
      <c r="O2453" s="247"/>
      <c r="P2453"/>
      <c r="Q2453" s="224"/>
      <c r="S2453" s="202"/>
      <c r="T2453"/>
    </row>
    <row r="2454" spans="15:20">
      <c r="O2454" s="247"/>
      <c r="P2454"/>
      <c r="Q2454" s="224"/>
      <c r="S2454" s="202"/>
      <c r="T2454"/>
    </row>
    <row r="2455" spans="15:20">
      <c r="O2455" s="247"/>
      <c r="P2455"/>
      <c r="Q2455" s="224"/>
      <c r="S2455" s="202"/>
      <c r="T2455"/>
    </row>
    <row r="2456" spans="15:20">
      <c r="O2456" s="247"/>
      <c r="P2456"/>
      <c r="Q2456" s="224"/>
      <c r="S2456" s="202"/>
      <c r="T2456"/>
    </row>
    <row r="2457" spans="15:20">
      <c r="O2457" s="247"/>
      <c r="P2457"/>
      <c r="Q2457" s="224"/>
      <c r="S2457" s="202"/>
      <c r="T2457"/>
    </row>
    <row r="2458" spans="15:20">
      <c r="O2458" s="247"/>
      <c r="P2458"/>
      <c r="Q2458" s="224"/>
      <c r="S2458" s="202"/>
      <c r="T2458"/>
    </row>
    <row r="2459" spans="15:20">
      <c r="O2459" s="247"/>
      <c r="P2459"/>
      <c r="Q2459" s="224"/>
      <c r="S2459" s="202"/>
      <c r="T2459"/>
    </row>
    <row r="2460" spans="15:20">
      <c r="O2460" s="247"/>
      <c r="P2460"/>
      <c r="Q2460" s="224"/>
      <c r="S2460" s="202"/>
      <c r="T2460"/>
    </row>
    <row r="2461" spans="15:20">
      <c r="O2461" s="247"/>
      <c r="P2461"/>
      <c r="Q2461" s="224"/>
      <c r="S2461" s="202"/>
      <c r="T2461"/>
    </row>
    <row r="2462" spans="15:20">
      <c r="O2462" s="247"/>
      <c r="P2462"/>
      <c r="Q2462" s="224"/>
      <c r="S2462" s="202"/>
      <c r="T2462"/>
    </row>
    <row r="2463" spans="15:20">
      <c r="O2463" s="247"/>
      <c r="P2463"/>
      <c r="Q2463" s="224"/>
      <c r="S2463" s="202"/>
      <c r="T2463"/>
    </row>
    <row r="2464" spans="15:20">
      <c r="O2464" s="247"/>
      <c r="P2464"/>
      <c r="Q2464" s="224"/>
      <c r="S2464" s="202"/>
      <c r="T2464"/>
    </row>
    <row r="2465" spans="15:20">
      <c r="O2465" s="247"/>
      <c r="P2465"/>
      <c r="Q2465" s="224"/>
      <c r="S2465" s="202"/>
      <c r="T2465"/>
    </row>
    <row r="2466" spans="15:20">
      <c r="O2466" s="247"/>
      <c r="P2466"/>
      <c r="Q2466" s="224"/>
      <c r="S2466" s="202"/>
      <c r="T2466"/>
    </row>
    <row r="2467" spans="15:20">
      <c r="O2467" s="247"/>
      <c r="P2467"/>
      <c r="Q2467" s="224"/>
      <c r="S2467" s="202"/>
      <c r="T2467"/>
    </row>
    <row r="2468" spans="15:20">
      <c r="O2468" s="247"/>
      <c r="P2468"/>
      <c r="Q2468" s="224"/>
      <c r="S2468" s="202"/>
      <c r="T2468"/>
    </row>
    <row r="2469" spans="15:20">
      <c r="O2469" s="247"/>
      <c r="P2469"/>
      <c r="Q2469" s="224"/>
      <c r="S2469" s="202"/>
      <c r="T2469"/>
    </row>
    <row r="2470" spans="15:20">
      <c r="O2470" s="247"/>
      <c r="P2470"/>
      <c r="Q2470" s="224"/>
      <c r="S2470" s="202"/>
      <c r="T2470"/>
    </row>
    <row r="2471" spans="15:20">
      <c r="O2471" s="247"/>
      <c r="P2471"/>
      <c r="Q2471" s="224"/>
      <c r="S2471" s="202"/>
      <c r="T2471"/>
    </row>
    <row r="2472" spans="15:20">
      <c r="O2472" s="247"/>
      <c r="P2472"/>
      <c r="Q2472" s="224"/>
      <c r="S2472" s="202"/>
      <c r="T2472"/>
    </row>
    <row r="2473" spans="15:20">
      <c r="O2473" s="247"/>
      <c r="P2473"/>
      <c r="Q2473" s="224"/>
      <c r="S2473" s="202"/>
      <c r="T2473"/>
    </row>
    <row r="2474" spans="15:20">
      <c r="O2474" s="247"/>
      <c r="P2474"/>
      <c r="Q2474" s="224"/>
      <c r="S2474" s="202"/>
      <c r="T2474"/>
    </row>
    <row r="2475" spans="15:20">
      <c r="O2475" s="247"/>
      <c r="P2475"/>
      <c r="Q2475" s="224"/>
      <c r="S2475" s="202"/>
      <c r="T2475"/>
    </row>
    <row r="2476" spans="15:20">
      <c r="O2476" s="247"/>
      <c r="P2476"/>
      <c r="Q2476" s="224"/>
      <c r="S2476" s="202"/>
      <c r="T2476"/>
    </row>
    <row r="2477" spans="15:20">
      <c r="O2477" s="247"/>
      <c r="P2477"/>
      <c r="Q2477" s="224"/>
      <c r="S2477" s="202"/>
      <c r="T2477"/>
    </row>
    <row r="2478" spans="15:20">
      <c r="O2478" s="247"/>
      <c r="P2478"/>
      <c r="Q2478" s="224"/>
      <c r="S2478" s="202"/>
      <c r="T2478"/>
    </row>
    <row r="2479" spans="15:20">
      <c r="O2479" s="247"/>
      <c r="P2479"/>
      <c r="Q2479" s="224"/>
      <c r="S2479" s="202"/>
      <c r="T2479"/>
    </row>
    <row r="2480" spans="15:20">
      <c r="O2480" s="247"/>
      <c r="P2480"/>
      <c r="Q2480" s="224"/>
      <c r="S2480" s="202"/>
      <c r="T2480"/>
    </row>
    <row r="2481" spans="15:20">
      <c r="O2481" s="247"/>
      <c r="P2481"/>
      <c r="Q2481" s="224"/>
      <c r="S2481" s="202"/>
      <c r="T2481"/>
    </row>
    <row r="2482" spans="15:20">
      <c r="O2482" s="247"/>
      <c r="P2482"/>
      <c r="Q2482" s="224"/>
      <c r="S2482" s="202"/>
      <c r="T2482"/>
    </row>
    <row r="2483" spans="15:20">
      <c r="O2483" s="247"/>
      <c r="P2483"/>
      <c r="Q2483" s="224"/>
      <c r="S2483" s="202"/>
      <c r="T2483"/>
    </row>
    <row r="2484" spans="15:20">
      <c r="O2484" s="247"/>
      <c r="P2484"/>
      <c r="Q2484" s="224"/>
      <c r="S2484" s="202"/>
      <c r="T2484"/>
    </row>
    <row r="2485" spans="15:20">
      <c r="O2485" s="247"/>
      <c r="P2485"/>
      <c r="Q2485" s="224"/>
      <c r="S2485" s="202"/>
      <c r="T2485"/>
    </row>
    <row r="2486" spans="15:20">
      <c r="O2486" s="247"/>
      <c r="P2486"/>
      <c r="Q2486" s="224"/>
      <c r="S2486" s="202"/>
      <c r="T2486"/>
    </row>
    <row r="2487" spans="15:20">
      <c r="O2487" s="247"/>
      <c r="P2487"/>
      <c r="Q2487" s="224"/>
      <c r="S2487" s="202"/>
      <c r="T2487"/>
    </row>
    <row r="2488" spans="15:20">
      <c r="O2488" s="247"/>
      <c r="P2488"/>
      <c r="Q2488" s="224"/>
      <c r="S2488" s="202"/>
      <c r="T2488"/>
    </row>
    <row r="2489" spans="15:20">
      <c r="O2489" s="247"/>
      <c r="P2489"/>
      <c r="Q2489" s="224"/>
      <c r="S2489" s="202"/>
      <c r="T2489"/>
    </row>
    <row r="2490" spans="15:20">
      <c r="O2490" s="247"/>
      <c r="P2490"/>
      <c r="Q2490" s="224"/>
      <c r="S2490" s="202"/>
      <c r="T2490"/>
    </row>
    <row r="2491" spans="15:20">
      <c r="O2491" s="247"/>
      <c r="P2491"/>
      <c r="Q2491" s="224"/>
      <c r="S2491" s="202"/>
      <c r="T2491"/>
    </row>
    <row r="2492" spans="15:20">
      <c r="O2492" s="247"/>
      <c r="P2492"/>
      <c r="Q2492" s="224"/>
      <c r="S2492" s="202"/>
      <c r="T2492"/>
    </row>
    <row r="2493" spans="15:20">
      <c r="O2493" s="247"/>
      <c r="P2493"/>
      <c r="Q2493" s="224"/>
      <c r="S2493" s="202"/>
      <c r="T2493"/>
    </row>
    <row r="2494" spans="15:20">
      <c r="O2494" s="247"/>
      <c r="P2494"/>
      <c r="Q2494" s="224"/>
      <c r="S2494" s="202"/>
      <c r="T2494"/>
    </row>
    <row r="2495" spans="15:20">
      <c r="O2495" s="247"/>
      <c r="P2495"/>
      <c r="Q2495" s="224"/>
      <c r="S2495" s="202"/>
      <c r="T2495"/>
    </row>
    <row r="2496" spans="15:20">
      <c r="O2496" s="247"/>
      <c r="P2496"/>
      <c r="Q2496" s="224"/>
      <c r="S2496" s="202"/>
      <c r="T2496"/>
    </row>
    <row r="2497" spans="15:20">
      <c r="O2497" s="247"/>
      <c r="P2497"/>
      <c r="Q2497" s="224"/>
      <c r="S2497" s="202"/>
      <c r="T2497"/>
    </row>
    <row r="2498" spans="15:20">
      <c r="O2498" s="247"/>
      <c r="P2498"/>
      <c r="Q2498" s="224"/>
      <c r="S2498" s="202"/>
      <c r="T2498"/>
    </row>
    <row r="2499" spans="15:20">
      <c r="O2499" s="247"/>
      <c r="P2499"/>
      <c r="Q2499" s="224"/>
      <c r="S2499" s="202"/>
      <c r="T2499"/>
    </row>
    <row r="2500" spans="15:20">
      <c r="O2500" s="247"/>
      <c r="P2500"/>
      <c r="Q2500" s="224"/>
      <c r="S2500" s="202"/>
      <c r="T2500"/>
    </row>
    <row r="2501" spans="15:20">
      <c r="O2501" s="247"/>
      <c r="P2501"/>
      <c r="Q2501" s="224"/>
      <c r="S2501" s="202"/>
      <c r="T2501"/>
    </row>
    <row r="2502" spans="15:20">
      <c r="O2502" s="247"/>
      <c r="P2502"/>
      <c r="Q2502" s="224"/>
      <c r="S2502" s="202"/>
      <c r="T2502"/>
    </row>
    <row r="2503" spans="15:20">
      <c r="O2503" s="247"/>
      <c r="P2503"/>
      <c r="Q2503" s="224"/>
      <c r="S2503" s="202"/>
      <c r="T2503"/>
    </row>
    <row r="2504" spans="15:20">
      <c r="O2504" s="247"/>
      <c r="P2504"/>
      <c r="Q2504" s="224"/>
      <c r="S2504" s="202"/>
      <c r="T2504"/>
    </row>
    <row r="2505" spans="15:20">
      <c r="O2505" s="247"/>
      <c r="P2505"/>
      <c r="Q2505" s="224"/>
      <c r="S2505" s="202"/>
      <c r="T2505"/>
    </row>
    <row r="2506" spans="15:20">
      <c r="O2506" s="247"/>
      <c r="P2506"/>
      <c r="Q2506" s="224"/>
      <c r="S2506" s="202"/>
      <c r="T2506"/>
    </row>
    <row r="2507" spans="15:20">
      <c r="O2507" s="247"/>
      <c r="P2507"/>
      <c r="Q2507" s="224"/>
      <c r="S2507" s="202"/>
      <c r="T2507"/>
    </row>
    <row r="2508" spans="15:20">
      <c r="O2508" s="247"/>
      <c r="P2508"/>
      <c r="Q2508" s="224"/>
      <c r="S2508" s="202"/>
      <c r="T2508"/>
    </row>
    <row r="2509" spans="15:20">
      <c r="O2509" s="247"/>
      <c r="P2509"/>
      <c r="Q2509" s="224"/>
      <c r="S2509" s="202"/>
      <c r="T2509"/>
    </row>
    <row r="2510" spans="15:20">
      <c r="O2510" s="247"/>
      <c r="P2510"/>
      <c r="Q2510" s="224"/>
      <c r="S2510" s="202"/>
      <c r="T2510"/>
    </row>
    <row r="2511" spans="15:20">
      <c r="O2511" s="247"/>
      <c r="P2511"/>
      <c r="Q2511" s="224"/>
      <c r="S2511" s="202"/>
      <c r="T2511"/>
    </row>
    <row r="2512" spans="15:20">
      <c r="O2512" s="247"/>
      <c r="P2512"/>
      <c r="Q2512" s="224"/>
      <c r="S2512" s="202"/>
      <c r="T2512"/>
    </row>
    <row r="2513" spans="15:20">
      <c r="O2513" s="247"/>
      <c r="P2513"/>
      <c r="Q2513" s="224"/>
      <c r="S2513" s="202"/>
      <c r="T2513"/>
    </row>
    <row r="2514" spans="15:20">
      <c r="O2514" s="247"/>
      <c r="P2514"/>
      <c r="Q2514" s="224"/>
      <c r="S2514" s="202"/>
      <c r="T2514"/>
    </row>
    <row r="2515" spans="15:20">
      <c r="O2515" s="247"/>
      <c r="P2515"/>
      <c r="Q2515" s="224"/>
      <c r="S2515" s="202"/>
      <c r="T2515"/>
    </row>
    <row r="2516" spans="15:20">
      <c r="O2516" s="247"/>
      <c r="P2516"/>
      <c r="Q2516" s="224"/>
      <c r="S2516" s="202"/>
      <c r="T2516"/>
    </row>
    <row r="2517" spans="15:20">
      <c r="O2517" s="247"/>
      <c r="P2517"/>
      <c r="Q2517" s="224"/>
      <c r="S2517" s="202"/>
      <c r="T2517"/>
    </row>
    <row r="2518" spans="15:20">
      <c r="O2518" s="247"/>
      <c r="P2518"/>
      <c r="Q2518" s="224"/>
      <c r="S2518" s="202"/>
      <c r="T2518"/>
    </row>
    <row r="2519" spans="15:20">
      <c r="O2519" s="247"/>
      <c r="P2519"/>
      <c r="Q2519" s="224"/>
      <c r="S2519" s="202"/>
      <c r="T2519"/>
    </row>
    <row r="2520" spans="15:20">
      <c r="O2520" s="247"/>
      <c r="P2520"/>
      <c r="Q2520" s="224"/>
      <c r="S2520" s="202"/>
      <c r="T2520"/>
    </row>
    <row r="2521" spans="15:20">
      <c r="O2521" s="247"/>
      <c r="P2521"/>
      <c r="Q2521" s="224"/>
      <c r="S2521" s="202"/>
      <c r="T2521"/>
    </row>
    <row r="2522" spans="15:20">
      <c r="O2522" s="247"/>
      <c r="P2522"/>
      <c r="Q2522" s="224"/>
      <c r="S2522" s="202"/>
      <c r="T2522"/>
    </row>
    <row r="2523" spans="15:20">
      <c r="O2523" s="247"/>
      <c r="P2523"/>
      <c r="Q2523" s="224"/>
      <c r="S2523" s="202"/>
      <c r="T2523"/>
    </row>
    <row r="2524" spans="15:20">
      <c r="O2524" s="247"/>
      <c r="P2524"/>
      <c r="Q2524" s="224"/>
      <c r="S2524" s="202"/>
      <c r="T2524"/>
    </row>
    <row r="2525" spans="15:20">
      <c r="O2525" s="247"/>
      <c r="P2525"/>
      <c r="Q2525" s="224"/>
      <c r="S2525" s="202"/>
      <c r="T2525"/>
    </row>
    <row r="2526" spans="15:20">
      <c r="O2526" s="247"/>
      <c r="P2526"/>
      <c r="Q2526" s="224"/>
      <c r="S2526" s="202"/>
      <c r="T2526"/>
    </row>
    <row r="2527" spans="15:20">
      <c r="O2527" s="247"/>
      <c r="P2527"/>
      <c r="Q2527" s="224"/>
      <c r="S2527" s="202"/>
      <c r="T2527"/>
    </row>
    <row r="2528" spans="15:20">
      <c r="O2528" s="247"/>
      <c r="P2528"/>
      <c r="Q2528" s="224"/>
      <c r="S2528" s="202"/>
      <c r="T2528"/>
    </row>
    <row r="2529" spans="15:20">
      <c r="O2529" s="247"/>
      <c r="P2529"/>
      <c r="Q2529" s="224"/>
      <c r="S2529" s="202"/>
      <c r="T2529"/>
    </row>
    <row r="2530" spans="15:20">
      <c r="O2530" s="247"/>
      <c r="P2530"/>
      <c r="Q2530" s="224"/>
      <c r="S2530" s="202"/>
      <c r="T2530"/>
    </row>
    <row r="2531" spans="15:20">
      <c r="O2531" s="247"/>
      <c r="P2531"/>
      <c r="Q2531" s="224"/>
      <c r="S2531" s="202"/>
      <c r="T2531"/>
    </row>
    <row r="2532" spans="15:20">
      <c r="O2532" s="247"/>
      <c r="P2532"/>
      <c r="Q2532" s="224"/>
      <c r="S2532" s="202"/>
      <c r="T2532"/>
    </row>
    <row r="2533" spans="15:20">
      <c r="O2533" s="247"/>
      <c r="P2533"/>
      <c r="Q2533" s="224"/>
      <c r="S2533" s="202"/>
      <c r="T2533"/>
    </row>
    <row r="2534" spans="15:20">
      <c r="O2534" s="247"/>
      <c r="P2534"/>
      <c r="Q2534" s="224"/>
      <c r="S2534" s="202"/>
      <c r="T2534"/>
    </row>
    <row r="2535" spans="15:20">
      <c r="O2535" s="247"/>
      <c r="P2535"/>
      <c r="Q2535" s="224"/>
      <c r="S2535" s="202"/>
      <c r="T2535"/>
    </row>
    <row r="2536" spans="15:20">
      <c r="O2536" s="247"/>
      <c r="P2536"/>
      <c r="Q2536" s="224"/>
      <c r="S2536" s="202"/>
      <c r="T2536"/>
    </row>
    <row r="2537" spans="15:20">
      <c r="O2537" s="247"/>
      <c r="P2537"/>
      <c r="Q2537" s="224"/>
      <c r="S2537" s="202"/>
      <c r="T2537"/>
    </row>
    <row r="2538" spans="15:20">
      <c r="O2538" s="247"/>
      <c r="P2538"/>
      <c r="Q2538" s="224"/>
      <c r="S2538" s="202"/>
      <c r="T2538"/>
    </row>
    <row r="2539" spans="15:20">
      <c r="O2539" s="247"/>
      <c r="P2539"/>
      <c r="Q2539" s="224"/>
      <c r="S2539" s="202"/>
      <c r="T2539"/>
    </row>
    <row r="2540" spans="15:20">
      <c r="O2540" s="247"/>
      <c r="P2540"/>
      <c r="Q2540" s="224"/>
      <c r="S2540" s="202"/>
      <c r="T2540"/>
    </row>
    <row r="2541" spans="15:20">
      <c r="O2541" s="247"/>
      <c r="P2541"/>
      <c r="Q2541" s="224"/>
      <c r="S2541" s="202"/>
      <c r="T2541"/>
    </row>
    <row r="2542" spans="15:20">
      <c r="O2542" s="247"/>
      <c r="P2542"/>
      <c r="Q2542" s="224"/>
      <c r="S2542" s="202"/>
      <c r="T2542"/>
    </row>
    <row r="2543" spans="15:20">
      <c r="O2543" s="247"/>
      <c r="P2543"/>
      <c r="Q2543" s="224"/>
      <c r="S2543" s="202"/>
      <c r="T2543"/>
    </row>
    <row r="2544" spans="15:20">
      <c r="O2544" s="247"/>
      <c r="P2544"/>
      <c r="Q2544" s="224"/>
      <c r="S2544" s="202"/>
      <c r="T2544"/>
    </row>
    <row r="2545" spans="15:20">
      <c r="O2545" s="247"/>
      <c r="P2545"/>
      <c r="Q2545" s="224"/>
      <c r="S2545" s="202"/>
      <c r="T2545"/>
    </row>
    <row r="2546" spans="15:20">
      <c r="O2546" s="247"/>
      <c r="P2546"/>
      <c r="Q2546" s="224"/>
      <c r="S2546" s="202"/>
      <c r="T2546"/>
    </row>
    <row r="2547" spans="15:20">
      <c r="O2547" s="247"/>
      <c r="P2547"/>
      <c r="Q2547" s="224"/>
      <c r="S2547" s="202"/>
      <c r="T2547"/>
    </row>
    <row r="2548" spans="15:20">
      <c r="O2548" s="247"/>
      <c r="P2548"/>
      <c r="Q2548" s="224"/>
      <c r="S2548" s="202"/>
      <c r="T2548"/>
    </row>
    <row r="2549" spans="15:20">
      <c r="O2549" s="247"/>
      <c r="P2549"/>
      <c r="Q2549" s="224"/>
      <c r="S2549" s="202"/>
      <c r="T2549"/>
    </row>
    <row r="2550" spans="15:20">
      <c r="O2550" s="247"/>
      <c r="P2550"/>
      <c r="Q2550" s="224"/>
      <c r="S2550" s="202"/>
      <c r="T2550"/>
    </row>
    <row r="2551" spans="15:20">
      <c r="O2551" s="247"/>
      <c r="P2551"/>
      <c r="Q2551" s="224"/>
      <c r="S2551" s="202"/>
      <c r="T2551"/>
    </row>
    <row r="2552" spans="15:20">
      <c r="O2552" s="247"/>
      <c r="P2552"/>
      <c r="Q2552" s="224"/>
      <c r="S2552" s="202"/>
      <c r="T2552"/>
    </row>
    <row r="2553" spans="15:20">
      <c r="O2553" s="247"/>
      <c r="P2553"/>
      <c r="Q2553" s="224"/>
      <c r="S2553" s="202"/>
      <c r="T2553"/>
    </row>
    <row r="2554" spans="15:20">
      <c r="O2554" s="247"/>
      <c r="P2554"/>
      <c r="Q2554" s="224"/>
      <c r="S2554" s="202"/>
      <c r="T2554"/>
    </row>
    <row r="2555" spans="15:20">
      <c r="O2555" s="247"/>
      <c r="P2555"/>
      <c r="Q2555" s="224"/>
      <c r="S2555" s="202"/>
      <c r="T2555"/>
    </row>
    <row r="2556" spans="15:20">
      <c r="O2556" s="247"/>
      <c r="P2556"/>
      <c r="Q2556" s="224"/>
      <c r="S2556" s="202"/>
      <c r="T2556"/>
    </row>
    <row r="2557" spans="15:20">
      <c r="O2557" s="247"/>
      <c r="P2557"/>
      <c r="Q2557" s="224"/>
      <c r="S2557" s="202"/>
      <c r="T2557"/>
    </row>
    <row r="2558" spans="15:20">
      <c r="O2558" s="247"/>
      <c r="P2558"/>
      <c r="Q2558" s="224"/>
      <c r="S2558" s="202"/>
      <c r="T2558"/>
    </row>
    <row r="2559" spans="15:20">
      <c r="O2559" s="247"/>
      <c r="P2559"/>
      <c r="Q2559" s="224"/>
      <c r="S2559" s="202"/>
      <c r="T2559"/>
    </row>
    <row r="2560" spans="15:20">
      <c r="O2560" s="247"/>
      <c r="P2560"/>
      <c r="Q2560" s="224"/>
      <c r="S2560" s="202"/>
      <c r="T2560"/>
    </row>
    <row r="2561" spans="15:20">
      <c r="O2561" s="247"/>
      <c r="P2561"/>
      <c r="Q2561" s="224"/>
      <c r="S2561" s="202"/>
      <c r="T2561"/>
    </row>
    <row r="2562" spans="15:20">
      <c r="O2562" s="247"/>
      <c r="P2562"/>
      <c r="Q2562" s="224"/>
      <c r="S2562" s="202"/>
      <c r="T2562"/>
    </row>
    <row r="2563" spans="15:20">
      <c r="O2563" s="247"/>
      <c r="P2563"/>
      <c r="Q2563" s="224"/>
      <c r="S2563" s="202"/>
      <c r="T2563"/>
    </row>
    <row r="2564" spans="15:20">
      <c r="O2564" s="247"/>
      <c r="P2564"/>
      <c r="Q2564" s="224"/>
      <c r="S2564" s="202"/>
      <c r="T2564"/>
    </row>
    <row r="2565" spans="15:20">
      <c r="O2565" s="247"/>
      <c r="P2565"/>
      <c r="Q2565" s="224"/>
      <c r="S2565" s="202"/>
      <c r="T2565"/>
    </row>
    <row r="2566" spans="15:20">
      <c r="O2566" s="247"/>
      <c r="P2566"/>
      <c r="Q2566" s="224"/>
      <c r="S2566" s="202"/>
      <c r="T2566"/>
    </row>
    <row r="2567" spans="15:20">
      <c r="O2567" s="247"/>
      <c r="P2567"/>
      <c r="Q2567" s="224"/>
      <c r="S2567" s="202"/>
      <c r="T2567"/>
    </row>
    <row r="2568" spans="15:20">
      <c r="O2568" s="247"/>
      <c r="P2568"/>
      <c r="Q2568" s="224"/>
      <c r="S2568" s="202"/>
      <c r="T2568"/>
    </row>
    <row r="2569" spans="15:20">
      <c r="O2569" s="247"/>
      <c r="P2569"/>
      <c r="Q2569" s="224"/>
      <c r="S2569" s="202"/>
      <c r="T2569"/>
    </row>
    <row r="2570" spans="15:20">
      <c r="O2570" s="247"/>
      <c r="P2570"/>
      <c r="Q2570" s="224"/>
      <c r="S2570" s="202"/>
      <c r="T2570"/>
    </row>
    <row r="2571" spans="15:20">
      <c r="O2571" s="247"/>
      <c r="P2571"/>
      <c r="Q2571" s="224"/>
      <c r="S2571" s="202"/>
      <c r="T2571"/>
    </row>
    <row r="2572" spans="15:20">
      <c r="O2572" s="247"/>
      <c r="P2572"/>
      <c r="Q2572" s="224"/>
      <c r="S2572" s="202"/>
      <c r="T2572"/>
    </row>
    <row r="2573" spans="15:20">
      <c r="O2573" s="247"/>
      <c r="P2573"/>
      <c r="Q2573" s="224"/>
      <c r="S2573" s="202"/>
      <c r="T2573"/>
    </row>
    <row r="2574" spans="15:20">
      <c r="O2574" s="247"/>
      <c r="P2574"/>
      <c r="Q2574" s="224"/>
      <c r="S2574" s="202"/>
      <c r="T2574"/>
    </row>
    <row r="2575" spans="15:20">
      <c r="O2575" s="247"/>
      <c r="P2575"/>
      <c r="Q2575" s="224"/>
      <c r="S2575" s="202"/>
      <c r="T2575"/>
    </row>
    <row r="2576" spans="15:20">
      <c r="O2576" s="247"/>
      <c r="P2576"/>
      <c r="Q2576" s="224"/>
      <c r="S2576" s="202"/>
      <c r="T2576"/>
    </row>
    <row r="2577" spans="15:20">
      <c r="O2577" s="247"/>
      <c r="P2577"/>
      <c r="Q2577" s="224"/>
      <c r="S2577" s="202"/>
      <c r="T2577"/>
    </row>
    <row r="2578" spans="15:20">
      <c r="O2578" s="247"/>
      <c r="P2578"/>
      <c r="Q2578" s="224"/>
      <c r="S2578" s="202"/>
      <c r="T2578"/>
    </row>
    <row r="2579" spans="15:20">
      <c r="O2579" s="247"/>
      <c r="P2579"/>
      <c r="Q2579" s="224"/>
      <c r="S2579" s="202"/>
      <c r="T2579"/>
    </row>
    <row r="2580" spans="15:20">
      <c r="O2580" s="247"/>
      <c r="P2580"/>
      <c r="Q2580" s="224"/>
      <c r="S2580" s="202"/>
      <c r="T2580"/>
    </row>
    <row r="2581" spans="15:20">
      <c r="O2581" s="247"/>
      <c r="P2581"/>
      <c r="Q2581" s="224"/>
      <c r="S2581" s="202"/>
      <c r="T2581"/>
    </row>
    <row r="2582" spans="15:20">
      <c r="O2582" s="247"/>
      <c r="P2582"/>
      <c r="Q2582" s="224"/>
      <c r="S2582" s="202"/>
      <c r="T2582"/>
    </row>
    <row r="2583" spans="15:20">
      <c r="O2583" s="247"/>
      <c r="P2583"/>
      <c r="Q2583" s="224"/>
      <c r="S2583" s="202"/>
      <c r="T2583"/>
    </row>
    <row r="2584" spans="15:20">
      <c r="O2584" s="247"/>
      <c r="P2584"/>
      <c r="Q2584" s="224"/>
      <c r="S2584" s="202"/>
      <c r="T2584"/>
    </row>
    <row r="2585" spans="15:20">
      <c r="O2585" s="247"/>
      <c r="P2585"/>
      <c r="Q2585" s="224"/>
      <c r="S2585" s="202"/>
      <c r="T2585"/>
    </row>
    <row r="2586" spans="15:20">
      <c r="O2586" s="247"/>
      <c r="P2586"/>
      <c r="Q2586" s="224"/>
      <c r="S2586" s="202"/>
      <c r="T2586"/>
    </row>
    <row r="2587" spans="15:20">
      <c r="O2587" s="247"/>
      <c r="P2587"/>
      <c r="Q2587" s="224"/>
      <c r="S2587" s="202"/>
      <c r="T2587"/>
    </row>
    <row r="2588" spans="15:20">
      <c r="O2588" s="247"/>
      <c r="P2588"/>
      <c r="Q2588" s="224"/>
      <c r="S2588" s="202"/>
      <c r="T2588"/>
    </row>
    <row r="2589" spans="15:20">
      <c r="O2589" s="247"/>
      <c r="P2589"/>
      <c r="Q2589" s="224"/>
      <c r="S2589" s="202"/>
      <c r="T2589"/>
    </row>
    <row r="2590" spans="15:20">
      <c r="O2590" s="247"/>
      <c r="P2590"/>
      <c r="Q2590" s="224"/>
      <c r="S2590" s="202"/>
      <c r="T2590"/>
    </row>
    <row r="2591" spans="15:20">
      <c r="O2591" s="247"/>
      <c r="P2591"/>
      <c r="Q2591" s="224"/>
      <c r="S2591" s="202"/>
      <c r="T2591"/>
    </row>
    <row r="2592" spans="15:20">
      <c r="O2592" s="247"/>
      <c r="P2592"/>
      <c r="Q2592" s="224"/>
      <c r="S2592" s="202"/>
      <c r="T2592"/>
    </row>
    <row r="2593" spans="15:20">
      <c r="O2593" s="247"/>
      <c r="P2593"/>
      <c r="Q2593" s="224"/>
      <c r="S2593" s="202"/>
      <c r="T2593"/>
    </row>
    <row r="2594" spans="15:20">
      <c r="O2594" s="247"/>
      <c r="P2594"/>
      <c r="Q2594" s="224"/>
      <c r="S2594" s="202"/>
      <c r="T2594"/>
    </row>
    <row r="2595" spans="15:20">
      <c r="O2595" s="247"/>
      <c r="P2595"/>
      <c r="Q2595" s="224"/>
      <c r="S2595" s="202"/>
      <c r="T2595"/>
    </row>
    <row r="2596" spans="15:20">
      <c r="O2596" s="247"/>
      <c r="P2596"/>
      <c r="Q2596" s="224"/>
      <c r="S2596" s="202"/>
      <c r="T2596"/>
    </row>
    <row r="2597" spans="15:20">
      <c r="O2597" s="247"/>
      <c r="P2597"/>
      <c r="Q2597" s="224"/>
      <c r="S2597" s="202"/>
      <c r="T2597"/>
    </row>
    <row r="2598" spans="15:20">
      <c r="O2598" s="247"/>
      <c r="P2598"/>
      <c r="Q2598" s="224"/>
      <c r="S2598" s="202"/>
      <c r="T2598"/>
    </row>
    <row r="2599" spans="15:20">
      <c r="O2599" s="247"/>
      <c r="P2599"/>
      <c r="Q2599" s="224"/>
      <c r="S2599" s="202"/>
      <c r="T2599"/>
    </row>
    <row r="2600" spans="15:20">
      <c r="O2600" s="247"/>
      <c r="P2600"/>
      <c r="Q2600" s="224"/>
      <c r="S2600" s="202"/>
      <c r="T2600"/>
    </row>
    <row r="2601" spans="15:20">
      <c r="O2601" s="247"/>
      <c r="P2601"/>
      <c r="Q2601" s="224"/>
      <c r="S2601" s="202"/>
      <c r="T2601"/>
    </row>
    <row r="2602" spans="15:20">
      <c r="O2602" s="247"/>
      <c r="P2602"/>
      <c r="Q2602" s="224"/>
      <c r="S2602" s="202"/>
      <c r="T2602"/>
    </row>
    <row r="2603" spans="15:20">
      <c r="O2603" s="247"/>
      <c r="P2603"/>
      <c r="Q2603" s="224"/>
      <c r="S2603" s="202"/>
      <c r="T2603"/>
    </row>
    <row r="2604" spans="15:20">
      <c r="O2604" s="247"/>
      <c r="P2604"/>
      <c r="Q2604" s="224"/>
      <c r="S2604" s="202"/>
      <c r="T2604"/>
    </row>
    <row r="2605" spans="15:20">
      <c r="O2605" s="247"/>
      <c r="P2605"/>
      <c r="Q2605" s="224"/>
      <c r="S2605" s="202"/>
      <c r="T2605"/>
    </row>
    <row r="2606" spans="15:20">
      <c r="O2606" s="247"/>
      <c r="P2606"/>
      <c r="Q2606" s="224"/>
      <c r="S2606" s="202"/>
      <c r="T2606"/>
    </row>
    <row r="2607" spans="15:20">
      <c r="O2607" s="247"/>
      <c r="P2607"/>
      <c r="Q2607" s="224"/>
      <c r="S2607" s="202"/>
      <c r="T2607"/>
    </row>
    <row r="2608" spans="15:20">
      <c r="O2608" s="247"/>
      <c r="P2608"/>
      <c r="Q2608" s="224"/>
      <c r="S2608" s="202"/>
      <c r="T2608"/>
    </row>
    <row r="2609" spans="15:20">
      <c r="O2609" s="247"/>
      <c r="P2609"/>
      <c r="Q2609" s="224"/>
      <c r="S2609" s="202"/>
      <c r="T2609"/>
    </row>
    <row r="2610" spans="15:20">
      <c r="O2610" s="247"/>
      <c r="P2610"/>
      <c r="Q2610" s="224"/>
      <c r="S2610" s="202"/>
      <c r="T2610"/>
    </row>
    <row r="2611" spans="15:20">
      <c r="O2611" s="247"/>
      <c r="P2611"/>
      <c r="Q2611" s="224"/>
      <c r="S2611" s="202"/>
      <c r="T2611"/>
    </row>
    <row r="2612" spans="15:20">
      <c r="O2612" s="247"/>
      <c r="P2612"/>
      <c r="Q2612" s="224"/>
      <c r="S2612" s="202"/>
      <c r="T2612"/>
    </row>
    <row r="2613" spans="15:20">
      <c r="O2613" s="247"/>
      <c r="P2613"/>
      <c r="Q2613" s="224"/>
      <c r="S2613" s="202"/>
      <c r="T2613"/>
    </row>
    <row r="2614" spans="15:20">
      <c r="O2614" s="247"/>
      <c r="P2614"/>
      <c r="Q2614" s="224"/>
      <c r="S2614" s="202"/>
      <c r="T2614"/>
    </row>
    <row r="2615" spans="15:20">
      <c r="O2615" s="247"/>
      <c r="P2615"/>
      <c r="Q2615" s="224"/>
      <c r="S2615" s="202"/>
      <c r="T2615"/>
    </row>
    <row r="2616" spans="15:20">
      <c r="O2616" s="247"/>
      <c r="P2616"/>
      <c r="Q2616" s="224"/>
      <c r="S2616" s="202"/>
      <c r="T2616"/>
    </row>
    <row r="2617" spans="15:20">
      <c r="O2617" s="247"/>
      <c r="P2617"/>
      <c r="Q2617" s="224"/>
      <c r="S2617" s="202"/>
      <c r="T2617"/>
    </row>
    <row r="2618" spans="15:20">
      <c r="O2618" s="247"/>
      <c r="P2618"/>
      <c r="Q2618" s="224"/>
      <c r="S2618" s="202"/>
      <c r="T2618"/>
    </row>
    <row r="2619" spans="15:20">
      <c r="O2619" s="247"/>
      <c r="P2619"/>
      <c r="Q2619" s="224"/>
      <c r="S2619" s="202"/>
      <c r="T2619"/>
    </row>
    <row r="2620" spans="15:20">
      <c r="O2620" s="247"/>
      <c r="P2620"/>
      <c r="Q2620" s="224"/>
      <c r="S2620" s="202"/>
      <c r="T2620"/>
    </row>
    <row r="2621" spans="15:20">
      <c r="O2621" s="247"/>
      <c r="P2621"/>
      <c r="Q2621" s="224"/>
      <c r="S2621" s="202"/>
      <c r="T2621"/>
    </row>
    <row r="2622" spans="15:20">
      <c r="O2622" s="247"/>
      <c r="P2622"/>
      <c r="Q2622" s="224"/>
      <c r="S2622" s="202"/>
      <c r="T2622"/>
    </row>
    <row r="2623" spans="15:20">
      <c r="O2623" s="247"/>
      <c r="P2623"/>
      <c r="Q2623" s="224"/>
      <c r="S2623" s="202"/>
      <c r="T2623"/>
    </row>
    <row r="2624" spans="15:20">
      <c r="O2624" s="247"/>
      <c r="P2624"/>
      <c r="Q2624" s="224"/>
      <c r="S2624" s="202"/>
      <c r="T2624"/>
    </row>
    <row r="2625" spans="15:20">
      <c r="O2625" s="247"/>
      <c r="P2625"/>
      <c r="Q2625" s="224"/>
      <c r="S2625" s="202"/>
      <c r="T2625"/>
    </row>
    <row r="2626" spans="15:20">
      <c r="O2626" s="247"/>
      <c r="P2626"/>
      <c r="Q2626" s="224"/>
      <c r="S2626" s="202"/>
      <c r="T2626"/>
    </row>
    <row r="2627" spans="15:20">
      <c r="O2627" s="247"/>
      <c r="P2627"/>
      <c r="Q2627" s="224"/>
      <c r="S2627" s="202"/>
      <c r="T2627"/>
    </row>
    <row r="2628" spans="15:20">
      <c r="O2628" s="247"/>
      <c r="P2628"/>
      <c r="Q2628" s="224"/>
      <c r="S2628" s="202"/>
      <c r="T2628"/>
    </row>
    <row r="2629" spans="15:20">
      <c r="O2629" s="247"/>
      <c r="P2629"/>
      <c r="Q2629" s="224"/>
      <c r="S2629" s="202"/>
      <c r="T2629"/>
    </row>
    <row r="2630" spans="15:20">
      <c r="O2630" s="247"/>
      <c r="P2630"/>
      <c r="Q2630" s="224"/>
      <c r="S2630" s="202"/>
      <c r="T2630"/>
    </row>
    <row r="2631" spans="15:20">
      <c r="O2631" s="247"/>
      <c r="P2631"/>
      <c r="Q2631" s="224"/>
      <c r="S2631" s="202"/>
      <c r="T2631"/>
    </row>
    <row r="2632" spans="15:20">
      <c r="O2632" s="247"/>
      <c r="P2632"/>
      <c r="Q2632" s="224"/>
      <c r="S2632" s="202"/>
      <c r="T2632"/>
    </row>
    <row r="2633" spans="15:20">
      <c r="O2633" s="247"/>
      <c r="P2633"/>
      <c r="Q2633" s="224"/>
      <c r="S2633" s="202"/>
      <c r="T2633"/>
    </row>
    <row r="2634" spans="15:20">
      <c r="O2634" s="247"/>
      <c r="P2634"/>
      <c r="Q2634" s="224"/>
      <c r="S2634" s="202"/>
      <c r="T2634"/>
    </row>
    <row r="2635" spans="15:20">
      <c r="O2635" s="247"/>
      <c r="P2635"/>
      <c r="Q2635" s="224"/>
      <c r="S2635" s="202"/>
      <c r="T2635"/>
    </row>
    <row r="2636" spans="15:20">
      <c r="O2636" s="247"/>
      <c r="P2636"/>
      <c r="Q2636" s="224"/>
      <c r="S2636" s="202"/>
      <c r="T2636"/>
    </row>
    <row r="2637" spans="15:20">
      <c r="O2637" s="247"/>
      <c r="P2637"/>
      <c r="Q2637" s="224"/>
      <c r="S2637" s="202"/>
      <c r="T2637"/>
    </row>
    <row r="2638" spans="15:20">
      <c r="O2638" s="247"/>
      <c r="P2638"/>
      <c r="Q2638" s="224"/>
      <c r="S2638" s="202"/>
      <c r="T2638"/>
    </row>
    <row r="2639" spans="15:20">
      <c r="O2639" s="247"/>
      <c r="P2639"/>
      <c r="Q2639" s="224"/>
      <c r="S2639" s="202"/>
      <c r="T2639"/>
    </row>
    <row r="2640" spans="15:20">
      <c r="O2640" s="247"/>
      <c r="P2640"/>
      <c r="Q2640" s="224"/>
      <c r="S2640" s="202"/>
      <c r="T2640"/>
    </row>
    <row r="2641" spans="15:20">
      <c r="O2641" s="247"/>
      <c r="P2641"/>
      <c r="Q2641" s="224"/>
      <c r="S2641" s="202"/>
      <c r="T2641"/>
    </row>
    <row r="2642" spans="15:20">
      <c r="O2642" s="247"/>
      <c r="P2642"/>
      <c r="Q2642" s="224"/>
      <c r="S2642" s="202"/>
      <c r="T2642"/>
    </row>
    <row r="2643" spans="15:20">
      <c r="O2643" s="247"/>
      <c r="P2643"/>
      <c r="Q2643" s="224"/>
      <c r="S2643" s="202"/>
      <c r="T2643"/>
    </row>
    <row r="2644" spans="15:20">
      <c r="O2644" s="247"/>
      <c r="P2644"/>
      <c r="Q2644" s="224"/>
      <c r="S2644" s="202"/>
      <c r="T2644"/>
    </row>
    <row r="2645" spans="15:20">
      <c r="O2645" s="247"/>
      <c r="P2645"/>
      <c r="Q2645" s="224"/>
      <c r="S2645" s="202"/>
      <c r="T2645"/>
    </row>
    <row r="2646" spans="15:20">
      <c r="O2646" s="247"/>
      <c r="P2646"/>
      <c r="Q2646" s="224"/>
      <c r="S2646" s="202"/>
      <c r="T2646"/>
    </row>
    <row r="2647" spans="15:20">
      <c r="O2647" s="247"/>
      <c r="P2647"/>
      <c r="Q2647" s="224"/>
      <c r="S2647" s="202"/>
      <c r="T2647"/>
    </row>
    <row r="2648" spans="15:20">
      <c r="O2648" s="247"/>
      <c r="P2648"/>
      <c r="Q2648" s="224"/>
      <c r="S2648" s="202"/>
      <c r="T2648"/>
    </row>
    <row r="2649" spans="15:20">
      <c r="O2649" s="247"/>
      <c r="P2649"/>
      <c r="Q2649" s="224"/>
      <c r="S2649" s="202"/>
      <c r="T2649"/>
    </row>
    <row r="2650" spans="15:20">
      <c r="O2650" s="247"/>
      <c r="P2650"/>
      <c r="Q2650" s="224"/>
      <c r="S2650" s="202"/>
      <c r="T2650"/>
    </row>
    <row r="2651" spans="15:20">
      <c r="O2651" s="247"/>
      <c r="P2651"/>
      <c r="Q2651" s="224"/>
      <c r="S2651" s="202"/>
      <c r="T2651"/>
    </row>
    <row r="2652" spans="15:20">
      <c r="O2652" s="247"/>
      <c r="P2652"/>
      <c r="Q2652" s="224"/>
      <c r="S2652" s="202"/>
      <c r="T2652"/>
    </row>
    <row r="2653" spans="15:20">
      <c r="O2653" s="247"/>
      <c r="P2653"/>
      <c r="Q2653" s="224"/>
      <c r="S2653" s="202"/>
      <c r="T2653"/>
    </row>
    <row r="2654" spans="15:20">
      <c r="O2654" s="247"/>
      <c r="P2654"/>
      <c r="Q2654" s="224"/>
      <c r="S2654" s="202"/>
      <c r="T2654"/>
    </row>
    <row r="2655" spans="15:20">
      <c r="O2655" s="247"/>
      <c r="P2655"/>
      <c r="Q2655" s="224"/>
      <c r="S2655" s="202"/>
      <c r="T2655"/>
    </row>
    <row r="2656" spans="15:20">
      <c r="O2656" s="247"/>
      <c r="P2656"/>
      <c r="Q2656" s="224"/>
      <c r="S2656" s="202"/>
      <c r="T2656"/>
    </row>
    <row r="2657" spans="15:20">
      <c r="O2657" s="247"/>
      <c r="P2657"/>
      <c r="Q2657" s="224"/>
      <c r="S2657" s="202"/>
      <c r="T2657"/>
    </row>
    <row r="2658" spans="15:20">
      <c r="O2658" s="247"/>
      <c r="P2658"/>
      <c r="Q2658" s="224"/>
      <c r="S2658" s="202"/>
      <c r="T2658"/>
    </row>
    <row r="2659" spans="15:20">
      <c r="O2659" s="247"/>
      <c r="P2659"/>
      <c r="Q2659" s="224"/>
      <c r="S2659" s="202"/>
      <c r="T2659"/>
    </row>
    <row r="2660" spans="15:20">
      <c r="O2660" s="247"/>
      <c r="P2660"/>
      <c r="Q2660" s="224"/>
      <c r="S2660" s="202"/>
      <c r="T2660"/>
    </row>
    <row r="2661" spans="15:20">
      <c r="O2661" s="247"/>
      <c r="P2661"/>
      <c r="Q2661" s="224"/>
      <c r="S2661" s="202"/>
      <c r="T2661"/>
    </row>
    <row r="2662" spans="15:20">
      <c r="O2662" s="247"/>
      <c r="P2662"/>
      <c r="Q2662" s="224"/>
      <c r="S2662" s="202"/>
      <c r="T2662"/>
    </row>
    <row r="2663" spans="15:20">
      <c r="O2663" s="247"/>
      <c r="P2663"/>
      <c r="Q2663" s="224"/>
      <c r="S2663" s="202"/>
      <c r="T2663"/>
    </row>
    <row r="2664" spans="15:20">
      <c r="O2664" s="247"/>
      <c r="P2664"/>
      <c r="Q2664" s="224"/>
      <c r="S2664" s="202"/>
      <c r="T2664"/>
    </row>
    <row r="2665" spans="15:20">
      <c r="O2665" s="247"/>
      <c r="P2665"/>
      <c r="Q2665" s="224"/>
      <c r="S2665" s="202"/>
      <c r="T2665"/>
    </row>
    <row r="2666" spans="15:20">
      <c r="O2666" s="247"/>
      <c r="P2666"/>
      <c r="Q2666" s="224"/>
      <c r="S2666" s="202"/>
      <c r="T2666"/>
    </row>
    <row r="2667" spans="15:20">
      <c r="O2667" s="247"/>
      <c r="P2667"/>
      <c r="Q2667" s="224"/>
      <c r="S2667" s="202"/>
      <c r="T2667"/>
    </row>
    <row r="2668" spans="15:20">
      <c r="O2668" s="247"/>
      <c r="P2668"/>
      <c r="Q2668" s="224"/>
      <c r="S2668" s="202"/>
      <c r="T2668"/>
    </row>
    <row r="2669" spans="15:20">
      <c r="O2669" s="247"/>
      <c r="P2669"/>
      <c r="Q2669" s="224"/>
      <c r="S2669" s="202"/>
      <c r="T2669"/>
    </row>
    <row r="2670" spans="15:20">
      <c r="O2670" s="247"/>
      <c r="P2670"/>
      <c r="Q2670" s="224"/>
      <c r="S2670" s="202"/>
      <c r="T2670"/>
    </row>
    <row r="2671" spans="15:20">
      <c r="O2671" s="247"/>
      <c r="P2671"/>
      <c r="Q2671" s="224"/>
      <c r="S2671" s="202"/>
      <c r="T2671"/>
    </row>
    <row r="2672" spans="15:20">
      <c r="O2672" s="247"/>
      <c r="P2672"/>
      <c r="Q2672" s="224"/>
      <c r="S2672" s="202"/>
      <c r="T2672"/>
    </row>
    <row r="2673" spans="15:20">
      <c r="O2673" s="247"/>
      <c r="P2673"/>
      <c r="Q2673" s="224"/>
      <c r="S2673" s="202"/>
      <c r="T2673"/>
    </row>
    <row r="2674" spans="15:20">
      <c r="O2674" s="247"/>
      <c r="P2674"/>
      <c r="Q2674" s="224"/>
      <c r="S2674" s="202"/>
      <c r="T2674"/>
    </row>
    <row r="2675" spans="15:20">
      <c r="O2675" s="247"/>
      <c r="P2675"/>
      <c r="Q2675" s="224"/>
      <c r="S2675" s="202"/>
      <c r="T2675"/>
    </row>
    <row r="2676" spans="15:20">
      <c r="O2676" s="247"/>
      <c r="P2676"/>
      <c r="Q2676" s="224"/>
      <c r="S2676" s="202"/>
      <c r="T2676"/>
    </row>
    <row r="2677" spans="15:20">
      <c r="O2677" s="247"/>
      <c r="P2677"/>
      <c r="Q2677" s="224"/>
      <c r="S2677" s="202"/>
      <c r="T2677"/>
    </row>
    <row r="2678" spans="15:20">
      <c r="O2678" s="247"/>
      <c r="P2678"/>
      <c r="Q2678" s="224"/>
      <c r="S2678" s="202"/>
      <c r="T2678"/>
    </row>
    <row r="2679" spans="15:20">
      <c r="O2679" s="247"/>
      <c r="P2679"/>
      <c r="Q2679" s="224"/>
      <c r="S2679" s="202"/>
      <c r="T2679"/>
    </row>
    <row r="2680" spans="15:20">
      <c r="O2680" s="247"/>
      <c r="P2680"/>
      <c r="Q2680" s="224"/>
      <c r="S2680" s="202"/>
      <c r="T2680"/>
    </row>
    <row r="2681" spans="15:20">
      <c r="O2681" s="247"/>
      <c r="P2681"/>
      <c r="Q2681" s="224"/>
      <c r="S2681" s="202"/>
      <c r="T2681"/>
    </row>
    <row r="2682" spans="15:20">
      <c r="O2682" s="247"/>
      <c r="P2682"/>
      <c r="Q2682" s="224"/>
      <c r="S2682" s="202"/>
      <c r="T2682"/>
    </row>
    <row r="2683" spans="15:20">
      <c r="O2683" s="247"/>
      <c r="P2683"/>
      <c r="Q2683" s="224"/>
      <c r="S2683" s="202"/>
      <c r="T2683"/>
    </row>
    <row r="2684" spans="15:20">
      <c r="O2684" s="247"/>
      <c r="P2684"/>
      <c r="Q2684" s="224"/>
      <c r="S2684" s="202"/>
      <c r="T2684"/>
    </row>
    <row r="2685" spans="15:20">
      <c r="O2685" s="247"/>
      <c r="P2685"/>
      <c r="Q2685" s="224"/>
      <c r="S2685" s="202"/>
      <c r="T2685"/>
    </row>
    <row r="2686" spans="15:20">
      <c r="O2686" s="247"/>
      <c r="P2686"/>
      <c r="Q2686" s="224"/>
      <c r="S2686" s="202"/>
      <c r="T2686"/>
    </row>
    <row r="2687" spans="15:20">
      <c r="O2687" s="247"/>
      <c r="P2687"/>
      <c r="Q2687" s="224"/>
      <c r="S2687" s="202"/>
      <c r="T2687"/>
    </row>
    <row r="2688" spans="15:20">
      <c r="O2688" s="247"/>
      <c r="P2688"/>
      <c r="Q2688" s="224"/>
      <c r="S2688" s="202"/>
      <c r="T2688"/>
    </row>
    <row r="2689" spans="15:20">
      <c r="O2689" s="247"/>
      <c r="P2689"/>
      <c r="Q2689" s="224"/>
      <c r="S2689" s="202"/>
      <c r="T2689"/>
    </row>
    <row r="2690" spans="15:20">
      <c r="O2690" s="247"/>
      <c r="P2690"/>
      <c r="Q2690" s="224"/>
      <c r="S2690" s="202"/>
      <c r="T2690"/>
    </row>
    <row r="2691" spans="15:20">
      <c r="O2691" s="247"/>
      <c r="P2691"/>
      <c r="Q2691" s="224"/>
      <c r="S2691" s="202"/>
      <c r="T2691"/>
    </row>
    <row r="2692" spans="15:20">
      <c r="O2692" s="247"/>
      <c r="P2692"/>
      <c r="Q2692" s="224"/>
      <c r="S2692" s="202"/>
      <c r="T2692"/>
    </row>
    <row r="2693" spans="15:20">
      <c r="O2693" s="247"/>
      <c r="P2693"/>
      <c r="Q2693" s="224"/>
      <c r="S2693" s="202"/>
      <c r="T2693"/>
    </row>
    <row r="2694" spans="15:20">
      <c r="O2694" s="247"/>
      <c r="P2694"/>
      <c r="Q2694" s="224"/>
      <c r="S2694" s="202"/>
      <c r="T2694"/>
    </row>
    <row r="2695" spans="15:20">
      <c r="O2695" s="247"/>
      <c r="P2695"/>
      <c r="Q2695" s="224"/>
      <c r="S2695" s="202"/>
      <c r="T2695"/>
    </row>
    <row r="2696" spans="15:20">
      <c r="O2696" s="247"/>
      <c r="P2696"/>
      <c r="Q2696" s="224"/>
      <c r="S2696" s="202"/>
      <c r="T2696"/>
    </row>
    <row r="2697" spans="15:20">
      <c r="O2697" s="247"/>
      <c r="P2697"/>
      <c r="Q2697" s="224"/>
      <c r="S2697" s="202"/>
      <c r="T2697"/>
    </row>
    <row r="2698" spans="15:20">
      <c r="O2698" s="247"/>
      <c r="P2698"/>
      <c r="Q2698" s="224"/>
      <c r="S2698" s="202"/>
      <c r="T2698"/>
    </row>
    <row r="2699" spans="15:20">
      <c r="O2699" s="247"/>
      <c r="P2699"/>
      <c r="Q2699" s="224"/>
      <c r="S2699" s="202"/>
      <c r="T2699"/>
    </row>
    <row r="2700" spans="15:20">
      <c r="O2700" s="247"/>
      <c r="P2700"/>
      <c r="Q2700" s="224"/>
      <c r="S2700" s="202"/>
      <c r="T2700"/>
    </row>
    <row r="2701" spans="15:20">
      <c r="O2701" s="247"/>
      <c r="P2701"/>
      <c r="Q2701" s="224"/>
      <c r="S2701" s="202"/>
      <c r="T2701"/>
    </row>
    <row r="2702" spans="15:20">
      <c r="O2702" s="247"/>
      <c r="P2702"/>
      <c r="Q2702" s="224"/>
      <c r="S2702" s="202"/>
      <c r="T2702"/>
    </row>
    <row r="2703" spans="15:20">
      <c r="O2703" s="247"/>
      <c r="P2703"/>
      <c r="Q2703" s="224"/>
      <c r="S2703" s="202"/>
      <c r="T2703"/>
    </row>
    <row r="2704" spans="15:20">
      <c r="O2704" s="247"/>
      <c r="P2704"/>
      <c r="Q2704" s="224"/>
      <c r="S2704" s="202"/>
      <c r="T2704"/>
    </row>
    <row r="2705" spans="15:20">
      <c r="O2705" s="247"/>
      <c r="P2705"/>
      <c r="Q2705" s="224"/>
      <c r="S2705" s="202"/>
      <c r="T2705"/>
    </row>
    <row r="2706" spans="15:20">
      <c r="O2706" s="247"/>
      <c r="P2706"/>
      <c r="Q2706" s="224"/>
      <c r="S2706" s="202"/>
      <c r="T2706"/>
    </row>
    <row r="2707" spans="15:20">
      <c r="O2707" s="247"/>
      <c r="P2707"/>
      <c r="Q2707" s="224"/>
      <c r="S2707" s="202"/>
      <c r="T2707"/>
    </row>
    <row r="2708" spans="15:20">
      <c r="O2708" s="247"/>
      <c r="P2708"/>
      <c r="Q2708" s="224"/>
      <c r="S2708" s="202"/>
      <c r="T2708"/>
    </row>
    <row r="2709" spans="15:20">
      <c r="O2709" s="247"/>
      <c r="P2709"/>
      <c r="Q2709" s="224"/>
      <c r="S2709" s="202"/>
      <c r="T2709"/>
    </row>
    <row r="2710" spans="15:20">
      <c r="O2710" s="247"/>
      <c r="P2710"/>
      <c r="Q2710" s="224"/>
      <c r="S2710" s="202"/>
      <c r="T2710"/>
    </row>
    <row r="2711" spans="15:20">
      <c r="O2711" s="247"/>
      <c r="P2711"/>
      <c r="Q2711" s="224"/>
      <c r="S2711" s="202"/>
      <c r="T2711"/>
    </row>
    <row r="2712" spans="15:20">
      <c r="O2712" s="247"/>
      <c r="P2712"/>
      <c r="Q2712" s="224"/>
      <c r="S2712" s="202"/>
      <c r="T2712"/>
    </row>
    <row r="2713" spans="15:20">
      <c r="O2713" s="247"/>
      <c r="P2713"/>
      <c r="Q2713" s="224"/>
      <c r="S2713" s="202"/>
      <c r="T2713"/>
    </row>
    <row r="2714" spans="15:20">
      <c r="O2714" s="247"/>
      <c r="P2714"/>
      <c r="Q2714" s="224"/>
      <c r="S2714" s="202"/>
      <c r="T2714"/>
    </row>
    <row r="2715" spans="15:20">
      <c r="O2715" s="247"/>
      <c r="P2715"/>
      <c r="Q2715" s="224"/>
      <c r="S2715" s="202"/>
      <c r="T2715"/>
    </row>
    <row r="2716" spans="15:20">
      <c r="O2716" s="247"/>
      <c r="P2716"/>
      <c r="Q2716" s="224"/>
      <c r="S2716" s="202"/>
      <c r="T2716"/>
    </row>
    <row r="2717" spans="15:20">
      <c r="O2717" s="247"/>
      <c r="P2717"/>
      <c r="Q2717" s="224"/>
      <c r="S2717" s="202"/>
      <c r="T2717"/>
    </row>
    <row r="2718" spans="15:20">
      <c r="O2718" s="247"/>
      <c r="P2718"/>
      <c r="Q2718" s="224"/>
      <c r="S2718" s="202"/>
      <c r="T2718"/>
    </row>
    <row r="2719" spans="15:20">
      <c r="O2719" s="247"/>
      <c r="P2719"/>
      <c r="Q2719" s="224"/>
      <c r="S2719" s="202"/>
      <c r="T2719"/>
    </row>
    <row r="2720" spans="15:20">
      <c r="O2720" s="247"/>
      <c r="P2720"/>
      <c r="Q2720" s="224"/>
      <c r="S2720" s="202"/>
      <c r="T2720"/>
    </row>
    <row r="2721" spans="15:20">
      <c r="O2721" s="247"/>
      <c r="P2721"/>
      <c r="Q2721" s="224"/>
      <c r="S2721" s="202"/>
      <c r="T2721"/>
    </row>
    <row r="2722" spans="15:20">
      <c r="O2722" s="247"/>
      <c r="P2722"/>
      <c r="Q2722" s="224"/>
      <c r="S2722" s="202"/>
      <c r="T2722"/>
    </row>
    <row r="2723" spans="15:20">
      <c r="O2723" s="247"/>
      <c r="P2723"/>
      <c r="Q2723" s="224"/>
      <c r="S2723" s="202"/>
      <c r="T2723"/>
    </row>
    <row r="2724" spans="15:20">
      <c r="O2724" s="247"/>
      <c r="P2724"/>
      <c r="Q2724" s="224"/>
      <c r="S2724" s="202"/>
      <c r="T2724"/>
    </row>
    <row r="2725" spans="15:20">
      <c r="O2725" s="247"/>
      <c r="P2725"/>
      <c r="Q2725" s="224"/>
      <c r="S2725" s="202"/>
      <c r="T2725"/>
    </row>
    <row r="2726" spans="15:20">
      <c r="O2726" s="247"/>
      <c r="P2726"/>
      <c r="Q2726" s="224"/>
      <c r="S2726" s="202"/>
      <c r="T2726"/>
    </row>
    <row r="2727" spans="15:20">
      <c r="O2727" s="247"/>
      <c r="P2727"/>
      <c r="Q2727" s="224"/>
      <c r="S2727" s="202"/>
      <c r="T2727"/>
    </row>
    <row r="2728" spans="15:20">
      <c r="O2728" s="247"/>
      <c r="P2728"/>
      <c r="Q2728" s="224"/>
      <c r="S2728" s="202"/>
      <c r="T2728"/>
    </row>
    <row r="2729" spans="15:20">
      <c r="O2729" s="247"/>
      <c r="P2729"/>
      <c r="Q2729" s="224"/>
      <c r="S2729" s="202"/>
      <c r="T2729"/>
    </row>
    <row r="2730" spans="15:20">
      <c r="O2730" s="247"/>
      <c r="P2730"/>
      <c r="Q2730" s="224"/>
      <c r="S2730" s="202"/>
      <c r="T2730"/>
    </row>
    <row r="2731" spans="15:20">
      <c r="O2731" s="247"/>
      <c r="P2731"/>
      <c r="Q2731" s="224"/>
      <c r="S2731" s="202"/>
      <c r="T2731"/>
    </row>
    <row r="2732" spans="15:20">
      <c r="O2732" s="247"/>
      <c r="P2732"/>
      <c r="Q2732" s="224"/>
      <c r="S2732" s="202"/>
      <c r="T2732"/>
    </row>
    <row r="2733" spans="15:20">
      <c r="O2733" s="247"/>
      <c r="P2733"/>
      <c r="Q2733" s="224"/>
      <c r="S2733" s="202"/>
      <c r="T2733"/>
    </row>
    <row r="2734" spans="15:20">
      <c r="O2734" s="247"/>
      <c r="P2734"/>
      <c r="Q2734" s="224"/>
      <c r="S2734" s="202"/>
      <c r="T2734"/>
    </row>
    <row r="2735" spans="15:20">
      <c r="O2735" s="247"/>
      <c r="P2735"/>
      <c r="Q2735" s="224"/>
      <c r="S2735" s="202"/>
      <c r="T2735"/>
    </row>
    <row r="2736" spans="15:20">
      <c r="O2736" s="247"/>
      <c r="P2736"/>
      <c r="Q2736" s="224"/>
      <c r="S2736" s="202"/>
      <c r="T2736"/>
    </row>
    <row r="2737" spans="15:20">
      <c r="O2737" s="247"/>
      <c r="P2737"/>
      <c r="Q2737" s="224"/>
      <c r="S2737" s="202"/>
      <c r="T2737"/>
    </row>
    <row r="2738" spans="15:20">
      <c r="O2738" s="247"/>
      <c r="P2738"/>
      <c r="Q2738" s="224"/>
      <c r="S2738" s="202"/>
      <c r="T2738"/>
    </row>
    <row r="2739" spans="15:20">
      <c r="O2739" s="247"/>
      <c r="P2739"/>
      <c r="Q2739" s="224"/>
      <c r="S2739" s="202"/>
      <c r="T2739"/>
    </row>
    <row r="2740" spans="15:20">
      <c r="O2740" s="247"/>
      <c r="P2740"/>
      <c r="Q2740" s="224"/>
      <c r="S2740" s="202"/>
      <c r="T2740"/>
    </row>
    <row r="2741" spans="15:20">
      <c r="O2741" s="247"/>
      <c r="P2741"/>
      <c r="Q2741" s="224"/>
      <c r="S2741" s="202"/>
      <c r="T2741"/>
    </row>
    <row r="2742" spans="15:20">
      <c r="O2742" s="247"/>
      <c r="P2742"/>
      <c r="Q2742" s="224"/>
      <c r="S2742" s="202"/>
      <c r="T2742"/>
    </row>
    <row r="2743" spans="15:20">
      <c r="O2743" s="247"/>
      <c r="P2743"/>
      <c r="Q2743" s="224"/>
      <c r="S2743" s="202"/>
      <c r="T2743"/>
    </row>
    <row r="2744" spans="15:20">
      <c r="O2744" s="247"/>
      <c r="P2744"/>
      <c r="Q2744" s="224"/>
      <c r="S2744" s="202"/>
      <c r="T2744"/>
    </row>
    <row r="2745" spans="15:20">
      <c r="O2745" s="247"/>
      <c r="P2745"/>
      <c r="Q2745" s="224"/>
      <c r="S2745" s="202"/>
      <c r="T2745"/>
    </row>
    <row r="2746" spans="15:20">
      <c r="O2746" s="247"/>
      <c r="P2746"/>
      <c r="Q2746" s="224"/>
      <c r="S2746" s="202"/>
      <c r="T2746"/>
    </row>
    <row r="2747" spans="15:20">
      <c r="O2747" s="247"/>
      <c r="P2747"/>
      <c r="Q2747" s="224"/>
      <c r="S2747" s="202"/>
      <c r="T2747"/>
    </row>
    <row r="2748" spans="15:20">
      <c r="O2748" s="247"/>
      <c r="P2748"/>
      <c r="Q2748" s="224"/>
      <c r="S2748" s="202"/>
      <c r="T2748"/>
    </row>
    <row r="2749" spans="15:20">
      <c r="O2749" s="247"/>
      <c r="P2749"/>
      <c r="Q2749" s="224"/>
      <c r="S2749" s="202"/>
      <c r="T2749"/>
    </row>
    <row r="2750" spans="15:20">
      <c r="O2750" s="247"/>
      <c r="P2750"/>
      <c r="Q2750" s="224"/>
      <c r="S2750" s="202"/>
      <c r="T2750"/>
    </row>
    <row r="2751" spans="15:20">
      <c r="O2751" s="247"/>
      <c r="P2751"/>
      <c r="Q2751" s="224"/>
      <c r="S2751" s="202"/>
      <c r="T2751"/>
    </row>
    <row r="2752" spans="15:20">
      <c r="O2752" s="247"/>
      <c r="P2752"/>
      <c r="Q2752" s="224"/>
      <c r="S2752" s="202"/>
      <c r="T2752"/>
    </row>
    <row r="2753" spans="15:20">
      <c r="O2753" s="247"/>
      <c r="P2753"/>
      <c r="Q2753" s="224"/>
      <c r="S2753" s="202"/>
      <c r="T2753"/>
    </row>
    <row r="2754" spans="15:20">
      <c r="O2754" s="247"/>
      <c r="P2754"/>
      <c r="Q2754" s="224"/>
      <c r="S2754" s="202"/>
      <c r="T2754"/>
    </row>
    <row r="2755" spans="15:20">
      <c r="O2755" s="247"/>
      <c r="P2755"/>
      <c r="Q2755" s="224"/>
      <c r="S2755" s="202"/>
      <c r="T2755"/>
    </row>
    <row r="2756" spans="15:20">
      <c r="O2756" s="247"/>
      <c r="P2756"/>
      <c r="Q2756" s="224"/>
      <c r="S2756" s="202"/>
      <c r="T2756"/>
    </row>
    <row r="2757" spans="15:20">
      <c r="O2757" s="247"/>
      <c r="P2757"/>
      <c r="Q2757" s="224"/>
      <c r="S2757" s="202"/>
      <c r="T2757"/>
    </row>
    <row r="2758" spans="15:20">
      <c r="O2758" s="247"/>
      <c r="P2758"/>
      <c r="Q2758" s="224"/>
      <c r="S2758" s="202"/>
      <c r="T2758"/>
    </row>
    <row r="2759" spans="15:20">
      <c r="O2759" s="247"/>
      <c r="P2759"/>
      <c r="Q2759" s="224"/>
      <c r="S2759" s="202"/>
      <c r="T2759"/>
    </row>
    <row r="2760" spans="15:20">
      <c r="O2760" s="247"/>
      <c r="P2760"/>
      <c r="Q2760" s="224"/>
      <c r="S2760" s="202"/>
      <c r="T2760"/>
    </row>
    <row r="2761" spans="15:20">
      <c r="O2761" s="247"/>
      <c r="P2761"/>
      <c r="Q2761" s="224"/>
      <c r="S2761" s="202"/>
      <c r="T2761"/>
    </row>
    <row r="2762" spans="15:20">
      <c r="O2762" s="247"/>
      <c r="P2762"/>
      <c r="Q2762" s="224"/>
      <c r="S2762" s="202"/>
      <c r="T2762"/>
    </row>
    <row r="2763" spans="15:20">
      <c r="O2763" s="247"/>
      <c r="P2763"/>
      <c r="Q2763" s="224"/>
      <c r="S2763" s="202"/>
      <c r="T2763"/>
    </row>
    <row r="2764" spans="15:20">
      <c r="O2764" s="247"/>
      <c r="P2764"/>
      <c r="Q2764" s="224"/>
      <c r="S2764" s="202"/>
      <c r="T2764"/>
    </row>
    <row r="2765" spans="15:20">
      <c r="O2765" s="247"/>
      <c r="P2765"/>
      <c r="Q2765" s="224"/>
      <c r="S2765" s="202"/>
      <c r="T2765"/>
    </row>
    <row r="2766" spans="15:20">
      <c r="O2766" s="247"/>
      <c r="P2766"/>
      <c r="Q2766" s="224"/>
      <c r="S2766" s="202"/>
      <c r="T2766"/>
    </row>
    <row r="2767" spans="15:20">
      <c r="O2767" s="247"/>
      <c r="P2767"/>
      <c r="Q2767" s="224"/>
      <c r="S2767" s="202"/>
      <c r="T2767"/>
    </row>
    <row r="2768" spans="15:20">
      <c r="O2768" s="247"/>
      <c r="P2768"/>
      <c r="Q2768" s="224"/>
      <c r="S2768" s="202"/>
      <c r="T2768"/>
    </row>
    <row r="2769" spans="15:20">
      <c r="O2769" s="247"/>
      <c r="P2769"/>
      <c r="Q2769" s="224"/>
      <c r="S2769" s="202"/>
      <c r="T2769"/>
    </row>
    <row r="2770" spans="15:20">
      <c r="O2770" s="247"/>
      <c r="P2770"/>
      <c r="Q2770" s="224"/>
      <c r="S2770" s="202"/>
      <c r="T2770"/>
    </row>
    <row r="2771" spans="15:20">
      <c r="O2771" s="247"/>
      <c r="P2771"/>
      <c r="Q2771" s="224"/>
      <c r="S2771" s="202"/>
      <c r="T2771"/>
    </row>
    <row r="2772" spans="15:20">
      <c r="O2772" s="247"/>
      <c r="P2772"/>
      <c r="Q2772" s="224"/>
      <c r="S2772" s="202"/>
      <c r="T2772"/>
    </row>
    <row r="2773" spans="15:20">
      <c r="O2773" s="247"/>
      <c r="P2773"/>
      <c r="Q2773" s="224"/>
      <c r="S2773" s="202"/>
      <c r="T2773"/>
    </row>
    <row r="2774" spans="15:20">
      <c r="O2774" s="247"/>
      <c r="P2774"/>
      <c r="Q2774" s="224"/>
      <c r="S2774" s="202"/>
      <c r="T2774"/>
    </row>
    <row r="2775" spans="15:20">
      <c r="O2775" s="247"/>
      <c r="P2775"/>
      <c r="Q2775" s="224"/>
      <c r="S2775" s="202"/>
      <c r="T2775"/>
    </row>
    <row r="2776" spans="15:20">
      <c r="O2776" s="247"/>
      <c r="P2776"/>
      <c r="Q2776" s="224"/>
      <c r="S2776" s="202"/>
      <c r="T2776"/>
    </row>
    <row r="2777" spans="15:20">
      <c r="O2777" s="247"/>
      <c r="P2777"/>
      <c r="Q2777" s="224"/>
      <c r="S2777" s="202"/>
      <c r="T2777"/>
    </row>
    <row r="2778" spans="15:20">
      <c r="O2778" s="247"/>
      <c r="P2778"/>
      <c r="Q2778" s="224"/>
      <c r="S2778" s="202"/>
      <c r="T2778"/>
    </row>
    <row r="2779" spans="15:20">
      <c r="O2779" s="247"/>
      <c r="P2779"/>
      <c r="Q2779" s="224"/>
      <c r="S2779" s="202"/>
      <c r="T2779"/>
    </row>
    <row r="2780" spans="15:20">
      <c r="O2780" s="247"/>
      <c r="P2780"/>
      <c r="Q2780" s="224"/>
      <c r="S2780" s="202"/>
      <c r="T2780"/>
    </row>
    <row r="2781" spans="15:20">
      <c r="O2781" s="247"/>
      <c r="P2781"/>
      <c r="Q2781" s="224"/>
      <c r="S2781" s="202"/>
      <c r="T2781"/>
    </row>
    <row r="2782" spans="15:20">
      <c r="O2782" s="247"/>
      <c r="P2782"/>
      <c r="Q2782" s="224"/>
      <c r="S2782" s="202"/>
      <c r="T2782"/>
    </row>
    <row r="2783" spans="15:20">
      <c r="O2783" s="247"/>
      <c r="P2783"/>
      <c r="Q2783" s="224"/>
      <c r="S2783" s="202"/>
      <c r="T2783"/>
    </row>
    <row r="2784" spans="15:20">
      <c r="O2784" s="247"/>
      <c r="P2784"/>
      <c r="Q2784" s="224"/>
      <c r="S2784" s="202"/>
      <c r="T2784"/>
    </row>
    <row r="2785" spans="15:20">
      <c r="O2785" s="247"/>
      <c r="P2785"/>
      <c r="Q2785" s="224"/>
      <c r="S2785" s="202"/>
      <c r="T2785"/>
    </row>
    <row r="2786" spans="15:20">
      <c r="O2786" s="247"/>
      <c r="P2786"/>
      <c r="Q2786" s="224"/>
      <c r="S2786" s="202"/>
      <c r="T2786"/>
    </row>
    <row r="2787" spans="15:20">
      <c r="O2787" s="247"/>
      <c r="P2787"/>
      <c r="Q2787" s="224"/>
      <c r="S2787" s="202"/>
      <c r="T2787"/>
    </row>
    <row r="2788" spans="15:20">
      <c r="O2788" s="247"/>
      <c r="P2788"/>
      <c r="Q2788" s="224"/>
      <c r="S2788" s="202"/>
      <c r="T2788"/>
    </row>
    <row r="2789" spans="15:20">
      <c r="O2789" s="247"/>
      <c r="P2789"/>
      <c r="Q2789" s="224"/>
      <c r="S2789" s="202"/>
      <c r="T2789"/>
    </row>
    <row r="2790" spans="15:20">
      <c r="O2790" s="247"/>
      <c r="P2790"/>
      <c r="Q2790" s="224"/>
      <c r="S2790" s="202"/>
      <c r="T2790"/>
    </row>
    <row r="2791" spans="15:20">
      <c r="O2791" s="247"/>
      <c r="P2791"/>
      <c r="Q2791" s="224"/>
      <c r="S2791" s="202"/>
      <c r="T2791"/>
    </row>
    <row r="2792" spans="15:20">
      <c r="O2792" s="247"/>
      <c r="P2792"/>
      <c r="Q2792" s="224"/>
      <c r="S2792" s="202"/>
      <c r="T2792"/>
    </row>
    <row r="2793" spans="15:20">
      <c r="O2793" s="247"/>
      <c r="P2793"/>
      <c r="Q2793" s="224"/>
      <c r="S2793" s="202"/>
      <c r="T2793"/>
    </row>
    <row r="2794" spans="15:20">
      <c r="O2794" s="247"/>
      <c r="P2794"/>
      <c r="Q2794" s="224"/>
      <c r="S2794" s="202"/>
      <c r="T2794"/>
    </row>
    <row r="2795" spans="15:20">
      <c r="O2795" s="247"/>
      <c r="P2795"/>
      <c r="Q2795" s="224"/>
      <c r="S2795" s="202"/>
      <c r="T2795"/>
    </row>
    <row r="2796" spans="15:20">
      <c r="O2796" s="247"/>
      <c r="P2796"/>
      <c r="Q2796" s="224"/>
      <c r="S2796" s="202"/>
      <c r="T2796"/>
    </row>
    <row r="2797" spans="15:20">
      <c r="O2797" s="247"/>
      <c r="P2797"/>
      <c r="Q2797" s="224"/>
      <c r="S2797" s="202"/>
      <c r="T2797"/>
    </row>
    <row r="2798" spans="15:20">
      <c r="O2798" s="247"/>
      <c r="P2798"/>
      <c r="Q2798" s="224"/>
      <c r="S2798" s="202"/>
      <c r="T2798"/>
    </row>
    <row r="2799" spans="15:20">
      <c r="O2799" s="247"/>
      <c r="P2799"/>
      <c r="Q2799" s="224"/>
      <c r="S2799" s="202"/>
      <c r="T2799"/>
    </row>
    <row r="2800" spans="15:20">
      <c r="O2800" s="247"/>
      <c r="P2800"/>
      <c r="Q2800" s="224"/>
      <c r="S2800" s="202"/>
      <c r="T2800"/>
    </row>
    <row r="2801" spans="15:20">
      <c r="O2801" s="247"/>
      <c r="P2801"/>
      <c r="Q2801" s="224"/>
      <c r="S2801" s="202"/>
      <c r="T2801"/>
    </row>
    <row r="2802" spans="15:20">
      <c r="O2802" s="247"/>
      <c r="P2802"/>
      <c r="Q2802" s="224"/>
      <c r="S2802" s="202"/>
      <c r="T2802"/>
    </row>
    <row r="2803" spans="15:20">
      <c r="O2803" s="247"/>
      <c r="P2803"/>
      <c r="Q2803" s="224"/>
      <c r="S2803" s="202"/>
      <c r="T2803"/>
    </row>
    <row r="2804" spans="15:20">
      <c r="O2804" s="247"/>
      <c r="P2804"/>
      <c r="Q2804" s="224"/>
      <c r="S2804" s="202"/>
      <c r="T2804"/>
    </row>
    <row r="2805" spans="15:20">
      <c r="O2805" s="247"/>
      <c r="P2805"/>
      <c r="Q2805" s="224"/>
      <c r="S2805" s="202"/>
      <c r="T2805"/>
    </row>
    <row r="2806" spans="15:20">
      <c r="O2806" s="247"/>
      <c r="P2806"/>
      <c r="Q2806" s="224"/>
      <c r="S2806" s="202"/>
      <c r="T2806"/>
    </row>
    <row r="2807" spans="15:20">
      <c r="O2807" s="247"/>
      <c r="P2807"/>
      <c r="Q2807" s="224"/>
      <c r="S2807" s="202"/>
      <c r="T2807"/>
    </row>
    <row r="2808" spans="15:20">
      <c r="O2808" s="247"/>
      <c r="P2808"/>
      <c r="Q2808" s="224"/>
      <c r="S2808" s="202"/>
      <c r="T2808"/>
    </row>
    <row r="2809" spans="15:20">
      <c r="O2809" s="247"/>
      <c r="P2809"/>
      <c r="Q2809" s="224"/>
      <c r="S2809" s="202"/>
      <c r="T2809"/>
    </row>
    <row r="2810" spans="15:20">
      <c r="O2810" s="247"/>
      <c r="P2810"/>
      <c r="Q2810" s="224"/>
      <c r="S2810" s="202"/>
      <c r="T2810"/>
    </row>
    <row r="2811" spans="15:20">
      <c r="O2811" s="247"/>
      <c r="P2811"/>
      <c r="Q2811" s="224"/>
      <c r="S2811" s="202"/>
      <c r="T2811"/>
    </row>
    <row r="2812" spans="15:20">
      <c r="O2812" s="247"/>
      <c r="P2812"/>
      <c r="Q2812" s="224"/>
      <c r="S2812" s="202"/>
      <c r="T2812"/>
    </row>
    <row r="2813" spans="15:20">
      <c r="O2813" s="247"/>
      <c r="P2813"/>
      <c r="Q2813" s="224"/>
      <c r="S2813" s="202"/>
      <c r="T2813"/>
    </row>
    <row r="2814" spans="15:20">
      <c r="O2814" s="247"/>
      <c r="P2814"/>
      <c r="Q2814" s="224"/>
      <c r="S2814" s="202"/>
      <c r="T2814"/>
    </row>
    <row r="2815" spans="15:20">
      <c r="O2815" s="247"/>
      <c r="P2815"/>
      <c r="Q2815" s="224"/>
      <c r="S2815" s="202"/>
      <c r="T2815"/>
    </row>
    <row r="2816" spans="15:20">
      <c r="O2816" s="247"/>
      <c r="P2816"/>
      <c r="Q2816" s="224"/>
      <c r="S2816" s="202"/>
      <c r="T2816"/>
    </row>
    <row r="2817" spans="15:20">
      <c r="O2817" s="247"/>
      <c r="P2817"/>
      <c r="Q2817" s="224"/>
      <c r="S2817" s="202"/>
      <c r="T2817"/>
    </row>
    <row r="2818" spans="15:20">
      <c r="O2818" s="247"/>
      <c r="P2818"/>
      <c r="Q2818" s="224"/>
      <c r="S2818" s="202"/>
      <c r="T2818"/>
    </row>
    <row r="2819" spans="15:20">
      <c r="O2819" s="247"/>
      <c r="P2819"/>
      <c r="Q2819" s="224"/>
      <c r="S2819" s="202"/>
      <c r="T2819"/>
    </row>
    <row r="2820" spans="15:20">
      <c r="O2820" s="247"/>
      <c r="P2820"/>
      <c r="Q2820" s="224"/>
      <c r="S2820" s="202"/>
      <c r="T2820"/>
    </row>
    <row r="2821" spans="15:20">
      <c r="O2821" s="247"/>
      <c r="P2821"/>
      <c r="Q2821" s="224"/>
      <c r="S2821" s="202"/>
      <c r="T2821"/>
    </row>
    <row r="2822" spans="15:20">
      <c r="O2822" s="247"/>
      <c r="P2822"/>
      <c r="Q2822" s="224"/>
      <c r="S2822" s="202"/>
      <c r="T2822"/>
    </row>
    <row r="2823" spans="15:20">
      <c r="O2823" s="247"/>
      <c r="P2823"/>
      <c r="Q2823" s="224"/>
      <c r="S2823" s="202"/>
      <c r="T2823"/>
    </row>
    <row r="2824" spans="15:20">
      <c r="O2824" s="247"/>
      <c r="P2824"/>
      <c r="Q2824" s="224"/>
      <c r="S2824" s="202"/>
      <c r="T2824"/>
    </row>
    <row r="2825" spans="15:20">
      <c r="O2825" s="247"/>
      <c r="P2825"/>
      <c r="Q2825" s="224"/>
      <c r="S2825" s="202"/>
      <c r="T2825"/>
    </row>
    <row r="2826" spans="15:20">
      <c r="O2826" s="247"/>
      <c r="P2826"/>
      <c r="Q2826" s="224"/>
      <c r="S2826" s="202"/>
      <c r="T2826"/>
    </row>
    <row r="2827" spans="15:20">
      <c r="O2827" s="247"/>
      <c r="P2827"/>
      <c r="Q2827" s="224"/>
      <c r="S2827" s="202"/>
      <c r="T2827"/>
    </row>
    <row r="2828" spans="15:20">
      <c r="O2828" s="247"/>
      <c r="P2828"/>
      <c r="Q2828" s="224"/>
      <c r="S2828" s="202"/>
      <c r="T2828"/>
    </row>
    <row r="2829" spans="15:20">
      <c r="O2829" s="247"/>
      <c r="P2829"/>
      <c r="Q2829" s="224"/>
      <c r="S2829" s="202"/>
      <c r="T2829"/>
    </row>
    <row r="2830" spans="15:20">
      <c r="O2830" s="247"/>
      <c r="P2830"/>
      <c r="Q2830" s="224"/>
      <c r="S2830" s="202"/>
      <c r="T2830"/>
    </row>
    <row r="2831" spans="15:20">
      <c r="O2831" s="247"/>
      <c r="P2831"/>
      <c r="Q2831" s="224"/>
      <c r="S2831" s="202"/>
      <c r="T2831"/>
    </row>
    <row r="2832" spans="15:20">
      <c r="O2832" s="247"/>
      <c r="P2832"/>
      <c r="Q2832" s="224"/>
      <c r="S2832" s="202"/>
      <c r="T2832"/>
    </row>
    <row r="2833" spans="15:20">
      <c r="O2833" s="247"/>
      <c r="P2833"/>
      <c r="Q2833" s="224"/>
      <c r="S2833" s="202"/>
      <c r="T2833"/>
    </row>
    <row r="2834" spans="15:20">
      <c r="O2834" s="247"/>
      <c r="P2834"/>
      <c r="Q2834" s="224"/>
      <c r="S2834" s="202"/>
      <c r="T2834"/>
    </row>
    <row r="2835" spans="15:20">
      <c r="O2835" s="247"/>
      <c r="P2835"/>
      <c r="Q2835" s="224"/>
      <c r="S2835" s="202"/>
      <c r="T2835"/>
    </row>
    <row r="2836" spans="15:20">
      <c r="O2836" s="247"/>
      <c r="P2836"/>
      <c r="Q2836" s="224"/>
      <c r="S2836" s="202"/>
      <c r="T2836"/>
    </row>
    <row r="2837" spans="15:20">
      <c r="O2837" s="247"/>
      <c r="P2837"/>
      <c r="Q2837" s="224"/>
      <c r="S2837" s="202"/>
      <c r="T2837"/>
    </row>
    <row r="2838" spans="15:20">
      <c r="O2838" s="247"/>
      <c r="P2838"/>
      <c r="Q2838" s="224"/>
      <c r="S2838" s="202"/>
      <c r="T2838"/>
    </row>
    <row r="2839" spans="15:20">
      <c r="O2839" s="247"/>
      <c r="P2839"/>
      <c r="Q2839" s="224"/>
      <c r="S2839" s="202"/>
      <c r="T2839"/>
    </row>
    <row r="2840" spans="15:20">
      <c r="O2840" s="247"/>
      <c r="P2840"/>
      <c r="Q2840" s="224"/>
      <c r="S2840" s="202"/>
      <c r="T2840"/>
    </row>
    <row r="2841" spans="15:20">
      <c r="O2841" s="247"/>
      <c r="P2841"/>
      <c r="Q2841" s="224"/>
      <c r="S2841" s="202"/>
      <c r="T2841"/>
    </row>
    <row r="2842" spans="15:20">
      <c r="O2842" s="247"/>
      <c r="P2842"/>
      <c r="Q2842" s="224"/>
      <c r="S2842" s="202"/>
      <c r="T2842"/>
    </row>
    <row r="2843" spans="15:20">
      <c r="O2843" s="247"/>
      <c r="P2843"/>
      <c r="Q2843" s="224"/>
      <c r="S2843" s="202"/>
      <c r="T2843"/>
    </row>
    <row r="2844" spans="15:20">
      <c r="O2844" s="247"/>
      <c r="P2844"/>
      <c r="Q2844" s="224"/>
      <c r="S2844" s="202"/>
      <c r="T2844"/>
    </row>
    <row r="2845" spans="15:20">
      <c r="O2845" s="247"/>
      <c r="P2845"/>
      <c r="Q2845" s="224"/>
      <c r="S2845" s="202"/>
      <c r="T2845"/>
    </row>
    <row r="2846" spans="15:20">
      <c r="O2846" s="247"/>
      <c r="P2846"/>
      <c r="Q2846" s="224"/>
      <c r="S2846" s="202"/>
      <c r="T2846"/>
    </row>
    <row r="2847" spans="15:20">
      <c r="O2847" s="247"/>
      <c r="P2847"/>
      <c r="Q2847" s="224"/>
      <c r="S2847" s="202"/>
      <c r="T2847"/>
    </row>
    <row r="2848" spans="15:20">
      <c r="O2848" s="247"/>
      <c r="P2848"/>
      <c r="Q2848" s="224"/>
      <c r="S2848" s="202"/>
      <c r="T2848"/>
    </row>
    <row r="2849" spans="15:20">
      <c r="O2849" s="247"/>
      <c r="P2849"/>
      <c r="Q2849" s="224"/>
      <c r="S2849" s="202"/>
      <c r="T2849"/>
    </row>
    <row r="2850" spans="15:20">
      <c r="O2850" s="247"/>
      <c r="P2850"/>
      <c r="Q2850" s="224"/>
      <c r="S2850" s="202"/>
      <c r="T2850"/>
    </row>
    <row r="2851" spans="15:20">
      <c r="O2851" s="247"/>
      <c r="P2851"/>
      <c r="Q2851" s="224"/>
      <c r="S2851" s="202"/>
      <c r="T2851"/>
    </row>
    <row r="2852" spans="15:20">
      <c r="O2852" s="247"/>
      <c r="P2852"/>
      <c r="Q2852" s="224"/>
      <c r="S2852" s="202"/>
      <c r="T2852"/>
    </row>
    <row r="2853" spans="15:20">
      <c r="O2853" s="247"/>
      <c r="P2853"/>
      <c r="Q2853" s="224"/>
      <c r="S2853" s="202"/>
      <c r="T2853"/>
    </row>
    <row r="2854" spans="15:20">
      <c r="O2854" s="247"/>
      <c r="P2854"/>
      <c r="Q2854" s="224"/>
      <c r="S2854" s="202"/>
      <c r="T2854"/>
    </row>
    <row r="2855" spans="15:20">
      <c r="O2855" s="247"/>
      <c r="P2855"/>
      <c r="Q2855" s="224"/>
      <c r="S2855" s="202"/>
      <c r="T2855"/>
    </row>
    <row r="2856" spans="15:20">
      <c r="O2856" s="247"/>
      <c r="P2856"/>
      <c r="Q2856" s="224"/>
      <c r="S2856" s="202"/>
      <c r="T2856"/>
    </row>
    <row r="2857" spans="15:20">
      <c r="O2857" s="247"/>
      <c r="P2857"/>
      <c r="Q2857" s="224"/>
      <c r="S2857" s="202"/>
      <c r="T2857"/>
    </row>
    <row r="2858" spans="15:20">
      <c r="O2858" s="247"/>
      <c r="P2858"/>
      <c r="Q2858" s="224"/>
      <c r="S2858" s="202"/>
      <c r="T2858"/>
    </row>
    <row r="2859" spans="15:20">
      <c r="O2859" s="247"/>
      <c r="P2859"/>
      <c r="Q2859" s="224"/>
      <c r="S2859" s="202"/>
      <c r="T2859"/>
    </row>
    <row r="2860" spans="15:20">
      <c r="O2860" s="247"/>
      <c r="P2860"/>
      <c r="Q2860" s="224"/>
      <c r="S2860" s="202"/>
      <c r="T2860"/>
    </row>
    <row r="2861" spans="15:20">
      <c r="O2861" s="247"/>
      <c r="P2861"/>
      <c r="Q2861" s="224"/>
      <c r="S2861" s="202"/>
      <c r="T2861"/>
    </row>
    <row r="2862" spans="15:20">
      <c r="O2862" s="247"/>
      <c r="P2862"/>
      <c r="Q2862" s="224"/>
      <c r="S2862" s="202"/>
      <c r="T2862"/>
    </row>
    <row r="2863" spans="15:20">
      <c r="O2863" s="247"/>
      <c r="P2863"/>
      <c r="Q2863" s="224"/>
      <c r="S2863" s="202"/>
      <c r="T2863"/>
    </row>
    <row r="2864" spans="15:20">
      <c r="O2864" s="247"/>
      <c r="P2864"/>
      <c r="Q2864" s="224"/>
      <c r="S2864" s="202"/>
      <c r="T2864"/>
    </row>
    <row r="2865" spans="15:20">
      <c r="O2865" s="247"/>
      <c r="P2865"/>
      <c r="Q2865" s="224"/>
      <c r="S2865" s="202"/>
      <c r="T2865"/>
    </row>
    <row r="2866" spans="15:20">
      <c r="O2866" s="247"/>
      <c r="P2866"/>
      <c r="Q2866" s="224"/>
      <c r="S2866" s="202"/>
      <c r="T2866"/>
    </row>
    <row r="2867" spans="15:20">
      <c r="O2867" s="247"/>
      <c r="P2867"/>
      <c r="Q2867" s="224"/>
      <c r="S2867" s="202"/>
      <c r="T2867"/>
    </row>
    <row r="2868" spans="15:20">
      <c r="O2868" s="247"/>
      <c r="P2868"/>
      <c r="Q2868" s="224"/>
      <c r="S2868" s="202"/>
      <c r="T2868"/>
    </row>
    <row r="2869" spans="15:20">
      <c r="O2869" s="247"/>
      <c r="P2869"/>
      <c r="Q2869" s="224"/>
      <c r="S2869" s="202"/>
      <c r="T2869"/>
    </row>
    <row r="2870" spans="15:20">
      <c r="O2870" s="247"/>
      <c r="P2870"/>
      <c r="Q2870" s="224"/>
      <c r="S2870" s="202"/>
      <c r="T2870"/>
    </row>
    <row r="2871" spans="15:20">
      <c r="O2871" s="247"/>
      <c r="P2871"/>
      <c r="Q2871" s="224"/>
      <c r="S2871" s="202"/>
      <c r="T2871"/>
    </row>
    <row r="2872" spans="15:20">
      <c r="O2872" s="247"/>
      <c r="P2872"/>
      <c r="Q2872" s="224"/>
      <c r="S2872" s="202"/>
      <c r="T2872"/>
    </row>
    <row r="2873" spans="15:20">
      <c r="O2873" s="247"/>
      <c r="P2873"/>
      <c r="Q2873" s="224"/>
      <c r="S2873" s="202"/>
      <c r="T2873"/>
    </row>
    <row r="2874" spans="15:20">
      <c r="O2874" s="247"/>
      <c r="P2874"/>
      <c r="Q2874" s="224"/>
      <c r="S2874" s="202"/>
      <c r="T2874"/>
    </row>
    <row r="2875" spans="15:20">
      <c r="O2875" s="247"/>
      <c r="P2875"/>
      <c r="Q2875" s="224"/>
      <c r="S2875" s="202"/>
      <c r="T2875"/>
    </row>
    <row r="2876" spans="15:20">
      <c r="O2876" s="247"/>
      <c r="P2876"/>
      <c r="Q2876" s="224"/>
      <c r="S2876" s="202"/>
      <c r="T2876"/>
    </row>
    <row r="2877" spans="15:20">
      <c r="O2877" s="247"/>
      <c r="P2877"/>
      <c r="Q2877" s="224"/>
      <c r="S2877" s="202"/>
      <c r="T2877"/>
    </row>
    <row r="2878" spans="15:20">
      <c r="O2878" s="247"/>
      <c r="P2878"/>
      <c r="Q2878" s="224"/>
      <c r="S2878" s="202"/>
      <c r="T2878"/>
    </row>
    <row r="2879" spans="15:20">
      <c r="O2879" s="247"/>
      <c r="P2879"/>
      <c r="Q2879" s="224"/>
      <c r="S2879" s="202"/>
      <c r="T2879"/>
    </row>
    <row r="2880" spans="15:20">
      <c r="O2880" s="247"/>
      <c r="P2880"/>
      <c r="Q2880" s="224"/>
      <c r="S2880" s="202"/>
      <c r="T2880"/>
    </row>
    <row r="2881" spans="15:20">
      <c r="O2881" s="247"/>
      <c r="P2881"/>
      <c r="Q2881" s="224"/>
      <c r="S2881" s="202"/>
      <c r="T2881"/>
    </row>
    <row r="2882" spans="15:20">
      <c r="O2882" s="247"/>
      <c r="P2882"/>
      <c r="Q2882" s="224"/>
      <c r="S2882" s="202"/>
      <c r="T2882"/>
    </row>
    <row r="2883" spans="15:20">
      <c r="O2883" s="247"/>
      <c r="P2883"/>
      <c r="Q2883" s="224"/>
      <c r="S2883" s="202"/>
      <c r="T2883"/>
    </row>
    <row r="2884" spans="15:20">
      <c r="O2884" s="247"/>
      <c r="P2884"/>
      <c r="Q2884" s="224"/>
      <c r="S2884" s="202"/>
      <c r="T2884"/>
    </row>
    <row r="2885" spans="15:20">
      <c r="O2885" s="247"/>
      <c r="P2885"/>
      <c r="Q2885" s="224"/>
      <c r="S2885" s="202"/>
      <c r="T2885"/>
    </row>
    <row r="2886" spans="15:20">
      <c r="O2886" s="247"/>
      <c r="P2886"/>
      <c r="Q2886" s="224"/>
      <c r="S2886" s="202"/>
      <c r="T2886"/>
    </row>
    <row r="2887" spans="15:20">
      <c r="O2887" s="247"/>
      <c r="P2887"/>
      <c r="Q2887" s="224"/>
      <c r="S2887" s="202"/>
      <c r="T2887"/>
    </row>
    <row r="2888" spans="15:20">
      <c r="O2888" s="247"/>
      <c r="P2888"/>
      <c r="Q2888" s="224"/>
      <c r="S2888" s="202"/>
      <c r="T2888"/>
    </row>
    <row r="2889" spans="15:20">
      <c r="O2889" s="247"/>
      <c r="P2889"/>
      <c r="Q2889" s="224"/>
      <c r="S2889" s="202"/>
      <c r="T2889"/>
    </row>
    <row r="2890" spans="15:20">
      <c r="O2890" s="247"/>
      <c r="P2890"/>
      <c r="Q2890" s="224"/>
      <c r="S2890" s="202"/>
      <c r="T2890"/>
    </row>
    <row r="2891" spans="15:20">
      <c r="O2891" s="247"/>
      <c r="P2891"/>
      <c r="Q2891" s="224"/>
      <c r="S2891" s="202"/>
      <c r="T2891"/>
    </row>
    <row r="2892" spans="15:20">
      <c r="O2892" s="247"/>
      <c r="P2892"/>
      <c r="Q2892" s="224"/>
      <c r="S2892" s="202"/>
      <c r="T2892"/>
    </row>
    <row r="2893" spans="15:20">
      <c r="O2893" s="247"/>
      <c r="P2893"/>
      <c r="Q2893" s="224"/>
      <c r="S2893" s="202"/>
      <c r="T2893"/>
    </row>
    <row r="2894" spans="15:20">
      <c r="O2894" s="247"/>
      <c r="P2894"/>
      <c r="Q2894" s="224"/>
      <c r="S2894" s="202"/>
      <c r="T2894"/>
    </row>
    <row r="2895" spans="15:20">
      <c r="O2895" s="247"/>
      <c r="P2895"/>
      <c r="Q2895" s="224"/>
      <c r="S2895" s="202"/>
      <c r="T2895"/>
    </row>
    <row r="2896" spans="15:20">
      <c r="O2896" s="247"/>
      <c r="P2896"/>
      <c r="Q2896" s="224"/>
      <c r="S2896" s="202"/>
      <c r="T2896"/>
    </row>
    <row r="2897" spans="15:20">
      <c r="O2897" s="247"/>
      <c r="P2897"/>
      <c r="Q2897" s="224"/>
      <c r="S2897" s="202"/>
      <c r="T2897"/>
    </row>
    <row r="2898" spans="15:20">
      <c r="O2898" s="247"/>
      <c r="P2898"/>
      <c r="Q2898" s="224"/>
      <c r="S2898" s="202"/>
      <c r="T2898"/>
    </row>
    <row r="2899" spans="15:20">
      <c r="O2899" s="247"/>
      <c r="P2899"/>
      <c r="Q2899" s="224"/>
      <c r="S2899" s="202"/>
      <c r="T2899"/>
    </row>
    <row r="2900" spans="15:20">
      <c r="O2900" s="247"/>
      <c r="P2900"/>
      <c r="Q2900" s="224"/>
      <c r="S2900" s="202"/>
      <c r="T2900"/>
    </row>
    <row r="2901" spans="15:20">
      <c r="O2901" s="247"/>
      <c r="P2901"/>
      <c r="Q2901" s="224"/>
      <c r="S2901" s="202"/>
      <c r="T2901"/>
    </row>
    <row r="2902" spans="15:20">
      <c r="O2902" s="247"/>
      <c r="P2902"/>
      <c r="Q2902" s="224"/>
      <c r="S2902" s="202"/>
      <c r="T2902"/>
    </row>
    <row r="2903" spans="15:20">
      <c r="O2903" s="247"/>
      <c r="P2903"/>
      <c r="Q2903" s="224"/>
      <c r="S2903" s="202"/>
      <c r="T2903"/>
    </row>
    <row r="2904" spans="15:20">
      <c r="O2904" s="247"/>
      <c r="P2904"/>
      <c r="Q2904" s="224"/>
      <c r="S2904" s="202"/>
      <c r="T2904"/>
    </row>
    <row r="2905" spans="15:20">
      <c r="O2905" s="247"/>
      <c r="P2905"/>
      <c r="Q2905" s="224"/>
      <c r="S2905" s="202"/>
      <c r="T2905"/>
    </row>
    <row r="2906" spans="15:20">
      <c r="O2906" s="247"/>
      <c r="P2906"/>
      <c r="Q2906" s="224"/>
      <c r="S2906" s="202"/>
      <c r="T2906"/>
    </row>
    <row r="2907" spans="15:20">
      <c r="O2907" s="247"/>
      <c r="P2907"/>
      <c r="Q2907" s="224"/>
      <c r="S2907" s="202"/>
      <c r="T2907"/>
    </row>
    <row r="2908" spans="15:20">
      <c r="O2908" s="247"/>
      <c r="P2908"/>
      <c r="Q2908" s="224"/>
      <c r="S2908" s="202"/>
      <c r="T2908"/>
    </row>
    <row r="2909" spans="15:20">
      <c r="O2909" s="247"/>
      <c r="P2909"/>
      <c r="Q2909" s="224"/>
      <c r="S2909" s="202"/>
      <c r="T2909"/>
    </row>
    <row r="2910" spans="15:20">
      <c r="O2910" s="247"/>
      <c r="P2910"/>
      <c r="Q2910" s="224"/>
      <c r="S2910" s="202"/>
      <c r="T2910"/>
    </row>
    <row r="2911" spans="15:20">
      <c r="O2911" s="247"/>
      <c r="P2911"/>
      <c r="Q2911" s="224"/>
      <c r="S2911" s="202"/>
      <c r="T2911"/>
    </row>
    <row r="2912" spans="15:20">
      <c r="O2912" s="247"/>
      <c r="P2912"/>
      <c r="Q2912" s="224"/>
      <c r="S2912" s="202"/>
      <c r="T2912"/>
    </row>
    <row r="2913" spans="15:20">
      <c r="O2913" s="247"/>
      <c r="P2913"/>
      <c r="Q2913" s="224"/>
      <c r="S2913" s="202"/>
      <c r="T2913"/>
    </row>
    <row r="2914" spans="15:20">
      <c r="O2914" s="247"/>
      <c r="P2914"/>
      <c r="Q2914" s="224"/>
      <c r="S2914" s="202"/>
      <c r="T2914"/>
    </row>
    <row r="2915" spans="15:20">
      <c r="O2915" s="247"/>
      <c r="P2915"/>
      <c r="Q2915" s="224"/>
      <c r="S2915" s="202"/>
      <c r="T2915"/>
    </row>
    <row r="2916" spans="15:20">
      <c r="O2916" s="247"/>
      <c r="P2916"/>
      <c r="Q2916" s="224"/>
      <c r="S2916" s="202"/>
      <c r="T2916"/>
    </row>
    <row r="2917" spans="15:20">
      <c r="O2917" s="247"/>
      <c r="P2917"/>
      <c r="Q2917" s="224"/>
      <c r="S2917" s="202"/>
      <c r="T2917"/>
    </row>
    <row r="2918" spans="15:20">
      <c r="O2918" s="247"/>
      <c r="P2918"/>
      <c r="Q2918" s="224"/>
      <c r="S2918" s="202"/>
      <c r="T2918"/>
    </row>
    <row r="2919" spans="15:20">
      <c r="O2919" s="247"/>
      <c r="P2919"/>
      <c r="Q2919" s="224"/>
      <c r="S2919" s="202"/>
      <c r="T2919"/>
    </row>
    <row r="2920" spans="15:20">
      <c r="O2920" s="247"/>
      <c r="P2920"/>
      <c r="Q2920" s="224"/>
      <c r="S2920" s="202"/>
      <c r="T2920"/>
    </row>
    <row r="2921" spans="15:20">
      <c r="O2921" s="247"/>
      <c r="P2921"/>
      <c r="Q2921" s="224"/>
      <c r="S2921" s="202"/>
      <c r="T2921"/>
    </row>
    <row r="2922" spans="15:20">
      <c r="O2922" s="247"/>
      <c r="P2922"/>
      <c r="Q2922" s="224"/>
      <c r="S2922" s="202"/>
      <c r="T2922"/>
    </row>
    <row r="2923" spans="15:20">
      <c r="O2923" s="247"/>
      <c r="P2923"/>
      <c r="Q2923" s="224"/>
      <c r="S2923" s="202"/>
      <c r="T2923"/>
    </row>
    <row r="2924" spans="15:20">
      <c r="O2924" s="247"/>
      <c r="P2924"/>
      <c r="Q2924" s="224"/>
      <c r="S2924" s="202"/>
      <c r="T2924"/>
    </row>
    <row r="2925" spans="15:20">
      <c r="O2925" s="247"/>
      <c r="P2925"/>
      <c r="Q2925" s="224"/>
      <c r="S2925" s="202"/>
      <c r="T2925"/>
    </row>
    <row r="2926" spans="15:20">
      <c r="O2926" s="247"/>
      <c r="P2926"/>
      <c r="Q2926" s="224"/>
      <c r="S2926" s="202"/>
      <c r="T2926"/>
    </row>
    <row r="2927" spans="15:20">
      <c r="O2927" s="247"/>
      <c r="P2927"/>
      <c r="Q2927" s="224"/>
      <c r="S2927" s="202"/>
      <c r="T2927"/>
    </row>
    <row r="2928" spans="15:20">
      <c r="O2928" s="247"/>
      <c r="P2928"/>
      <c r="Q2928" s="224"/>
      <c r="S2928" s="202"/>
      <c r="T2928"/>
    </row>
    <row r="2929" spans="15:20">
      <c r="O2929" s="247"/>
      <c r="P2929"/>
      <c r="Q2929" s="224"/>
      <c r="S2929" s="202"/>
      <c r="T2929"/>
    </row>
    <row r="2930" spans="15:20">
      <c r="O2930" s="247"/>
      <c r="P2930"/>
      <c r="Q2930" s="224"/>
      <c r="S2930" s="202"/>
      <c r="T2930"/>
    </row>
    <row r="2931" spans="15:20">
      <c r="O2931" s="247"/>
      <c r="P2931"/>
      <c r="Q2931" s="224"/>
      <c r="S2931" s="202"/>
      <c r="T2931"/>
    </row>
    <row r="2932" spans="15:20">
      <c r="O2932" s="247"/>
      <c r="P2932"/>
      <c r="Q2932" s="224"/>
      <c r="S2932" s="202"/>
      <c r="T2932"/>
    </row>
    <row r="2933" spans="15:20">
      <c r="O2933" s="247"/>
      <c r="P2933"/>
      <c r="Q2933" s="224"/>
      <c r="S2933" s="202"/>
      <c r="T2933"/>
    </row>
    <row r="2934" spans="15:20">
      <c r="O2934" s="247"/>
      <c r="P2934"/>
      <c r="Q2934" s="224"/>
      <c r="S2934" s="202"/>
      <c r="T2934"/>
    </row>
    <row r="2935" spans="15:20">
      <c r="O2935" s="247"/>
      <c r="P2935"/>
      <c r="Q2935" s="224"/>
      <c r="S2935" s="202"/>
      <c r="T2935"/>
    </row>
    <row r="2936" spans="15:20">
      <c r="O2936" s="247"/>
      <c r="P2936"/>
      <c r="Q2936" s="224"/>
      <c r="S2936" s="202"/>
      <c r="T2936"/>
    </row>
    <row r="2937" spans="15:20">
      <c r="O2937" s="247"/>
      <c r="P2937"/>
      <c r="Q2937" s="224"/>
      <c r="S2937" s="202"/>
      <c r="T2937"/>
    </row>
    <row r="2938" spans="15:20">
      <c r="O2938" s="247"/>
      <c r="P2938"/>
      <c r="Q2938" s="224"/>
      <c r="S2938" s="202"/>
      <c r="T2938"/>
    </row>
    <row r="2939" spans="15:20">
      <c r="O2939" s="247"/>
      <c r="P2939"/>
      <c r="Q2939" s="224"/>
      <c r="S2939" s="202"/>
      <c r="T2939"/>
    </row>
    <row r="2940" spans="15:20">
      <c r="O2940" s="247"/>
      <c r="P2940"/>
      <c r="Q2940" s="224"/>
      <c r="S2940" s="202"/>
      <c r="T2940"/>
    </row>
    <row r="2941" spans="15:20">
      <c r="O2941" s="247"/>
      <c r="P2941"/>
      <c r="Q2941" s="224"/>
      <c r="S2941" s="202"/>
      <c r="T2941"/>
    </row>
    <row r="2942" spans="15:20">
      <c r="O2942" s="247"/>
      <c r="P2942"/>
      <c r="Q2942" s="224"/>
      <c r="S2942" s="202"/>
      <c r="T2942"/>
    </row>
    <row r="2943" spans="15:20">
      <c r="O2943" s="247"/>
      <c r="P2943"/>
      <c r="Q2943" s="224"/>
      <c r="S2943" s="202"/>
      <c r="T2943"/>
    </row>
    <row r="2944" spans="15:20">
      <c r="O2944" s="247"/>
      <c r="P2944"/>
      <c r="Q2944" s="224"/>
      <c r="S2944" s="202"/>
      <c r="T2944"/>
    </row>
    <row r="2945" spans="15:20">
      <c r="O2945" s="247"/>
      <c r="P2945"/>
      <c r="Q2945" s="224"/>
      <c r="S2945" s="202"/>
      <c r="T2945"/>
    </row>
    <row r="2946" spans="15:20">
      <c r="O2946" s="247"/>
      <c r="P2946"/>
      <c r="Q2946" s="224"/>
      <c r="S2946" s="202"/>
      <c r="T2946"/>
    </row>
    <row r="2947" spans="15:20">
      <c r="O2947" s="247"/>
      <c r="P2947"/>
      <c r="Q2947" s="224"/>
      <c r="S2947" s="202"/>
      <c r="T2947"/>
    </row>
    <row r="2948" spans="15:20">
      <c r="O2948" s="247"/>
      <c r="P2948"/>
      <c r="Q2948" s="224"/>
      <c r="S2948" s="202"/>
      <c r="T2948"/>
    </row>
    <row r="2949" spans="15:20">
      <c r="O2949" s="247"/>
      <c r="P2949"/>
      <c r="Q2949" s="224"/>
      <c r="S2949" s="202"/>
      <c r="T2949"/>
    </row>
    <row r="2950" spans="15:20">
      <c r="O2950" s="247"/>
      <c r="P2950"/>
      <c r="Q2950" s="224"/>
      <c r="S2950" s="202"/>
      <c r="T2950"/>
    </row>
    <row r="2951" spans="15:20">
      <c r="O2951" s="247"/>
      <c r="P2951"/>
      <c r="Q2951" s="224"/>
      <c r="S2951" s="202"/>
      <c r="T2951"/>
    </row>
    <row r="2952" spans="15:20">
      <c r="O2952" s="247"/>
      <c r="P2952"/>
      <c r="Q2952" s="224"/>
      <c r="S2952" s="202"/>
      <c r="T2952"/>
    </row>
    <row r="2953" spans="15:20">
      <c r="O2953" s="247"/>
      <c r="P2953"/>
      <c r="Q2953" s="224"/>
      <c r="S2953" s="202"/>
      <c r="T2953"/>
    </row>
    <row r="2954" spans="15:20">
      <c r="O2954" s="247"/>
      <c r="P2954"/>
      <c r="Q2954" s="224"/>
      <c r="S2954" s="202"/>
      <c r="T2954"/>
    </row>
    <row r="2955" spans="15:20">
      <c r="O2955" s="247"/>
      <c r="P2955"/>
      <c r="Q2955" s="224"/>
      <c r="S2955" s="202"/>
      <c r="T2955"/>
    </row>
    <row r="2956" spans="15:20">
      <c r="O2956" s="247"/>
      <c r="P2956"/>
      <c r="Q2956" s="224"/>
      <c r="S2956" s="202"/>
      <c r="T2956"/>
    </row>
    <row r="2957" spans="15:20">
      <c r="O2957" s="247"/>
      <c r="P2957"/>
      <c r="Q2957" s="224"/>
      <c r="S2957" s="202"/>
      <c r="T2957"/>
    </row>
    <row r="2958" spans="15:20">
      <c r="O2958" s="247"/>
      <c r="P2958"/>
      <c r="Q2958" s="224"/>
      <c r="S2958" s="202"/>
      <c r="T2958"/>
    </row>
    <row r="2959" spans="15:20">
      <c r="O2959" s="247"/>
      <c r="P2959"/>
      <c r="Q2959" s="224"/>
      <c r="S2959" s="202"/>
      <c r="T2959"/>
    </row>
    <row r="2960" spans="15:20">
      <c r="O2960" s="247"/>
      <c r="P2960"/>
      <c r="Q2960" s="224"/>
      <c r="S2960" s="202"/>
      <c r="T2960"/>
    </row>
    <row r="2961" spans="15:20">
      <c r="O2961" s="247"/>
      <c r="P2961"/>
      <c r="Q2961" s="224"/>
      <c r="S2961" s="202"/>
      <c r="T2961"/>
    </row>
    <row r="2962" spans="15:20">
      <c r="O2962" s="247"/>
      <c r="P2962"/>
      <c r="Q2962" s="224"/>
      <c r="S2962" s="202"/>
      <c r="T2962"/>
    </row>
    <row r="2963" spans="15:20">
      <c r="O2963" s="247"/>
      <c r="P2963"/>
      <c r="Q2963" s="224"/>
      <c r="S2963" s="202"/>
      <c r="T2963"/>
    </row>
    <row r="2964" spans="15:20">
      <c r="O2964" s="247"/>
      <c r="P2964"/>
      <c r="Q2964" s="224"/>
      <c r="S2964" s="202"/>
      <c r="T2964"/>
    </row>
    <row r="2965" spans="15:20">
      <c r="O2965" s="247"/>
      <c r="P2965"/>
      <c r="Q2965" s="224"/>
      <c r="S2965" s="202"/>
      <c r="T2965"/>
    </row>
    <row r="2966" spans="15:20">
      <c r="O2966" s="247"/>
      <c r="P2966"/>
      <c r="Q2966" s="224"/>
      <c r="S2966" s="202"/>
      <c r="T2966"/>
    </row>
    <row r="2967" spans="15:20">
      <c r="O2967" s="247"/>
      <c r="P2967"/>
      <c r="Q2967" s="224"/>
      <c r="S2967" s="202"/>
      <c r="T2967"/>
    </row>
    <row r="2968" spans="15:20">
      <c r="O2968" s="247"/>
      <c r="P2968"/>
      <c r="Q2968" s="224"/>
      <c r="S2968" s="202"/>
      <c r="T2968"/>
    </row>
    <row r="2969" spans="15:20">
      <c r="O2969" s="247"/>
      <c r="P2969"/>
      <c r="Q2969" s="224"/>
      <c r="S2969" s="202"/>
      <c r="T2969"/>
    </row>
    <row r="2970" spans="15:20">
      <c r="O2970" s="247"/>
      <c r="P2970"/>
      <c r="Q2970" s="224"/>
      <c r="S2970" s="202"/>
      <c r="T2970"/>
    </row>
    <row r="2971" spans="15:20">
      <c r="O2971" s="247"/>
      <c r="P2971"/>
      <c r="Q2971" s="224"/>
      <c r="S2971" s="202"/>
      <c r="T2971"/>
    </row>
    <row r="2972" spans="15:20">
      <c r="O2972" s="247"/>
      <c r="P2972"/>
      <c r="Q2972" s="224"/>
      <c r="S2972" s="202"/>
      <c r="T2972"/>
    </row>
    <row r="2973" spans="15:20">
      <c r="O2973" s="247"/>
      <c r="P2973"/>
      <c r="Q2973" s="224"/>
      <c r="S2973" s="202"/>
      <c r="T2973"/>
    </row>
    <row r="2974" spans="15:20">
      <c r="O2974" s="247"/>
      <c r="P2974"/>
      <c r="Q2974" s="224"/>
      <c r="S2974" s="202"/>
      <c r="T2974"/>
    </row>
    <row r="2975" spans="15:20">
      <c r="O2975" s="247"/>
      <c r="P2975"/>
      <c r="Q2975" s="224"/>
      <c r="S2975" s="202"/>
      <c r="T2975"/>
    </row>
    <row r="2976" spans="15:20">
      <c r="O2976" s="247"/>
      <c r="P2976"/>
      <c r="Q2976" s="224"/>
      <c r="S2976" s="202"/>
      <c r="T2976"/>
    </row>
    <row r="2977" spans="15:20">
      <c r="O2977" s="247"/>
      <c r="P2977"/>
      <c r="Q2977" s="224"/>
      <c r="S2977" s="202"/>
      <c r="T2977"/>
    </row>
    <row r="2978" spans="15:20">
      <c r="O2978" s="247"/>
      <c r="P2978"/>
      <c r="Q2978" s="224"/>
      <c r="S2978" s="202"/>
      <c r="T2978"/>
    </row>
    <row r="2979" spans="15:20">
      <c r="O2979" s="247"/>
      <c r="P2979"/>
      <c r="Q2979" s="224"/>
      <c r="S2979" s="202"/>
      <c r="T2979"/>
    </row>
    <row r="2980" spans="15:20">
      <c r="O2980" s="247"/>
      <c r="P2980"/>
      <c r="Q2980" s="224"/>
      <c r="S2980" s="202"/>
      <c r="T2980"/>
    </row>
    <row r="2981" spans="15:20">
      <c r="O2981" s="247"/>
      <c r="P2981"/>
      <c r="Q2981" s="224"/>
      <c r="S2981" s="202"/>
      <c r="T2981"/>
    </row>
    <row r="2982" spans="15:20">
      <c r="O2982" s="247"/>
      <c r="P2982"/>
      <c r="Q2982" s="224"/>
      <c r="S2982" s="202"/>
      <c r="T2982"/>
    </row>
    <row r="2983" spans="15:20">
      <c r="O2983" s="247"/>
      <c r="P2983"/>
      <c r="Q2983" s="224"/>
      <c r="S2983" s="202"/>
      <c r="T2983"/>
    </row>
    <row r="2984" spans="15:20">
      <c r="O2984" s="247"/>
      <c r="P2984"/>
      <c r="Q2984" s="224"/>
      <c r="S2984" s="202"/>
      <c r="T2984"/>
    </row>
    <row r="2985" spans="15:20">
      <c r="O2985" s="247"/>
      <c r="P2985"/>
      <c r="Q2985" s="224"/>
      <c r="S2985" s="202"/>
      <c r="T2985"/>
    </row>
    <row r="2986" spans="15:20">
      <c r="O2986" s="247"/>
      <c r="P2986"/>
      <c r="Q2986" s="224"/>
      <c r="S2986" s="202"/>
      <c r="T2986"/>
    </row>
    <row r="2987" spans="15:20">
      <c r="O2987" s="247"/>
      <c r="P2987"/>
      <c r="Q2987" s="224"/>
      <c r="S2987" s="202"/>
      <c r="T2987"/>
    </row>
    <row r="2988" spans="15:20">
      <c r="O2988" s="247"/>
      <c r="P2988"/>
      <c r="Q2988" s="224"/>
      <c r="S2988" s="202"/>
      <c r="T2988"/>
    </row>
    <row r="2989" spans="15:20">
      <c r="O2989" s="247"/>
      <c r="P2989"/>
      <c r="Q2989" s="224"/>
      <c r="S2989" s="202"/>
      <c r="T2989"/>
    </row>
    <row r="2990" spans="15:20">
      <c r="O2990" s="247"/>
      <c r="P2990"/>
      <c r="Q2990" s="224"/>
      <c r="S2990" s="202"/>
      <c r="T2990"/>
    </row>
    <row r="2991" spans="15:20">
      <c r="O2991" s="247"/>
      <c r="P2991"/>
      <c r="Q2991" s="224"/>
      <c r="S2991" s="202"/>
      <c r="T2991"/>
    </row>
    <row r="2992" spans="15:20">
      <c r="O2992" s="247"/>
      <c r="P2992"/>
      <c r="Q2992" s="224"/>
      <c r="S2992" s="202"/>
      <c r="T2992"/>
    </row>
    <row r="2993" spans="15:20">
      <c r="O2993" s="247"/>
      <c r="P2993"/>
      <c r="Q2993" s="224"/>
      <c r="S2993" s="202"/>
      <c r="T2993"/>
    </row>
    <row r="2994" spans="15:20">
      <c r="O2994" s="247"/>
      <c r="P2994"/>
      <c r="Q2994" s="224"/>
      <c r="S2994" s="202"/>
      <c r="T2994"/>
    </row>
    <row r="2995" spans="15:20">
      <c r="O2995" s="247"/>
      <c r="P2995"/>
      <c r="Q2995" s="224"/>
      <c r="S2995" s="202"/>
      <c r="T2995"/>
    </row>
    <row r="2996" spans="15:20">
      <c r="O2996" s="247"/>
      <c r="P2996"/>
      <c r="Q2996" s="224"/>
      <c r="S2996" s="202"/>
      <c r="T2996"/>
    </row>
    <row r="2997" spans="15:20">
      <c r="O2997" s="247"/>
      <c r="P2997"/>
      <c r="Q2997" s="224"/>
      <c r="S2997" s="202"/>
      <c r="T2997"/>
    </row>
    <row r="2998" spans="15:20">
      <c r="O2998" s="247"/>
      <c r="P2998"/>
      <c r="Q2998" s="224"/>
      <c r="S2998" s="202"/>
      <c r="T2998"/>
    </row>
    <row r="2999" spans="15:20">
      <c r="O2999" s="247"/>
      <c r="P2999"/>
      <c r="Q2999" s="224"/>
      <c r="S2999" s="202"/>
      <c r="T2999"/>
    </row>
    <row r="3000" spans="15:20">
      <c r="O3000" s="247"/>
      <c r="P3000"/>
      <c r="Q3000" s="224"/>
      <c r="S3000" s="202"/>
      <c r="T3000"/>
    </row>
    <row r="3001" spans="15:20">
      <c r="O3001" s="247"/>
      <c r="P3001"/>
      <c r="Q3001" s="224"/>
      <c r="S3001" s="202"/>
      <c r="T3001"/>
    </row>
    <row r="3002" spans="15:20">
      <c r="O3002" s="247"/>
      <c r="P3002"/>
      <c r="Q3002" s="224"/>
      <c r="S3002" s="202"/>
      <c r="T3002"/>
    </row>
    <row r="3003" spans="15:20">
      <c r="O3003" s="247"/>
      <c r="P3003"/>
      <c r="Q3003" s="224"/>
      <c r="S3003" s="202"/>
      <c r="T3003"/>
    </row>
    <row r="3004" spans="15:20">
      <c r="O3004" s="247"/>
      <c r="P3004"/>
      <c r="Q3004" s="224"/>
      <c r="S3004" s="202"/>
      <c r="T3004"/>
    </row>
    <row r="3005" spans="15:20">
      <c r="O3005" s="247"/>
      <c r="P3005"/>
      <c r="Q3005" s="224"/>
      <c r="S3005" s="202"/>
      <c r="T3005"/>
    </row>
    <row r="3006" spans="15:20">
      <c r="O3006" s="247"/>
      <c r="P3006"/>
      <c r="Q3006" s="224"/>
      <c r="S3006" s="202"/>
      <c r="T3006"/>
    </row>
    <row r="3007" spans="15:20">
      <c r="O3007" s="247"/>
      <c r="P3007"/>
      <c r="Q3007" s="224"/>
      <c r="S3007" s="202"/>
      <c r="T3007"/>
    </row>
    <row r="3008" spans="15:20">
      <c r="O3008" s="247"/>
      <c r="P3008"/>
      <c r="Q3008" s="224"/>
      <c r="S3008" s="202"/>
      <c r="T3008"/>
    </row>
    <row r="3009" spans="15:20">
      <c r="O3009" s="247"/>
      <c r="P3009"/>
      <c r="Q3009" s="224"/>
      <c r="S3009" s="202"/>
      <c r="T3009"/>
    </row>
    <row r="3010" spans="15:20">
      <c r="O3010" s="247"/>
      <c r="P3010"/>
      <c r="Q3010" s="224"/>
      <c r="S3010" s="202"/>
      <c r="T3010"/>
    </row>
    <row r="3011" spans="15:20">
      <c r="O3011" s="247"/>
      <c r="P3011"/>
      <c r="Q3011" s="224"/>
      <c r="S3011" s="202"/>
      <c r="T3011"/>
    </row>
    <row r="3012" spans="15:20">
      <c r="O3012" s="247"/>
      <c r="P3012"/>
      <c r="Q3012" s="224"/>
      <c r="S3012" s="202"/>
      <c r="T3012"/>
    </row>
    <row r="3013" spans="15:20">
      <c r="O3013" s="247"/>
      <c r="P3013"/>
      <c r="Q3013" s="224"/>
      <c r="S3013" s="202"/>
      <c r="T3013"/>
    </row>
    <row r="3014" spans="15:20">
      <c r="O3014" s="247"/>
      <c r="P3014"/>
      <c r="Q3014" s="224"/>
      <c r="S3014" s="202"/>
      <c r="T3014"/>
    </row>
    <row r="3015" spans="15:20">
      <c r="O3015" s="247"/>
      <c r="P3015"/>
      <c r="Q3015" s="224"/>
      <c r="S3015" s="202"/>
      <c r="T3015"/>
    </row>
    <row r="3016" spans="15:20">
      <c r="O3016" s="247"/>
      <c r="P3016"/>
      <c r="Q3016" s="224"/>
      <c r="S3016" s="202"/>
      <c r="T3016"/>
    </row>
    <row r="3017" spans="15:20">
      <c r="O3017" s="247"/>
      <c r="P3017"/>
      <c r="Q3017" s="224"/>
      <c r="S3017" s="202"/>
      <c r="T3017"/>
    </row>
    <row r="3018" spans="15:20">
      <c r="O3018" s="247"/>
      <c r="P3018"/>
      <c r="Q3018" s="224"/>
      <c r="S3018" s="202"/>
      <c r="T3018"/>
    </row>
    <row r="3019" spans="15:20">
      <c r="O3019" s="247"/>
      <c r="P3019"/>
      <c r="Q3019" s="224"/>
      <c r="S3019" s="202"/>
      <c r="T3019"/>
    </row>
    <row r="3020" spans="15:20">
      <c r="O3020" s="247"/>
      <c r="P3020"/>
      <c r="Q3020" s="224"/>
      <c r="S3020" s="202"/>
      <c r="T3020"/>
    </row>
    <row r="3021" spans="15:20">
      <c r="O3021" s="247"/>
      <c r="P3021"/>
      <c r="Q3021" s="224"/>
      <c r="S3021" s="202"/>
      <c r="T3021"/>
    </row>
    <row r="3022" spans="15:20">
      <c r="O3022" s="247"/>
      <c r="P3022"/>
      <c r="Q3022" s="224"/>
      <c r="S3022" s="202"/>
      <c r="T3022"/>
    </row>
    <row r="3023" spans="15:20">
      <c r="O3023" s="247"/>
      <c r="P3023"/>
      <c r="Q3023" s="224"/>
      <c r="S3023" s="202"/>
      <c r="T3023"/>
    </row>
    <row r="3024" spans="15:20">
      <c r="O3024" s="247"/>
      <c r="P3024"/>
      <c r="Q3024" s="224"/>
      <c r="S3024" s="202"/>
      <c r="T3024"/>
    </row>
    <row r="3025" spans="15:20">
      <c r="O3025" s="247"/>
      <c r="P3025"/>
      <c r="Q3025" s="224"/>
      <c r="S3025" s="202"/>
      <c r="T3025"/>
    </row>
    <row r="3026" spans="15:20">
      <c r="O3026" s="247"/>
      <c r="P3026"/>
      <c r="Q3026" s="224"/>
      <c r="S3026" s="202"/>
      <c r="T3026"/>
    </row>
    <row r="3027" spans="15:20">
      <c r="O3027" s="247"/>
      <c r="P3027"/>
      <c r="Q3027" s="224"/>
      <c r="S3027" s="202"/>
      <c r="T3027"/>
    </row>
    <row r="3028" spans="15:20">
      <c r="O3028" s="247"/>
      <c r="P3028"/>
      <c r="Q3028" s="224"/>
      <c r="S3028" s="202"/>
      <c r="T3028"/>
    </row>
    <row r="3029" spans="15:20">
      <c r="O3029" s="247"/>
      <c r="P3029"/>
      <c r="Q3029" s="224"/>
      <c r="S3029" s="202"/>
      <c r="T3029"/>
    </row>
    <row r="3030" spans="15:20">
      <c r="O3030" s="247"/>
      <c r="P3030"/>
      <c r="Q3030" s="224"/>
      <c r="S3030" s="202"/>
      <c r="T3030"/>
    </row>
    <row r="3031" spans="15:20">
      <c r="O3031" s="247"/>
      <c r="P3031"/>
      <c r="Q3031" s="224"/>
      <c r="S3031" s="202"/>
      <c r="T3031"/>
    </row>
    <row r="3032" spans="15:20">
      <c r="O3032" s="247"/>
      <c r="P3032"/>
      <c r="Q3032" s="224"/>
      <c r="S3032" s="202"/>
      <c r="T3032"/>
    </row>
    <row r="3033" spans="15:20">
      <c r="O3033" s="247"/>
      <c r="P3033"/>
      <c r="Q3033" s="224"/>
      <c r="S3033" s="202"/>
      <c r="T3033"/>
    </row>
    <row r="3034" spans="15:20">
      <c r="O3034" s="247"/>
      <c r="P3034"/>
      <c r="Q3034" s="224"/>
      <c r="S3034" s="202"/>
      <c r="T3034"/>
    </row>
    <row r="3035" spans="15:20">
      <c r="O3035" s="247"/>
      <c r="P3035"/>
      <c r="Q3035" s="224"/>
      <c r="S3035" s="202"/>
      <c r="T3035"/>
    </row>
    <row r="3036" spans="15:20">
      <c r="O3036" s="247"/>
      <c r="P3036"/>
      <c r="Q3036" s="224"/>
      <c r="S3036" s="202"/>
      <c r="T3036"/>
    </row>
    <row r="3037" spans="15:20">
      <c r="O3037" s="247"/>
      <c r="P3037"/>
      <c r="Q3037" s="224"/>
      <c r="S3037" s="202"/>
      <c r="T3037"/>
    </row>
    <row r="3038" spans="15:20">
      <c r="O3038" s="247"/>
      <c r="P3038"/>
      <c r="Q3038" s="224"/>
      <c r="S3038" s="202"/>
      <c r="T3038"/>
    </row>
    <row r="3039" spans="15:20">
      <c r="O3039" s="247"/>
      <c r="P3039"/>
      <c r="Q3039" s="224"/>
      <c r="S3039" s="202"/>
      <c r="T3039"/>
    </row>
    <row r="3040" spans="15:20">
      <c r="O3040" s="247"/>
      <c r="P3040"/>
      <c r="Q3040" s="224"/>
      <c r="S3040" s="202"/>
      <c r="T3040"/>
    </row>
    <row r="3041" spans="15:20">
      <c r="O3041" s="247"/>
      <c r="P3041"/>
      <c r="Q3041" s="224"/>
      <c r="S3041" s="202"/>
      <c r="T3041"/>
    </row>
    <row r="3042" spans="15:20">
      <c r="O3042" s="247"/>
      <c r="P3042"/>
      <c r="Q3042" s="224"/>
      <c r="S3042" s="202"/>
      <c r="T3042"/>
    </row>
    <row r="3043" spans="15:20">
      <c r="O3043" s="247"/>
      <c r="P3043"/>
      <c r="Q3043" s="224"/>
      <c r="S3043" s="202"/>
      <c r="T3043"/>
    </row>
    <row r="3044" spans="15:20">
      <c r="O3044" s="247"/>
      <c r="P3044"/>
      <c r="Q3044" s="224"/>
      <c r="S3044" s="202"/>
      <c r="T3044"/>
    </row>
    <row r="3045" spans="15:20">
      <c r="O3045" s="247"/>
      <c r="P3045"/>
      <c r="Q3045" s="224"/>
      <c r="S3045" s="202"/>
      <c r="T3045"/>
    </row>
    <row r="3046" spans="15:20">
      <c r="O3046" s="247"/>
      <c r="P3046"/>
      <c r="Q3046" s="224"/>
      <c r="S3046" s="202"/>
      <c r="T3046"/>
    </row>
    <row r="3047" spans="15:20">
      <c r="O3047" s="247"/>
      <c r="P3047"/>
      <c r="Q3047" s="224"/>
      <c r="S3047" s="202"/>
      <c r="T3047"/>
    </row>
    <row r="3048" spans="15:20">
      <c r="O3048" s="247"/>
      <c r="P3048"/>
      <c r="Q3048" s="224"/>
      <c r="S3048" s="202"/>
      <c r="T3048"/>
    </row>
    <row r="3049" spans="15:20">
      <c r="O3049" s="247"/>
      <c r="P3049"/>
      <c r="Q3049" s="224"/>
      <c r="S3049" s="202"/>
      <c r="T3049"/>
    </row>
    <row r="3050" spans="15:20">
      <c r="O3050" s="247"/>
      <c r="P3050"/>
      <c r="Q3050" s="224"/>
      <c r="S3050" s="202"/>
      <c r="T3050"/>
    </row>
    <row r="3051" spans="15:20">
      <c r="O3051" s="247"/>
      <c r="P3051"/>
      <c r="Q3051" s="224"/>
      <c r="S3051" s="202"/>
      <c r="T3051"/>
    </row>
    <row r="3052" spans="15:20">
      <c r="O3052" s="247"/>
      <c r="P3052"/>
      <c r="Q3052" s="224"/>
      <c r="S3052" s="202"/>
      <c r="T3052"/>
    </row>
    <row r="3053" spans="15:20">
      <c r="O3053" s="247"/>
      <c r="P3053"/>
      <c r="Q3053" s="224"/>
      <c r="S3053" s="202"/>
      <c r="T3053"/>
    </row>
    <row r="3054" spans="15:20">
      <c r="O3054" s="247"/>
      <c r="P3054"/>
      <c r="Q3054" s="224"/>
      <c r="S3054" s="202"/>
      <c r="T3054"/>
    </row>
    <row r="3055" spans="15:20">
      <c r="O3055" s="247"/>
      <c r="P3055"/>
      <c r="Q3055" s="224"/>
      <c r="S3055" s="202"/>
      <c r="T3055"/>
    </row>
    <row r="3056" spans="15:20">
      <c r="O3056" s="247"/>
      <c r="P3056"/>
      <c r="Q3056" s="224"/>
      <c r="S3056" s="202"/>
      <c r="T3056"/>
    </row>
    <row r="3057" spans="15:20">
      <c r="O3057" s="247"/>
      <c r="P3057"/>
      <c r="Q3057" s="224"/>
      <c r="S3057" s="202"/>
      <c r="T3057"/>
    </row>
    <row r="3058" spans="15:20">
      <c r="O3058" s="247"/>
      <c r="P3058"/>
      <c r="Q3058" s="224"/>
      <c r="S3058" s="202"/>
      <c r="T3058"/>
    </row>
    <row r="3059" spans="15:20">
      <c r="O3059" s="247"/>
      <c r="P3059"/>
      <c r="Q3059" s="224"/>
      <c r="S3059" s="202"/>
      <c r="T3059"/>
    </row>
    <row r="3060" spans="15:20">
      <c r="O3060" s="247"/>
      <c r="P3060"/>
      <c r="Q3060" s="224"/>
      <c r="S3060" s="202"/>
      <c r="T3060"/>
    </row>
    <row r="3061" spans="15:20">
      <c r="O3061" s="247"/>
      <c r="P3061"/>
      <c r="Q3061" s="224"/>
      <c r="S3061" s="202"/>
      <c r="T3061"/>
    </row>
    <row r="3062" spans="15:20">
      <c r="O3062" s="247"/>
      <c r="P3062"/>
      <c r="Q3062" s="224"/>
      <c r="S3062" s="202"/>
      <c r="T3062"/>
    </row>
    <row r="3063" spans="15:20">
      <c r="O3063" s="247"/>
      <c r="P3063"/>
      <c r="Q3063" s="224"/>
      <c r="S3063" s="202"/>
      <c r="T3063"/>
    </row>
    <row r="3064" spans="15:20">
      <c r="O3064" s="247"/>
      <c r="P3064"/>
      <c r="Q3064" s="224"/>
      <c r="S3064" s="202"/>
      <c r="T3064"/>
    </row>
    <row r="3065" spans="15:20">
      <c r="O3065" s="247"/>
      <c r="P3065"/>
      <c r="Q3065" s="224"/>
      <c r="S3065" s="202"/>
      <c r="T3065"/>
    </row>
    <row r="3066" spans="15:20">
      <c r="O3066" s="247"/>
      <c r="P3066"/>
      <c r="Q3066" s="224"/>
      <c r="S3066" s="202"/>
      <c r="T3066"/>
    </row>
    <row r="3067" spans="15:20">
      <c r="O3067" s="247"/>
      <c r="P3067"/>
      <c r="Q3067" s="224"/>
      <c r="S3067" s="202"/>
      <c r="T3067"/>
    </row>
    <row r="3068" spans="15:20">
      <c r="O3068" s="247"/>
      <c r="P3068"/>
      <c r="Q3068" s="224"/>
      <c r="S3068" s="202"/>
      <c r="T3068"/>
    </row>
    <row r="3069" spans="15:20">
      <c r="O3069" s="247"/>
      <c r="P3069"/>
      <c r="Q3069" s="224"/>
      <c r="S3069" s="202"/>
      <c r="T3069"/>
    </row>
    <row r="3070" spans="15:20">
      <c r="O3070" s="247"/>
      <c r="P3070"/>
      <c r="Q3070" s="224"/>
      <c r="S3070" s="202"/>
      <c r="T3070"/>
    </row>
    <row r="3071" spans="15:20">
      <c r="O3071" s="247"/>
      <c r="P3071"/>
      <c r="Q3071" s="224"/>
      <c r="S3071" s="202"/>
      <c r="T3071"/>
    </row>
    <row r="3072" spans="15:20">
      <c r="O3072" s="247"/>
      <c r="P3072"/>
      <c r="Q3072" s="224"/>
      <c r="S3072" s="202"/>
      <c r="T3072"/>
    </row>
    <row r="3073" spans="15:20">
      <c r="O3073" s="247"/>
      <c r="P3073"/>
      <c r="Q3073" s="224"/>
      <c r="S3073" s="202"/>
      <c r="T3073"/>
    </row>
    <row r="3074" spans="15:20">
      <c r="O3074" s="247"/>
      <c r="P3074"/>
      <c r="Q3074" s="224"/>
      <c r="S3074" s="202"/>
      <c r="T3074"/>
    </row>
    <row r="3075" spans="15:20">
      <c r="O3075" s="247"/>
      <c r="P3075"/>
      <c r="Q3075" s="224"/>
      <c r="S3075" s="202"/>
      <c r="T3075"/>
    </row>
    <row r="3076" spans="15:20">
      <c r="O3076" s="247"/>
      <c r="P3076"/>
      <c r="Q3076" s="224"/>
      <c r="S3076" s="202"/>
      <c r="T3076"/>
    </row>
    <row r="3077" spans="15:20">
      <c r="O3077" s="247"/>
      <c r="P3077"/>
      <c r="Q3077" s="224"/>
      <c r="S3077" s="202"/>
      <c r="T3077"/>
    </row>
    <row r="3078" spans="15:20">
      <c r="O3078" s="247"/>
      <c r="P3078"/>
      <c r="Q3078" s="224"/>
      <c r="S3078" s="202"/>
      <c r="T3078"/>
    </row>
    <row r="3079" spans="15:20">
      <c r="O3079" s="247"/>
      <c r="P3079"/>
      <c r="Q3079" s="224"/>
      <c r="S3079" s="202"/>
      <c r="T3079"/>
    </row>
    <row r="3080" spans="15:20">
      <c r="O3080" s="247"/>
      <c r="P3080"/>
      <c r="Q3080" s="224"/>
      <c r="S3080" s="202"/>
      <c r="T3080"/>
    </row>
    <row r="3081" spans="15:20">
      <c r="O3081" s="247"/>
      <c r="P3081"/>
      <c r="Q3081" s="224"/>
      <c r="S3081" s="202"/>
      <c r="T3081"/>
    </row>
    <row r="3082" spans="15:20">
      <c r="O3082" s="247"/>
      <c r="P3082"/>
      <c r="Q3082" s="224"/>
      <c r="S3082" s="202"/>
      <c r="T3082"/>
    </row>
    <row r="3083" spans="15:20">
      <c r="O3083" s="247"/>
      <c r="P3083"/>
      <c r="Q3083" s="224"/>
      <c r="S3083" s="202"/>
      <c r="T3083"/>
    </row>
    <row r="3084" spans="15:20">
      <c r="O3084" s="247"/>
      <c r="P3084"/>
      <c r="Q3084" s="224"/>
      <c r="S3084" s="202"/>
      <c r="T3084"/>
    </row>
    <row r="3085" spans="15:20">
      <c r="O3085" s="247"/>
      <c r="P3085"/>
      <c r="Q3085" s="224"/>
      <c r="S3085" s="202"/>
      <c r="T3085"/>
    </row>
    <row r="3086" spans="15:20">
      <c r="O3086" s="247"/>
      <c r="P3086"/>
      <c r="Q3086" s="224"/>
      <c r="S3086" s="202"/>
      <c r="T3086"/>
    </row>
    <row r="3087" spans="15:20">
      <c r="O3087" s="247"/>
      <c r="P3087"/>
      <c r="Q3087" s="224"/>
      <c r="S3087" s="202"/>
      <c r="T3087"/>
    </row>
    <row r="3088" spans="15:20">
      <c r="O3088" s="247"/>
      <c r="P3088"/>
      <c r="Q3088" s="224"/>
      <c r="S3088" s="202"/>
      <c r="T3088"/>
    </row>
    <row r="3089" spans="15:20">
      <c r="O3089" s="247"/>
      <c r="P3089"/>
      <c r="Q3089" s="224"/>
      <c r="S3089" s="202"/>
      <c r="T3089"/>
    </row>
    <row r="3090" spans="15:20">
      <c r="O3090" s="247"/>
      <c r="P3090"/>
      <c r="Q3090" s="224"/>
      <c r="S3090" s="202"/>
      <c r="T3090"/>
    </row>
    <row r="3091" spans="15:20">
      <c r="O3091" s="247"/>
      <c r="P3091"/>
      <c r="Q3091" s="224"/>
      <c r="S3091" s="202"/>
      <c r="T3091"/>
    </row>
    <row r="3092" spans="15:20">
      <c r="O3092" s="247"/>
      <c r="P3092"/>
      <c r="Q3092" s="224"/>
      <c r="S3092" s="202"/>
      <c r="T3092"/>
    </row>
    <row r="3093" spans="15:20">
      <c r="O3093" s="247"/>
      <c r="P3093"/>
      <c r="Q3093" s="224"/>
      <c r="S3093" s="202"/>
      <c r="T3093"/>
    </row>
    <row r="3094" spans="15:20">
      <c r="O3094" s="247"/>
      <c r="P3094"/>
      <c r="Q3094" s="224"/>
      <c r="S3094" s="202"/>
      <c r="T3094"/>
    </row>
    <row r="3095" spans="15:20">
      <c r="O3095" s="247"/>
      <c r="P3095"/>
      <c r="Q3095" s="224"/>
      <c r="S3095" s="202"/>
      <c r="T3095"/>
    </row>
    <row r="3096" spans="15:20">
      <c r="O3096" s="247"/>
      <c r="P3096"/>
      <c r="Q3096" s="224"/>
      <c r="S3096" s="202"/>
      <c r="T3096"/>
    </row>
    <row r="3097" spans="15:20">
      <c r="O3097" s="247"/>
      <c r="P3097"/>
      <c r="Q3097" s="224"/>
      <c r="S3097" s="202"/>
      <c r="T3097"/>
    </row>
    <row r="3098" spans="15:20">
      <c r="O3098" s="247"/>
      <c r="P3098"/>
      <c r="Q3098" s="224"/>
      <c r="S3098" s="202"/>
      <c r="T3098"/>
    </row>
    <row r="3099" spans="15:20">
      <c r="O3099" s="247"/>
      <c r="P3099"/>
      <c r="Q3099" s="224"/>
      <c r="S3099" s="202"/>
      <c r="T3099"/>
    </row>
    <row r="3100" spans="15:20">
      <c r="O3100" s="247"/>
      <c r="P3100"/>
      <c r="Q3100" s="224"/>
      <c r="S3100" s="202"/>
      <c r="T3100"/>
    </row>
    <row r="3101" spans="15:20">
      <c r="O3101" s="247"/>
      <c r="P3101"/>
      <c r="Q3101" s="224"/>
      <c r="S3101" s="202"/>
      <c r="T3101"/>
    </row>
    <row r="3102" spans="15:20">
      <c r="O3102" s="247"/>
      <c r="P3102"/>
      <c r="Q3102" s="224"/>
      <c r="S3102" s="202"/>
      <c r="T3102"/>
    </row>
    <row r="3103" spans="15:20">
      <c r="O3103" s="247"/>
      <c r="P3103"/>
      <c r="Q3103" s="224"/>
      <c r="S3103" s="202"/>
      <c r="T3103"/>
    </row>
    <row r="3104" spans="15:20">
      <c r="O3104" s="247"/>
      <c r="P3104"/>
      <c r="Q3104" s="224"/>
      <c r="S3104" s="202"/>
      <c r="T3104"/>
    </row>
    <row r="3105" spans="15:20">
      <c r="O3105" s="247"/>
      <c r="P3105"/>
      <c r="Q3105" s="224"/>
      <c r="S3105" s="202"/>
      <c r="T3105"/>
    </row>
    <row r="3106" spans="15:20">
      <c r="O3106" s="247"/>
      <c r="P3106"/>
      <c r="Q3106" s="224"/>
      <c r="S3106" s="202"/>
      <c r="T3106"/>
    </row>
    <row r="3107" spans="15:20">
      <c r="O3107" s="247"/>
      <c r="P3107"/>
      <c r="Q3107" s="224"/>
      <c r="S3107" s="202"/>
      <c r="T3107"/>
    </row>
    <row r="3108" spans="15:20">
      <c r="O3108" s="247"/>
      <c r="P3108"/>
      <c r="Q3108" s="224"/>
      <c r="S3108" s="202"/>
      <c r="T3108"/>
    </row>
    <row r="3109" spans="15:20">
      <c r="O3109" s="247"/>
      <c r="P3109"/>
      <c r="Q3109" s="224"/>
      <c r="S3109" s="202"/>
      <c r="T3109"/>
    </row>
    <row r="3110" spans="15:20">
      <c r="O3110" s="247"/>
      <c r="P3110"/>
      <c r="Q3110" s="224"/>
      <c r="S3110" s="202"/>
      <c r="T3110"/>
    </row>
    <row r="3111" spans="15:20">
      <c r="O3111" s="247"/>
      <c r="P3111"/>
      <c r="Q3111" s="224"/>
      <c r="S3111" s="202"/>
      <c r="T3111"/>
    </row>
    <row r="3112" spans="15:20">
      <c r="O3112" s="247"/>
      <c r="P3112"/>
      <c r="Q3112" s="224"/>
      <c r="S3112" s="202"/>
      <c r="T3112"/>
    </row>
    <row r="3113" spans="15:20">
      <c r="O3113" s="247"/>
      <c r="P3113"/>
      <c r="Q3113" s="224"/>
      <c r="S3113" s="202"/>
      <c r="T3113"/>
    </row>
    <row r="3114" spans="15:20">
      <c r="O3114" s="247"/>
      <c r="P3114"/>
      <c r="Q3114" s="224"/>
      <c r="S3114" s="202"/>
      <c r="T3114"/>
    </row>
    <row r="3115" spans="15:20">
      <c r="O3115" s="247"/>
      <c r="P3115"/>
      <c r="Q3115" s="224"/>
      <c r="S3115" s="202"/>
      <c r="T3115"/>
    </row>
    <row r="3116" spans="15:20">
      <c r="O3116" s="247"/>
      <c r="P3116"/>
      <c r="Q3116" s="224"/>
      <c r="S3116" s="202"/>
      <c r="T3116"/>
    </row>
    <row r="3117" spans="15:20">
      <c r="O3117" s="247"/>
      <c r="P3117"/>
      <c r="Q3117" s="224"/>
      <c r="S3117" s="202"/>
      <c r="T3117"/>
    </row>
    <row r="3118" spans="15:20">
      <c r="O3118" s="247"/>
      <c r="P3118"/>
      <c r="Q3118" s="224"/>
      <c r="S3118" s="202"/>
      <c r="T3118"/>
    </row>
    <row r="3119" spans="15:20">
      <c r="O3119" s="247"/>
      <c r="P3119"/>
      <c r="Q3119" s="224"/>
      <c r="S3119" s="202"/>
      <c r="T3119"/>
    </row>
    <row r="3120" spans="15:20">
      <c r="O3120" s="247"/>
      <c r="P3120"/>
      <c r="Q3120" s="224"/>
      <c r="S3120" s="202"/>
      <c r="T3120"/>
    </row>
    <row r="3121" spans="15:20">
      <c r="O3121" s="247"/>
      <c r="P3121"/>
      <c r="Q3121" s="224"/>
      <c r="S3121" s="202"/>
      <c r="T3121"/>
    </row>
    <row r="3122" spans="15:20">
      <c r="O3122" s="247"/>
      <c r="P3122"/>
      <c r="Q3122" s="224"/>
      <c r="S3122" s="202"/>
      <c r="T3122"/>
    </row>
    <row r="3123" spans="15:20">
      <c r="O3123" s="247"/>
      <c r="P3123"/>
      <c r="Q3123" s="224"/>
      <c r="S3123" s="202"/>
      <c r="T3123"/>
    </row>
    <row r="3124" spans="15:20">
      <c r="O3124" s="247"/>
      <c r="P3124"/>
      <c r="Q3124" s="224"/>
      <c r="S3124" s="202"/>
      <c r="T3124"/>
    </row>
    <row r="3125" spans="15:20">
      <c r="O3125" s="247"/>
      <c r="P3125"/>
      <c r="Q3125" s="224"/>
      <c r="S3125" s="202"/>
      <c r="T3125"/>
    </row>
    <row r="3126" spans="15:20">
      <c r="O3126" s="247"/>
      <c r="P3126"/>
      <c r="Q3126" s="224"/>
      <c r="S3126" s="202"/>
      <c r="T3126"/>
    </row>
    <row r="3127" spans="15:20">
      <c r="O3127" s="247"/>
      <c r="P3127"/>
      <c r="Q3127" s="224"/>
      <c r="S3127" s="202"/>
      <c r="T3127"/>
    </row>
    <row r="3128" spans="15:20">
      <c r="O3128" s="247"/>
      <c r="P3128"/>
      <c r="Q3128" s="224"/>
      <c r="S3128" s="202"/>
      <c r="T3128"/>
    </row>
    <row r="3129" spans="15:20">
      <c r="O3129" s="247"/>
      <c r="P3129"/>
      <c r="Q3129" s="224"/>
      <c r="S3129" s="202"/>
      <c r="T3129"/>
    </row>
    <row r="3130" spans="15:20">
      <c r="O3130" s="247"/>
      <c r="P3130"/>
      <c r="Q3130" s="224"/>
      <c r="S3130" s="202"/>
      <c r="T3130"/>
    </row>
    <row r="3131" spans="15:20">
      <c r="O3131" s="247"/>
      <c r="P3131"/>
      <c r="Q3131" s="224"/>
      <c r="S3131" s="202"/>
      <c r="T3131"/>
    </row>
    <row r="3132" spans="15:20">
      <c r="O3132" s="247"/>
      <c r="P3132"/>
      <c r="Q3132" s="224"/>
      <c r="S3132" s="202"/>
      <c r="T3132"/>
    </row>
    <row r="3133" spans="15:20">
      <c r="O3133" s="247"/>
      <c r="P3133"/>
      <c r="Q3133" s="224"/>
      <c r="S3133" s="202"/>
      <c r="T3133"/>
    </row>
    <row r="3134" spans="15:20">
      <c r="O3134" s="247"/>
      <c r="P3134"/>
      <c r="Q3134" s="224"/>
      <c r="S3134" s="202"/>
      <c r="T3134"/>
    </row>
    <row r="3135" spans="15:20">
      <c r="O3135" s="247"/>
      <c r="P3135"/>
      <c r="Q3135" s="224"/>
      <c r="S3135" s="202"/>
      <c r="T3135"/>
    </row>
    <row r="3136" spans="15:20">
      <c r="O3136" s="247"/>
      <c r="P3136"/>
      <c r="Q3136" s="224"/>
      <c r="S3136" s="202"/>
      <c r="T3136"/>
    </row>
    <row r="3137" spans="15:20">
      <c r="O3137" s="247"/>
      <c r="P3137"/>
      <c r="Q3137" s="224"/>
      <c r="S3137" s="202"/>
      <c r="T3137"/>
    </row>
    <row r="3138" spans="15:20">
      <c r="O3138" s="247"/>
      <c r="P3138"/>
      <c r="Q3138" s="224"/>
      <c r="S3138" s="202"/>
      <c r="T3138"/>
    </row>
    <row r="3139" spans="15:20">
      <c r="O3139" s="247"/>
      <c r="P3139"/>
      <c r="Q3139" s="224"/>
      <c r="S3139" s="202"/>
      <c r="T3139"/>
    </row>
    <row r="3140" spans="15:20">
      <c r="O3140" s="247"/>
      <c r="P3140"/>
      <c r="Q3140" s="224"/>
      <c r="S3140" s="202"/>
      <c r="T3140"/>
    </row>
    <row r="3141" spans="15:20">
      <c r="O3141" s="247"/>
      <c r="P3141"/>
      <c r="Q3141" s="224"/>
      <c r="S3141" s="202"/>
      <c r="T3141"/>
    </row>
    <row r="3142" spans="15:20">
      <c r="O3142" s="247"/>
      <c r="P3142"/>
      <c r="Q3142" s="224"/>
      <c r="S3142" s="202"/>
      <c r="T3142"/>
    </row>
    <row r="3143" spans="15:20">
      <c r="O3143" s="247"/>
      <c r="P3143"/>
      <c r="Q3143" s="224"/>
      <c r="S3143" s="202"/>
      <c r="T3143"/>
    </row>
    <row r="3144" spans="15:20">
      <c r="O3144" s="247"/>
      <c r="P3144"/>
      <c r="Q3144" s="224"/>
      <c r="S3144" s="202"/>
      <c r="T3144"/>
    </row>
    <row r="3145" spans="15:20">
      <c r="O3145" s="247"/>
      <c r="P3145"/>
      <c r="Q3145" s="224"/>
      <c r="S3145" s="202"/>
      <c r="T3145"/>
    </row>
    <row r="3146" spans="15:20">
      <c r="O3146" s="247"/>
      <c r="P3146"/>
      <c r="Q3146" s="224"/>
      <c r="S3146" s="202"/>
      <c r="T3146"/>
    </row>
    <row r="3147" spans="15:20">
      <c r="O3147" s="247"/>
      <c r="P3147"/>
      <c r="Q3147" s="224"/>
      <c r="S3147" s="202"/>
      <c r="T3147"/>
    </row>
    <row r="3148" spans="15:20">
      <c r="O3148" s="247"/>
      <c r="P3148"/>
      <c r="Q3148" s="224"/>
      <c r="S3148" s="202"/>
      <c r="T3148"/>
    </row>
    <row r="3149" spans="15:20">
      <c r="O3149" s="247"/>
      <c r="P3149"/>
      <c r="Q3149" s="224"/>
      <c r="S3149" s="202"/>
      <c r="T3149"/>
    </row>
    <row r="3150" spans="15:20">
      <c r="O3150" s="247"/>
      <c r="P3150"/>
      <c r="Q3150" s="224"/>
      <c r="S3150" s="202"/>
      <c r="T3150"/>
    </row>
    <row r="3151" spans="15:20">
      <c r="O3151" s="247"/>
      <c r="P3151"/>
      <c r="Q3151" s="224"/>
      <c r="S3151" s="202"/>
      <c r="T3151"/>
    </row>
    <row r="3152" spans="15:20">
      <c r="O3152" s="247"/>
      <c r="P3152"/>
      <c r="Q3152" s="224"/>
      <c r="S3152" s="202"/>
      <c r="T3152"/>
    </row>
    <row r="3153" spans="15:20">
      <c r="O3153" s="247"/>
      <c r="P3153"/>
      <c r="Q3153" s="224"/>
      <c r="S3153" s="202"/>
      <c r="T3153"/>
    </row>
    <row r="3154" spans="15:20">
      <c r="O3154" s="247"/>
      <c r="P3154"/>
      <c r="Q3154" s="224"/>
      <c r="S3154" s="202"/>
      <c r="T3154"/>
    </row>
    <row r="3155" spans="15:20">
      <c r="O3155" s="247"/>
      <c r="P3155"/>
      <c r="Q3155" s="224"/>
      <c r="S3155" s="202"/>
      <c r="T3155"/>
    </row>
    <row r="3156" spans="15:20">
      <c r="O3156" s="247"/>
      <c r="P3156"/>
      <c r="Q3156" s="224"/>
      <c r="S3156" s="202"/>
      <c r="T3156"/>
    </row>
    <row r="3157" spans="15:20">
      <c r="O3157" s="247"/>
      <c r="P3157"/>
      <c r="Q3157" s="224"/>
      <c r="S3157" s="202"/>
      <c r="T3157"/>
    </row>
    <row r="3158" spans="15:20">
      <c r="O3158" s="247"/>
      <c r="P3158"/>
      <c r="Q3158" s="224"/>
      <c r="S3158" s="202"/>
      <c r="T3158"/>
    </row>
    <row r="3159" spans="15:20">
      <c r="O3159" s="247"/>
      <c r="P3159"/>
      <c r="Q3159" s="224"/>
      <c r="S3159" s="202"/>
      <c r="T3159"/>
    </row>
    <row r="3160" spans="15:20">
      <c r="O3160" s="247"/>
      <c r="P3160"/>
      <c r="Q3160" s="224"/>
      <c r="S3160" s="202"/>
      <c r="T3160"/>
    </row>
    <row r="3161" spans="15:20">
      <c r="O3161" s="247"/>
      <c r="P3161"/>
      <c r="Q3161" s="224"/>
      <c r="S3161" s="202"/>
      <c r="T3161"/>
    </row>
    <row r="3162" spans="15:20">
      <c r="O3162" s="247"/>
      <c r="P3162"/>
      <c r="Q3162" s="224"/>
      <c r="S3162" s="202"/>
      <c r="T3162"/>
    </row>
    <row r="3163" spans="15:20">
      <c r="O3163" s="247"/>
      <c r="P3163"/>
      <c r="Q3163" s="224"/>
      <c r="S3163" s="202"/>
      <c r="T3163"/>
    </row>
    <row r="3164" spans="15:20">
      <c r="O3164" s="247"/>
      <c r="P3164"/>
      <c r="Q3164" s="224"/>
      <c r="S3164" s="202"/>
      <c r="T3164"/>
    </row>
    <row r="3165" spans="15:20">
      <c r="O3165" s="247"/>
      <c r="P3165"/>
      <c r="Q3165" s="224"/>
      <c r="S3165" s="202"/>
      <c r="T3165"/>
    </row>
    <row r="3166" spans="15:20">
      <c r="O3166" s="247"/>
      <c r="P3166"/>
      <c r="Q3166" s="224"/>
      <c r="S3166" s="202"/>
      <c r="T3166"/>
    </row>
    <row r="3167" spans="15:20">
      <c r="O3167" s="247"/>
      <c r="P3167"/>
      <c r="Q3167" s="224"/>
      <c r="S3167" s="202"/>
      <c r="T3167"/>
    </row>
    <row r="3168" spans="15:20">
      <c r="O3168" s="247"/>
      <c r="P3168"/>
      <c r="Q3168" s="224"/>
      <c r="S3168" s="202"/>
      <c r="T3168"/>
    </row>
    <row r="3169" spans="15:20">
      <c r="O3169" s="247"/>
      <c r="P3169"/>
      <c r="Q3169" s="224"/>
      <c r="S3169" s="202"/>
      <c r="T3169"/>
    </row>
    <row r="3170" spans="15:20">
      <c r="O3170" s="247"/>
      <c r="P3170"/>
      <c r="Q3170" s="224"/>
      <c r="S3170" s="202"/>
      <c r="T3170"/>
    </row>
    <row r="3171" spans="15:20">
      <c r="O3171" s="247"/>
      <c r="P3171"/>
      <c r="Q3171" s="224"/>
      <c r="S3171" s="202"/>
      <c r="T3171"/>
    </row>
    <row r="3172" spans="15:20">
      <c r="O3172" s="247"/>
      <c r="P3172"/>
      <c r="Q3172" s="224"/>
      <c r="S3172" s="202"/>
      <c r="T3172"/>
    </row>
    <row r="3173" spans="15:20">
      <c r="O3173" s="247"/>
      <c r="P3173"/>
      <c r="Q3173" s="224"/>
      <c r="S3173" s="202"/>
      <c r="T3173"/>
    </row>
    <row r="3174" spans="15:20">
      <c r="O3174" s="247"/>
      <c r="P3174"/>
      <c r="Q3174" s="224"/>
      <c r="S3174" s="202"/>
      <c r="T3174"/>
    </row>
    <row r="3175" spans="15:20">
      <c r="O3175" s="247"/>
      <c r="P3175"/>
      <c r="Q3175" s="224"/>
      <c r="S3175" s="202"/>
      <c r="T3175"/>
    </row>
    <row r="3176" spans="15:20">
      <c r="O3176" s="247"/>
      <c r="P3176"/>
      <c r="Q3176" s="224"/>
      <c r="S3176" s="202"/>
      <c r="T3176"/>
    </row>
    <row r="3177" spans="15:20">
      <c r="O3177" s="247"/>
      <c r="P3177"/>
      <c r="Q3177" s="224"/>
      <c r="S3177" s="202"/>
      <c r="T3177"/>
    </row>
    <row r="3178" spans="15:20">
      <c r="O3178" s="247"/>
      <c r="P3178"/>
      <c r="Q3178" s="224"/>
      <c r="S3178" s="202"/>
      <c r="T3178"/>
    </row>
    <row r="3179" spans="15:20">
      <c r="O3179" s="247"/>
      <c r="P3179"/>
      <c r="Q3179" s="224"/>
      <c r="S3179" s="202"/>
      <c r="T3179"/>
    </row>
    <row r="3180" spans="15:20">
      <c r="O3180" s="247"/>
      <c r="P3180"/>
      <c r="Q3180" s="224"/>
      <c r="S3180" s="202"/>
      <c r="T3180"/>
    </row>
    <row r="3181" spans="15:20">
      <c r="O3181" s="247"/>
      <c r="P3181"/>
      <c r="Q3181" s="224"/>
      <c r="S3181" s="202"/>
      <c r="T3181"/>
    </row>
    <row r="3182" spans="15:20">
      <c r="O3182" s="247"/>
      <c r="P3182"/>
      <c r="Q3182" s="224"/>
      <c r="S3182" s="202"/>
      <c r="T3182"/>
    </row>
    <row r="3183" spans="15:20">
      <c r="O3183" s="247"/>
      <c r="P3183"/>
      <c r="Q3183" s="224"/>
      <c r="S3183" s="202"/>
      <c r="T3183"/>
    </row>
    <row r="3184" spans="15:20">
      <c r="O3184" s="247"/>
      <c r="P3184"/>
      <c r="Q3184" s="224"/>
      <c r="S3184" s="202"/>
      <c r="T3184"/>
    </row>
    <row r="3185" spans="15:20">
      <c r="O3185" s="247"/>
      <c r="P3185"/>
      <c r="Q3185" s="224"/>
      <c r="S3185" s="202"/>
      <c r="T3185"/>
    </row>
    <row r="3186" spans="15:20">
      <c r="O3186" s="247"/>
      <c r="P3186"/>
      <c r="Q3186" s="224"/>
      <c r="S3186" s="202"/>
      <c r="T3186"/>
    </row>
    <row r="3187" spans="15:20">
      <c r="O3187" s="247"/>
      <c r="P3187"/>
      <c r="Q3187" s="224"/>
      <c r="S3187" s="202"/>
      <c r="T3187"/>
    </row>
    <row r="3188" spans="15:20">
      <c r="O3188" s="247"/>
      <c r="P3188"/>
      <c r="Q3188" s="224"/>
      <c r="S3188" s="202"/>
      <c r="T3188"/>
    </row>
    <row r="3189" spans="15:20">
      <c r="O3189" s="247"/>
      <c r="P3189"/>
      <c r="Q3189" s="224"/>
      <c r="S3189" s="202"/>
      <c r="T3189"/>
    </row>
    <row r="3190" spans="15:20">
      <c r="O3190" s="247"/>
      <c r="P3190"/>
      <c r="Q3190" s="224"/>
      <c r="S3190" s="202"/>
      <c r="T3190"/>
    </row>
    <row r="3191" spans="15:20">
      <c r="O3191" s="247"/>
      <c r="P3191"/>
      <c r="Q3191" s="224"/>
      <c r="S3191" s="202"/>
      <c r="T3191"/>
    </row>
    <row r="3192" spans="15:20">
      <c r="O3192" s="247"/>
      <c r="P3192"/>
      <c r="Q3192" s="224"/>
      <c r="S3192" s="202"/>
      <c r="T3192"/>
    </row>
    <row r="3193" spans="15:20">
      <c r="O3193" s="247"/>
      <c r="P3193"/>
      <c r="Q3193" s="224"/>
      <c r="S3193" s="202"/>
      <c r="T3193"/>
    </row>
    <row r="3194" spans="15:20">
      <c r="O3194" s="247"/>
      <c r="P3194"/>
      <c r="Q3194" s="224"/>
      <c r="S3194" s="202"/>
      <c r="T3194"/>
    </row>
    <row r="3195" spans="15:20">
      <c r="O3195" s="247"/>
      <c r="P3195"/>
      <c r="Q3195" s="224"/>
      <c r="S3195" s="202"/>
      <c r="T3195"/>
    </row>
    <row r="3196" spans="15:20">
      <c r="O3196" s="247"/>
      <c r="P3196"/>
      <c r="Q3196" s="224"/>
      <c r="S3196" s="202"/>
      <c r="T3196"/>
    </row>
    <row r="3197" spans="15:20">
      <c r="O3197" s="247"/>
      <c r="P3197"/>
      <c r="Q3197" s="224"/>
      <c r="S3197" s="202"/>
      <c r="T3197"/>
    </row>
    <row r="3198" spans="15:20">
      <c r="O3198" s="247"/>
      <c r="P3198"/>
      <c r="Q3198" s="224"/>
      <c r="S3198" s="202"/>
      <c r="T3198"/>
    </row>
    <row r="3199" spans="15:20">
      <c r="O3199" s="247"/>
      <c r="P3199"/>
      <c r="Q3199" s="224"/>
      <c r="S3199" s="202"/>
      <c r="T3199"/>
    </row>
    <row r="3200" spans="15:20">
      <c r="O3200" s="247"/>
      <c r="P3200"/>
      <c r="Q3200" s="224"/>
      <c r="S3200" s="202"/>
      <c r="T3200"/>
    </row>
    <row r="3201" spans="15:20">
      <c r="O3201" s="247"/>
      <c r="P3201"/>
      <c r="Q3201" s="224"/>
      <c r="S3201" s="202"/>
      <c r="T3201"/>
    </row>
    <row r="3202" spans="15:20">
      <c r="O3202" s="247"/>
      <c r="P3202"/>
      <c r="Q3202" s="224"/>
      <c r="S3202" s="202"/>
      <c r="T3202"/>
    </row>
    <row r="3203" spans="15:20">
      <c r="O3203" s="247"/>
      <c r="P3203"/>
      <c r="Q3203" s="224"/>
      <c r="S3203" s="202"/>
      <c r="T3203"/>
    </row>
    <row r="3204" spans="15:20">
      <c r="O3204" s="247"/>
      <c r="P3204"/>
      <c r="Q3204" s="224"/>
      <c r="S3204" s="202"/>
      <c r="T3204"/>
    </row>
    <row r="3205" spans="15:20">
      <c r="O3205" s="247"/>
      <c r="P3205"/>
      <c r="Q3205" s="224"/>
      <c r="S3205" s="202"/>
      <c r="T3205"/>
    </row>
    <row r="3206" spans="15:20">
      <c r="O3206" s="247"/>
      <c r="P3206"/>
      <c r="Q3206" s="224"/>
      <c r="S3206" s="202"/>
      <c r="T3206"/>
    </row>
    <row r="3207" spans="15:20">
      <c r="O3207" s="247"/>
      <c r="P3207"/>
      <c r="Q3207" s="224"/>
      <c r="S3207" s="202"/>
      <c r="T3207"/>
    </row>
    <row r="3208" spans="15:20">
      <c r="O3208" s="247"/>
      <c r="P3208"/>
      <c r="Q3208" s="224"/>
      <c r="S3208" s="202"/>
      <c r="T3208"/>
    </row>
    <row r="3209" spans="15:20">
      <c r="O3209" s="247"/>
      <c r="P3209"/>
      <c r="Q3209" s="224"/>
      <c r="S3209" s="202"/>
      <c r="T3209"/>
    </row>
    <row r="3210" spans="15:20">
      <c r="O3210" s="247"/>
      <c r="P3210"/>
      <c r="Q3210" s="224"/>
      <c r="S3210" s="202"/>
      <c r="T3210"/>
    </row>
    <row r="3211" spans="15:20">
      <c r="O3211" s="247"/>
      <c r="P3211"/>
      <c r="Q3211" s="224"/>
      <c r="S3211" s="202"/>
      <c r="T3211"/>
    </row>
    <row r="3212" spans="15:20">
      <c r="O3212" s="247"/>
      <c r="P3212"/>
      <c r="Q3212" s="224"/>
      <c r="S3212" s="202"/>
      <c r="T3212"/>
    </row>
    <row r="3213" spans="15:20">
      <c r="O3213" s="247"/>
      <c r="P3213"/>
      <c r="Q3213" s="224"/>
      <c r="S3213" s="202"/>
      <c r="T3213"/>
    </row>
    <row r="3214" spans="15:20">
      <c r="O3214" s="247"/>
      <c r="P3214"/>
      <c r="Q3214" s="224"/>
      <c r="S3214" s="202"/>
      <c r="T3214"/>
    </row>
    <row r="3215" spans="15:20">
      <c r="O3215" s="247"/>
      <c r="P3215"/>
      <c r="Q3215" s="224"/>
      <c r="S3215" s="202"/>
      <c r="T3215"/>
    </row>
    <row r="3216" spans="15:20">
      <c r="O3216" s="247"/>
      <c r="P3216"/>
      <c r="Q3216" s="224"/>
      <c r="S3216" s="202"/>
      <c r="T3216"/>
    </row>
    <row r="3217" spans="15:20">
      <c r="O3217" s="247"/>
      <c r="P3217"/>
      <c r="Q3217" s="224"/>
      <c r="S3217" s="202"/>
      <c r="T3217"/>
    </row>
    <row r="3218" spans="15:20">
      <c r="O3218" s="247"/>
      <c r="P3218"/>
      <c r="Q3218" s="224"/>
      <c r="S3218" s="202"/>
      <c r="T3218"/>
    </row>
    <row r="3219" spans="15:20">
      <c r="O3219" s="247"/>
      <c r="P3219"/>
      <c r="Q3219" s="224"/>
      <c r="S3219" s="202"/>
      <c r="T3219"/>
    </row>
    <row r="3220" spans="15:20">
      <c r="O3220" s="247"/>
      <c r="P3220"/>
      <c r="Q3220" s="224"/>
      <c r="S3220" s="202"/>
      <c r="T3220"/>
    </row>
    <row r="3221" spans="15:20">
      <c r="O3221" s="247"/>
      <c r="P3221"/>
      <c r="Q3221" s="224"/>
      <c r="S3221" s="202"/>
      <c r="T3221"/>
    </row>
    <row r="3222" spans="15:20">
      <c r="O3222" s="247"/>
      <c r="P3222"/>
      <c r="Q3222" s="224"/>
      <c r="S3222" s="202"/>
      <c r="T3222"/>
    </row>
    <row r="3223" spans="15:20">
      <c r="O3223" s="247"/>
      <c r="P3223"/>
      <c r="Q3223" s="224"/>
      <c r="S3223" s="202"/>
      <c r="T3223"/>
    </row>
    <row r="3224" spans="15:20">
      <c r="O3224" s="247"/>
      <c r="P3224"/>
      <c r="Q3224" s="224"/>
      <c r="S3224" s="202"/>
      <c r="T3224"/>
    </row>
    <row r="3225" spans="15:20">
      <c r="O3225" s="247"/>
      <c r="P3225"/>
      <c r="Q3225" s="224"/>
      <c r="S3225" s="202"/>
      <c r="T3225"/>
    </row>
    <row r="3226" spans="15:20">
      <c r="O3226" s="247"/>
      <c r="P3226"/>
      <c r="Q3226" s="224"/>
      <c r="S3226" s="202"/>
      <c r="T3226"/>
    </row>
    <row r="3227" spans="15:20">
      <c r="O3227" s="247"/>
      <c r="P3227"/>
      <c r="Q3227" s="224"/>
      <c r="S3227" s="202"/>
      <c r="T3227"/>
    </row>
    <row r="3228" spans="15:20">
      <c r="O3228" s="247"/>
      <c r="P3228"/>
      <c r="Q3228" s="224"/>
      <c r="S3228" s="202"/>
      <c r="T3228"/>
    </row>
    <row r="3229" spans="15:20">
      <c r="O3229" s="247"/>
      <c r="P3229"/>
      <c r="Q3229" s="224"/>
      <c r="S3229" s="202"/>
      <c r="T3229"/>
    </row>
    <row r="3230" spans="15:20">
      <c r="O3230" s="247"/>
      <c r="P3230"/>
      <c r="Q3230" s="224"/>
      <c r="S3230" s="202"/>
      <c r="T3230"/>
    </row>
    <row r="3231" spans="15:20">
      <c r="O3231" s="247"/>
      <c r="P3231"/>
      <c r="Q3231" s="224"/>
      <c r="S3231" s="202"/>
      <c r="T3231"/>
    </row>
    <row r="3232" spans="15:20">
      <c r="O3232" s="247"/>
      <c r="P3232"/>
      <c r="Q3232" s="224"/>
      <c r="S3232" s="202"/>
      <c r="T3232"/>
    </row>
    <row r="3233" spans="15:20">
      <c r="O3233" s="247"/>
      <c r="P3233"/>
      <c r="Q3233" s="224"/>
      <c r="S3233" s="202"/>
      <c r="T3233"/>
    </row>
    <row r="3234" spans="15:20">
      <c r="O3234" s="247"/>
      <c r="P3234"/>
      <c r="Q3234" s="224"/>
      <c r="S3234" s="202"/>
      <c r="T3234"/>
    </row>
    <row r="3235" spans="15:20">
      <c r="O3235" s="247"/>
      <c r="P3235"/>
      <c r="Q3235" s="224"/>
      <c r="S3235" s="202"/>
      <c r="T3235"/>
    </row>
    <row r="3236" spans="15:20">
      <c r="O3236" s="247"/>
      <c r="P3236"/>
      <c r="Q3236" s="224"/>
      <c r="S3236" s="202"/>
      <c r="T3236"/>
    </row>
    <row r="3237" spans="15:20">
      <c r="O3237" s="247"/>
      <c r="P3237"/>
      <c r="Q3237" s="224"/>
      <c r="S3237" s="202"/>
      <c r="T3237"/>
    </row>
    <row r="3238" spans="15:20">
      <c r="O3238" s="247"/>
      <c r="P3238"/>
      <c r="Q3238" s="224"/>
      <c r="S3238" s="202"/>
      <c r="T3238"/>
    </row>
    <row r="3239" spans="15:20">
      <c r="O3239" s="247"/>
      <c r="P3239"/>
      <c r="Q3239" s="224"/>
      <c r="S3239" s="202"/>
      <c r="T3239"/>
    </row>
    <row r="3240" spans="15:20">
      <c r="O3240" s="247"/>
      <c r="P3240"/>
      <c r="Q3240" s="224"/>
      <c r="S3240" s="202"/>
      <c r="T3240"/>
    </row>
    <row r="3241" spans="15:20">
      <c r="O3241" s="247"/>
      <c r="P3241"/>
      <c r="Q3241" s="224"/>
      <c r="S3241" s="202"/>
      <c r="T3241"/>
    </row>
    <row r="3242" spans="15:20">
      <c r="O3242" s="247"/>
      <c r="P3242"/>
      <c r="Q3242" s="224"/>
      <c r="S3242" s="202"/>
      <c r="T3242"/>
    </row>
    <row r="3243" spans="15:20">
      <c r="O3243" s="247"/>
      <c r="P3243"/>
      <c r="Q3243" s="224"/>
      <c r="S3243" s="202"/>
      <c r="T3243"/>
    </row>
    <row r="3244" spans="15:20">
      <c r="O3244" s="247"/>
      <c r="P3244"/>
      <c r="Q3244" s="224"/>
      <c r="S3244" s="202"/>
      <c r="T3244"/>
    </row>
    <row r="3245" spans="15:20">
      <c r="O3245" s="247"/>
      <c r="P3245"/>
      <c r="Q3245" s="224"/>
      <c r="S3245" s="202"/>
      <c r="T3245"/>
    </row>
    <row r="3246" spans="15:20">
      <c r="O3246" s="247"/>
      <c r="P3246"/>
      <c r="Q3246" s="224"/>
      <c r="S3246" s="202"/>
      <c r="T3246"/>
    </row>
    <row r="3247" spans="15:20">
      <c r="O3247" s="247"/>
      <c r="P3247"/>
      <c r="Q3247" s="224"/>
      <c r="S3247" s="202"/>
      <c r="T3247"/>
    </row>
    <row r="3248" spans="15:20">
      <c r="O3248" s="247"/>
      <c r="P3248"/>
      <c r="Q3248" s="224"/>
      <c r="S3248" s="202"/>
      <c r="T3248"/>
    </row>
    <row r="3249" spans="15:20">
      <c r="O3249" s="247"/>
      <c r="P3249"/>
      <c r="Q3249" s="224"/>
      <c r="S3249" s="202"/>
      <c r="T3249"/>
    </row>
    <row r="3250" spans="15:20">
      <c r="O3250" s="247"/>
      <c r="P3250"/>
      <c r="Q3250" s="224"/>
      <c r="S3250" s="202"/>
      <c r="T3250"/>
    </row>
    <row r="3251" spans="15:20">
      <c r="O3251" s="247"/>
      <c r="P3251"/>
      <c r="Q3251" s="224"/>
      <c r="S3251" s="202"/>
      <c r="T3251"/>
    </row>
    <row r="3252" spans="15:20">
      <c r="O3252" s="247"/>
      <c r="P3252"/>
      <c r="Q3252" s="224"/>
      <c r="S3252" s="202"/>
      <c r="T3252"/>
    </row>
    <row r="3253" spans="15:20">
      <c r="O3253" s="247"/>
      <c r="P3253"/>
      <c r="Q3253" s="224"/>
      <c r="S3253" s="202"/>
      <c r="T3253"/>
    </row>
    <row r="3254" spans="15:20">
      <c r="O3254" s="247"/>
      <c r="P3254"/>
      <c r="Q3254" s="224"/>
      <c r="S3254" s="202"/>
      <c r="T3254"/>
    </row>
    <row r="3255" spans="15:20">
      <c r="O3255" s="247"/>
      <c r="P3255"/>
      <c r="Q3255" s="224"/>
      <c r="S3255" s="202"/>
      <c r="T3255"/>
    </row>
    <row r="3256" spans="15:20">
      <c r="O3256" s="247"/>
      <c r="P3256"/>
      <c r="Q3256" s="224"/>
      <c r="S3256" s="202"/>
      <c r="T3256"/>
    </row>
    <row r="3257" spans="15:20">
      <c r="O3257" s="247"/>
      <c r="P3257"/>
      <c r="Q3257" s="224"/>
      <c r="S3257" s="202"/>
      <c r="T3257"/>
    </row>
    <row r="3258" spans="15:20">
      <c r="O3258" s="247"/>
      <c r="P3258"/>
      <c r="Q3258" s="224"/>
      <c r="S3258" s="202"/>
      <c r="T3258"/>
    </row>
    <row r="3259" spans="15:20">
      <c r="O3259" s="247"/>
      <c r="P3259"/>
      <c r="Q3259" s="224"/>
      <c r="S3259" s="202"/>
      <c r="T3259"/>
    </row>
    <row r="3260" spans="15:20">
      <c r="O3260" s="247"/>
      <c r="P3260"/>
      <c r="Q3260" s="224"/>
      <c r="S3260" s="202"/>
      <c r="T3260"/>
    </row>
    <row r="3261" spans="15:20">
      <c r="O3261" s="247"/>
      <c r="P3261"/>
      <c r="Q3261" s="224"/>
      <c r="S3261" s="202"/>
      <c r="T3261"/>
    </row>
    <row r="3262" spans="15:20">
      <c r="O3262" s="247"/>
      <c r="P3262"/>
      <c r="Q3262" s="224"/>
      <c r="S3262" s="202"/>
      <c r="T3262"/>
    </row>
    <row r="3263" spans="15:20">
      <c r="O3263" s="247"/>
      <c r="P3263"/>
      <c r="Q3263" s="224"/>
      <c r="S3263" s="202"/>
      <c r="T3263"/>
    </row>
    <row r="3264" spans="15:20">
      <c r="O3264" s="247"/>
      <c r="P3264"/>
      <c r="Q3264" s="224"/>
      <c r="S3264" s="202"/>
      <c r="T3264"/>
    </row>
    <row r="3265" spans="15:20">
      <c r="O3265" s="247"/>
      <c r="P3265"/>
      <c r="Q3265" s="224"/>
      <c r="S3265" s="202"/>
      <c r="T3265"/>
    </row>
    <row r="3266" spans="15:20">
      <c r="O3266" s="247"/>
      <c r="P3266"/>
      <c r="Q3266" s="224"/>
      <c r="S3266" s="202"/>
      <c r="T3266"/>
    </row>
    <row r="3267" spans="15:20">
      <c r="O3267" s="247"/>
      <c r="P3267"/>
      <c r="Q3267" s="224"/>
      <c r="S3267" s="202"/>
      <c r="T3267"/>
    </row>
    <row r="3268" spans="15:20">
      <c r="O3268" s="247"/>
      <c r="P3268"/>
      <c r="Q3268" s="224"/>
      <c r="S3268" s="202"/>
      <c r="T3268"/>
    </row>
    <row r="3269" spans="15:20">
      <c r="O3269" s="247"/>
      <c r="P3269"/>
      <c r="Q3269" s="224"/>
      <c r="S3269" s="202"/>
      <c r="T3269"/>
    </row>
    <row r="3270" spans="15:20">
      <c r="O3270" s="247"/>
      <c r="P3270"/>
      <c r="Q3270" s="224"/>
      <c r="S3270" s="202"/>
      <c r="T3270"/>
    </row>
    <row r="3271" spans="15:20">
      <c r="O3271" s="247"/>
      <c r="P3271"/>
      <c r="Q3271" s="224"/>
      <c r="S3271" s="202"/>
      <c r="T3271"/>
    </row>
    <row r="3272" spans="15:20">
      <c r="O3272" s="247"/>
      <c r="P3272"/>
      <c r="Q3272" s="224"/>
      <c r="S3272" s="202"/>
      <c r="T3272"/>
    </row>
    <row r="3273" spans="15:20">
      <c r="O3273" s="247"/>
      <c r="P3273"/>
      <c r="Q3273" s="224"/>
      <c r="S3273" s="202"/>
      <c r="T3273"/>
    </row>
    <row r="3274" spans="15:20">
      <c r="O3274" s="247"/>
      <c r="P3274"/>
      <c r="Q3274" s="224"/>
      <c r="S3274" s="202"/>
      <c r="T3274"/>
    </row>
    <row r="3275" spans="15:20">
      <c r="O3275" s="247"/>
      <c r="P3275"/>
      <c r="Q3275" s="224"/>
      <c r="S3275" s="202"/>
      <c r="T3275"/>
    </row>
    <row r="3276" spans="15:20">
      <c r="O3276" s="247"/>
      <c r="P3276"/>
      <c r="Q3276" s="224"/>
      <c r="S3276" s="202"/>
      <c r="T3276"/>
    </row>
    <row r="3277" spans="15:20">
      <c r="O3277" s="247"/>
      <c r="P3277"/>
      <c r="Q3277" s="224"/>
      <c r="S3277" s="202"/>
      <c r="T3277"/>
    </row>
    <row r="3278" spans="15:20">
      <c r="O3278" s="247"/>
      <c r="P3278"/>
      <c r="Q3278" s="224"/>
      <c r="S3278" s="202"/>
      <c r="T3278"/>
    </row>
    <row r="3279" spans="15:20">
      <c r="O3279" s="247"/>
      <c r="P3279"/>
      <c r="Q3279" s="224"/>
      <c r="S3279" s="202"/>
      <c r="T3279"/>
    </row>
    <row r="3280" spans="15:20">
      <c r="O3280" s="247"/>
      <c r="P3280"/>
      <c r="Q3280" s="224"/>
      <c r="S3280" s="202"/>
      <c r="T3280"/>
    </row>
    <row r="3281" spans="15:20">
      <c r="O3281" s="247"/>
      <c r="P3281"/>
      <c r="Q3281" s="224"/>
      <c r="S3281" s="202"/>
      <c r="T3281"/>
    </row>
    <row r="3282" spans="15:20">
      <c r="O3282" s="247"/>
      <c r="P3282"/>
      <c r="Q3282" s="224"/>
      <c r="S3282" s="202"/>
      <c r="T3282"/>
    </row>
    <row r="3283" spans="15:20">
      <c r="O3283" s="247"/>
      <c r="P3283"/>
      <c r="Q3283" s="224"/>
      <c r="S3283" s="202"/>
      <c r="T3283"/>
    </row>
    <row r="3284" spans="15:20">
      <c r="O3284" s="247"/>
      <c r="P3284"/>
      <c r="Q3284" s="224"/>
      <c r="S3284" s="202"/>
      <c r="T3284"/>
    </row>
    <row r="3285" spans="15:20">
      <c r="O3285" s="247"/>
      <c r="P3285"/>
      <c r="Q3285" s="224"/>
      <c r="S3285" s="202"/>
      <c r="T3285"/>
    </row>
    <row r="3286" spans="15:20">
      <c r="O3286" s="247"/>
      <c r="P3286"/>
      <c r="Q3286" s="224"/>
      <c r="S3286" s="202"/>
      <c r="T3286"/>
    </row>
    <row r="3287" spans="15:20">
      <c r="O3287" s="247"/>
      <c r="P3287"/>
      <c r="Q3287" s="224"/>
      <c r="S3287" s="202"/>
      <c r="T3287"/>
    </row>
    <row r="3288" spans="15:20">
      <c r="O3288" s="247"/>
      <c r="P3288"/>
      <c r="Q3288" s="224"/>
      <c r="S3288" s="202"/>
      <c r="T3288"/>
    </row>
    <row r="3289" spans="15:20">
      <c r="O3289" s="247"/>
      <c r="P3289"/>
      <c r="Q3289" s="224"/>
      <c r="S3289" s="202"/>
      <c r="T3289"/>
    </row>
    <row r="3290" spans="15:20">
      <c r="O3290" s="247"/>
      <c r="P3290"/>
      <c r="Q3290" s="224"/>
      <c r="S3290" s="202"/>
      <c r="T3290"/>
    </row>
    <row r="3291" spans="15:20">
      <c r="O3291" s="247"/>
      <c r="P3291"/>
      <c r="Q3291" s="224"/>
      <c r="S3291" s="202"/>
      <c r="T3291"/>
    </row>
    <row r="3292" spans="15:20">
      <c r="O3292" s="247"/>
      <c r="P3292"/>
      <c r="Q3292" s="224"/>
      <c r="S3292" s="202"/>
      <c r="T3292"/>
    </row>
    <row r="3293" spans="15:20">
      <c r="O3293" s="247"/>
      <c r="P3293"/>
      <c r="Q3293" s="224"/>
      <c r="S3293" s="202"/>
      <c r="T3293"/>
    </row>
    <row r="3294" spans="15:20">
      <c r="O3294" s="247"/>
      <c r="P3294"/>
      <c r="Q3294" s="224"/>
      <c r="S3294" s="202"/>
      <c r="T3294"/>
    </row>
    <row r="3295" spans="15:20">
      <c r="O3295" s="247"/>
      <c r="P3295"/>
      <c r="Q3295" s="224"/>
      <c r="S3295" s="202"/>
      <c r="T3295"/>
    </row>
    <row r="3296" spans="15:20">
      <c r="O3296" s="247"/>
      <c r="P3296"/>
      <c r="Q3296" s="224"/>
      <c r="S3296" s="202"/>
      <c r="T3296"/>
    </row>
    <row r="3297" spans="15:20">
      <c r="O3297" s="247"/>
      <c r="P3297"/>
      <c r="Q3297" s="224"/>
      <c r="S3297" s="202"/>
      <c r="T3297"/>
    </row>
    <row r="3298" spans="15:20">
      <c r="O3298" s="247"/>
      <c r="P3298"/>
      <c r="Q3298" s="224"/>
      <c r="S3298" s="202"/>
      <c r="T3298"/>
    </row>
    <row r="3299" spans="15:20">
      <c r="O3299" s="247"/>
      <c r="P3299"/>
      <c r="Q3299" s="224"/>
      <c r="S3299" s="202"/>
      <c r="T3299"/>
    </row>
    <row r="3300" spans="15:20">
      <c r="O3300" s="247"/>
      <c r="P3300"/>
      <c r="Q3300" s="224"/>
      <c r="S3300" s="202"/>
      <c r="T3300"/>
    </row>
    <row r="3301" spans="15:20">
      <c r="O3301" s="247"/>
      <c r="P3301"/>
      <c r="Q3301" s="224"/>
      <c r="S3301" s="202"/>
      <c r="T3301"/>
    </row>
    <row r="3302" spans="15:20">
      <c r="O3302" s="247"/>
      <c r="P3302"/>
      <c r="Q3302" s="224"/>
      <c r="S3302" s="202"/>
      <c r="T3302"/>
    </row>
    <row r="3303" spans="15:20">
      <c r="O3303" s="247"/>
      <c r="P3303"/>
      <c r="Q3303" s="224"/>
      <c r="S3303" s="202"/>
      <c r="T3303"/>
    </row>
    <row r="3304" spans="15:20">
      <c r="O3304" s="247"/>
      <c r="P3304"/>
      <c r="Q3304" s="224"/>
      <c r="S3304" s="202"/>
      <c r="T3304"/>
    </row>
    <row r="3305" spans="15:20">
      <c r="O3305" s="247"/>
      <c r="P3305"/>
      <c r="Q3305" s="224"/>
      <c r="S3305" s="202"/>
      <c r="T3305"/>
    </row>
    <row r="3306" spans="15:20">
      <c r="O3306" s="247"/>
      <c r="P3306"/>
      <c r="Q3306" s="224"/>
      <c r="S3306" s="202"/>
      <c r="T3306"/>
    </row>
    <row r="3307" spans="15:20">
      <c r="O3307" s="247"/>
      <c r="P3307"/>
      <c r="Q3307" s="224"/>
      <c r="S3307" s="202"/>
      <c r="T3307"/>
    </row>
    <row r="3308" spans="15:20">
      <c r="O3308" s="247"/>
      <c r="P3308"/>
      <c r="Q3308" s="224"/>
      <c r="S3308" s="202"/>
      <c r="T3308"/>
    </row>
    <row r="3309" spans="15:20">
      <c r="O3309" s="247"/>
      <c r="P3309"/>
      <c r="Q3309" s="224"/>
      <c r="S3309" s="202"/>
      <c r="T3309"/>
    </row>
    <row r="3310" spans="15:20">
      <c r="O3310" s="247"/>
      <c r="P3310"/>
      <c r="Q3310" s="224"/>
      <c r="S3310" s="202"/>
      <c r="T3310"/>
    </row>
    <row r="3311" spans="15:20">
      <c r="O3311" s="247"/>
      <c r="P3311"/>
      <c r="Q3311" s="224"/>
      <c r="S3311" s="202"/>
      <c r="T3311"/>
    </row>
    <row r="3312" spans="15:20">
      <c r="O3312" s="247"/>
      <c r="P3312"/>
      <c r="Q3312" s="224"/>
      <c r="S3312" s="202"/>
      <c r="T3312"/>
    </row>
    <row r="3313" spans="15:20">
      <c r="O3313" s="247"/>
      <c r="P3313"/>
      <c r="Q3313" s="224"/>
      <c r="S3313" s="202"/>
      <c r="T3313"/>
    </row>
    <row r="3314" spans="15:20">
      <c r="O3314" s="247"/>
      <c r="P3314"/>
      <c r="Q3314" s="224"/>
      <c r="S3314" s="202"/>
      <c r="T3314"/>
    </row>
    <row r="3315" spans="15:20">
      <c r="O3315" s="247"/>
      <c r="P3315"/>
      <c r="Q3315" s="224"/>
      <c r="S3315" s="202"/>
      <c r="T3315"/>
    </row>
    <row r="3316" spans="15:20">
      <c r="O3316" s="247"/>
      <c r="P3316"/>
      <c r="Q3316" s="224"/>
      <c r="S3316" s="202"/>
      <c r="T3316"/>
    </row>
    <row r="3317" spans="15:20">
      <c r="O3317" s="247"/>
      <c r="P3317"/>
      <c r="Q3317" s="224"/>
      <c r="S3317" s="202"/>
      <c r="T3317"/>
    </row>
    <row r="3318" spans="15:20">
      <c r="O3318" s="247"/>
      <c r="P3318"/>
      <c r="Q3318" s="224"/>
      <c r="S3318" s="202"/>
      <c r="T3318"/>
    </row>
    <row r="3319" spans="15:20">
      <c r="O3319" s="247"/>
      <c r="P3319"/>
      <c r="Q3319" s="224"/>
      <c r="S3319" s="202"/>
      <c r="T3319"/>
    </row>
    <row r="3320" spans="15:20">
      <c r="O3320" s="247"/>
      <c r="P3320"/>
      <c r="Q3320" s="224"/>
      <c r="S3320" s="202"/>
      <c r="T3320"/>
    </row>
    <row r="3321" spans="15:20">
      <c r="O3321" s="247"/>
      <c r="P3321"/>
      <c r="Q3321" s="224"/>
      <c r="S3321" s="202"/>
      <c r="T3321"/>
    </row>
    <row r="3322" spans="15:20">
      <c r="O3322" s="247"/>
      <c r="P3322"/>
      <c r="Q3322" s="224"/>
      <c r="S3322" s="202"/>
      <c r="T3322"/>
    </row>
    <row r="3323" spans="15:20">
      <c r="O3323" s="247"/>
      <c r="P3323"/>
      <c r="Q3323" s="224"/>
      <c r="S3323" s="202"/>
      <c r="T3323"/>
    </row>
    <row r="3324" spans="15:20">
      <c r="O3324" s="247"/>
      <c r="P3324"/>
      <c r="Q3324" s="224"/>
      <c r="S3324" s="202"/>
      <c r="T3324"/>
    </row>
    <row r="3325" spans="15:20">
      <c r="O3325" s="247"/>
      <c r="P3325"/>
      <c r="Q3325" s="224"/>
      <c r="S3325" s="202"/>
      <c r="T3325"/>
    </row>
    <row r="3326" spans="15:20">
      <c r="O3326" s="247"/>
      <c r="P3326"/>
      <c r="Q3326" s="224"/>
      <c r="S3326" s="202"/>
      <c r="T3326"/>
    </row>
    <row r="3327" spans="15:20">
      <c r="O3327" s="247"/>
      <c r="P3327"/>
      <c r="Q3327" s="224"/>
      <c r="S3327" s="202"/>
      <c r="T3327"/>
    </row>
    <row r="3328" spans="15:20">
      <c r="O3328" s="247"/>
      <c r="P3328"/>
      <c r="Q3328" s="224"/>
      <c r="S3328" s="202"/>
      <c r="T3328"/>
    </row>
    <row r="3329" spans="15:20">
      <c r="O3329" s="247"/>
      <c r="P3329"/>
      <c r="Q3329" s="224"/>
      <c r="S3329" s="202"/>
      <c r="T3329"/>
    </row>
    <row r="3330" spans="15:20">
      <c r="O3330" s="247"/>
      <c r="P3330"/>
      <c r="Q3330" s="224"/>
      <c r="S3330" s="202"/>
      <c r="T3330"/>
    </row>
    <row r="3331" spans="15:20">
      <c r="O3331" s="247"/>
      <c r="P3331"/>
      <c r="Q3331" s="224"/>
      <c r="S3331" s="202"/>
      <c r="T3331"/>
    </row>
    <row r="3332" spans="15:20">
      <c r="O3332" s="247"/>
      <c r="P3332"/>
      <c r="Q3332" s="224"/>
      <c r="S3332" s="202"/>
      <c r="T3332"/>
    </row>
    <row r="3333" spans="15:20">
      <c r="O3333" s="247"/>
      <c r="P3333"/>
      <c r="Q3333" s="224"/>
      <c r="S3333" s="202"/>
      <c r="T3333"/>
    </row>
    <row r="3334" spans="15:20">
      <c r="O3334" s="247"/>
      <c r="P3334"/>
      <c r="Q3334" s="224"/>
      <c r="S3334" s="202"/>
      <c r="T3334"/>
    </row>
    <row r="3335" spans="15:20">
      <c r="O3335" s="247"/>
      <c r="P3335"/>
      <c r="Q3335" s="224"/>
      <c r="S3335" s="202"/>
      <c r="T3335"/>
    </row>
    <row r="3336" spans="15:20">
      <c r="O3336" s="247"/>
      <c r="P3336"/>
      <c r="Q3336" s="224"/>
      <c r="S3336" s="202"/>
      <c r="T3336"/>
    </row>
    <row r="3337" spans="15:20">
      <c r="O3337" s="247"/>
      <c r="P3337"/>
      <c r="Q3337" s="224"/>
      <c r="S3337" s="202"/>
      <c r="T3337"/>
    </row>
    <row r="3338" spans="15:20">
      <c r="O3338" s="247"/>
      <c r="P3338"/>
      <c r="Q3338" s="224"/>
      <c r="S3338" s="202"/>
      <c r="T3338"/>
    </row>
    <row r="3339" spans="15:20">
      <c r="O3339" s="247"/>
      <c r="P3339"/>
      <c r="Q3339" s="224"/>
      <c r="S3339" s="202"/>
      <c r="T3339"/>
    </row>
    <row r="3340" spans="15:20">
      <c r="O3340" s="247"/>
      <c r="P3340"/>
      <c r="Q3340" s="224"/>
      <c r="S3340" s="202"/>
      <c r="T3340"/>
    </row>
    <row r="3341" spans="15:20">
      <c r="O3341" s="247"/>
      <c r="P3341"/>
      <c r="Q3341" s="224"/>
      <c r="S3341" s="202"/>
      <c r="T3341"/>
    </row>
    <row r="3342" spans="15:20">
      <c r="O3342" s="247"/>
      <c r="P3342"/>
      <c r="Q3342" s="224"/>
      <c r="S3342" s="202"/>
      <c r="T3342"/>
    </row>
    <row r="3343" spans="15:20">
      <c r="O3343" s="247"/>
      <c r="P3343"/>
      <c r="Q3343" s="224"/>
      <c r="S3343" s="202"/>
      <c r="T3343"/>
    </row>
    <row r="3344" spans="15:20">
      <c r="O3344" s="247"/>
      <c r="P3344"/>
      <c r="Q3344" s="224"/>
      <c r="S3344" s="202"/>
      <c r="T3344"/>
    </row>
    <row r="3345" spans="15:20">
      <c r="O3345" s="247"/>
      <c r="P3345"/>
      <c r="Q3345" s="224"/>
      <c r="S3345" s="202"/>
      <c r="T3345"/>
    </row>
    <row r="3346" spans="15:20">
      <c r="O3346" s="247"/>
      <c r="P3346"/>
      <c r="Q3346" s="224"/>
      <c r="S3346" s="202"/>
      <c r="T3346"/>
    </row>
    <row r="3347" spans="15:20">
      <c r="O3347" s="247"/>
      <c r="P3347"/>
      <c r="Q3347" s="224"/>
      <c r="S3347" s="202"/>
      <c r="T3347"/>
    </row>
    <row r="3348" spans="15:20">
      <c r="O3348" s="247"/>
      <c r="P3348"/>
      <c r="Q3348" s="224"/>
      <c r="S3348" s="202"/>
      <c r="T3348"/>
    </row>
    <row r="3349" spans="15:20">
      <c r="O3349" s="247"/>
      <c r="P3349"/>
      <c r="Q3349" s="224"/>
      <c r="S3349" s="202"/>
      <c r="T3349"/>
    </row>
    <row r="3350" spans="15:20">
      <c r="O3350" s="247"/>
      <c r="P3350"/>
      <c r="Q3350" s="224"/>
      <c r="S3350" s="202"/>
      <c r="T3350"/>
    </row>
    <row r="3351" spans="15:20">
      <c r="O3351" s="247"/>
      <c r="P3351"/>
      <c r="Q3351" s="224"/>
      <c r="S3351" s="202"/>
      <c r="T3351"/>
    </row>
    <row r="3352" spans="15:20">
      <c r="O3352" s="247"/>
      <c r="P3352"/>
      <c r="Q3352" s="224"/>
      <c r="S3352" s="202"/>
      <c r="T3352"/>
    </row>
    <row r="3353" spans="15:20">
      <c r="O3353" s="247"/>
      <c r="P3353"/>
      <c r="Q3353" s="224"/>
      <c r="S3353" s="202"/>
      <c r="T3353"/>
    </row>
    <row r="3354" spans="15:20">
      <c r="O3354" s="247"/>
      <c r="P3354"/>
      <c r="Q3354" s="224"/>
      <c r="S3354" s="202"/>
      <c r="T3354"/>
    </row>
    <row r="3355" spans="15:20">
      <c r="O3355" s="247"/>
      <c r="P3355"/>
      <c r="Q3355" s="224"/>
      <c r="S3355" s="202"/>
      <c r="T3355"/>
    </row>
    <row r="3356" spans="15:20">
      <c r="O3356" s="247"/>
      <c r="P3356"/>
      <c r="Q3356" s="224"/>
      <c r="S3356" s="202"/>
      <c r="T3356"/>
    </row>
    <row r="3357" spans="15:20">
      <c r="O3357" s="247"/>
      <c r="P3357"/>
      <c r="Q3357" s="224"/>
      <c r="S3357" s="202"/>
      <c r="T3357"/>
    </row>
    <row r="3358" spans="15:20">
      <c r="O3358" s="247"/>
      <c r="P3358"/>
      <c r="Q3358" s="224"/>
      <c r="S3358" s="202"/>
      <c r="T3358"/>
    </row>
    <row r="3359" spans="15:20">
      <c r="O3359" s="247"/>
      <c r="P3359"/>
      <c r="Q3359" s="224"/>
      <c r="S3359" s="202"/>
      <c r="T3359"/>
    </row>
    <row r="3360" spans="15:20">
      <c r="O3360" s="247"/>
      <c r="P3360"/>
      <c r="Q3360" s="224"/>
      <c r="S3360" s="202"/>
      <c r="T3360"/>
    </row>
    <row r="3361" spans="15:20">
      <c r="O3361" s="247"/>
      <c r="P3361"/>
      <c r="Q3361" s="224"/>
      <c r="S3361" s="202"/>
      <c r="T3361"/>
    </row>
    <row r="3362" spans="15:20">
      <c r="O3362" s="247"/>
      <c r="P3362"/>
      <c r="Q3362" s="224"/>
      <c r="S3362" s="202"/>
      <c r="T3362"/>
    </row>
    <row r="3363" spans="15:20">
      <c r="O3363" s="247"/>
      <c r="P3363"/>
      <c r="Q3363" s="224"/>
      <c r="S3363" s="202"/>
      <c r="T3363"/>
    </row>
    <row r="3364" spans="15:20">
      <c r="O3364" s="247"/>
      <c r="P3364"/>
      <c r="Q3364" s="224"/>
      <c r="S3364" s="202"/>
      <c r="T3364"/>
    </row>
    <row r="3365" spans="15:20">
      <c r="O3365" s="247"/>
      <c r="P3365"/>
      <c r="Q3365" s="224"/>
      <c r="S3365" s="202"/>
      <c r="T3365"/>
    </row>
    <row r="3366" spans="15:20">
      <c r="O3366" s="247"/>
      <c r="P3366"/>
      <c r="Q3366" s="224"/>
      <c r="S3366" s="202"/>
      <c r="T3366"/>
    </row>
    <row r="3367" spans="15:20">
      <c r="O3367" s="247"/>
      <c r="P3367"/>
      <c r="Q3367" s="224"/>
      <c r="S3367" s="202"/>
      <c r="T3367"/>
    </row>
    <row r="3368" spans="15:20">
      <c r="O3368" s="247"/>
      <c r="P3368"/>
      <c r="Q3368" s="224"/>
      <c r="S3368" s="202"/>
      <c r="T3368"/>
    </row>
    <row r="3369" spans="15:20">
      <c r="O3369" s="247"/>
      <c r="P3369"/>
      <c r="Q3369" s="224"/>
      <c r="S3369" s="202"/>
      <c r="T3369"/>
    </row>
    <row r="3370" spans="15:20">
      <c r="O3370" s="247"/>
      <c r="P3370"/>
      <c r="Q3370" s="224"/>
      <c r="S3370" s="202"/>
      <c r="T3370"/>
    </row>
    <row r="3371" spans="15:20">
      <c r="O3371" s="247"/>
      <c r="P3371"/>
      <c r="Q3371" s="224"/>
      <c r="S3371" s="202"/>
      <c r="T3371"/>
    </row>
    <row r="3372" spans="15:20">
      <c r="O3372" s="247"/>
      <c r="P3372"/>
      <c r="Q3372" s="224"/>
      <c r="S3372" s="202"/>
      <c r="T3372"/>
    </row>
    <row r="3373" spans="15:20">
      <c r="O3373" s="247"/>
      <c r="P3373"/>
      <c r="Q3373" s="224"/>
      <c r="S3373" s="202"/>
      <c r="T3373"/>
    </row>
    <row r="3374" spans="15:20">
      <c r="O3374" s="247"/>
      <c r="P3374"/>
      <c r="Q3374" s="224"/>
      <c r="S3374" s="202"/>
      <c r="T3374"/>
    </row>
    <row r="3375" spans="15:20">
      <c r="O3375" s="247"/>
      <c r="P3375"/>
      <c r="Q3375" s="224"/>
      <c r="S3375" s="202"/>
      <c r="T3375"/>
    </row>
    <row r="3376" spans="15:20">
      <c r="O3376" s="247"/>
      <c r="P3376"/>
      <c r="Q3376" s="224"/>
      <c r="S3376" s="202"/>
      <c r="T3376"/>
    </row>
    <row r="3377" spans="15:20">
      <c r="O3377" s="247"/>
      <c r="P3377"/>
      <c r="Q3377" s="224"/>
      <c r="S3377" s="202"/>
      <c r="T3377"/>
    </row>
    <row r="3378" spans="15:20">
      <c r="O3378" s="247"/>
      <c r="P3378"/>
      <c r="Q3378" s="224"/>
      <c r="S3378" s="202"/>
      <c r="T3378"/>
    </row>
    <row r="3379" spans="15:20">
      <c r="O3379" s="247"/>
      <c r="P3379"/>
      <c r="Q3379" s="224"/>
      <c r="S3379" s="202"/>
      <c r="T3379"/>
    </row>
    <row r="3380" spans="15:20">
      <c r="O3380" s="247"/>
      <c r="P3380"/>
      <c r="Q3380" s="224"/>
      <c r="S3380" s="202"/>
      <c r="T3380"/>
    </row>
    <row r="3381" spans="15:20">
      <c r="O3381" s="247"/>
      <c r="P3381"/>
      <c r="Q3381" s="224"/>
      <c r="S3381" s="202"/>
      <c r="T3381"/>
    </row>
    <row r="3382" spans="15:20">
      <c r="O3382" s="247"/>
      <c r="P3382"/>
      <c r="Q3382" s="224"/>
      <c r="S3382" s="202"/>
      <c r="T3382"/>
    </row>
    <row r="3383" spans="15:20">
      <c r="O3383" s="247"/>
      <c r="P3383"/>
      <c r="Q3383" s="224"/>
      <c r="S3383" s="202"/>
      <c r="T3383"/>
    </row>
    <row r="3384" spans="15:20">
      <c r="O3384" s="247"/>
      <c r="P3384"/>
      <c r="Q3384" s="224"/>
      <c r="S3384" s="202"/>
      <c r="T3384"/>
    </row>
    <row r="3385" spans="15:20">
      <c r="O3385" s="247"/>
      <c r="P3385"/>
      <c r="Q3385" s="224"/>
      <c r="S3385" s="202"/>
      <c r="T3385"/>
    </row>
    <row r="3386" spans="15:20">
      <c r="O3386" s="247"/>
      <c r="P3386"/>
      <c r="Q3386" s="224"/>
      <c r="S3386" s="202"/>
      <c r="T3386"/>
    </row>
    <row r="3387" spans="15:20">
      <c r="O3387" s="247"/>
      <c r="P3387"/>
      <c r="Q3387" s="224"/>
      <c r="S3387" s="202"/>
      <c r="T3387"/>
    </row>
    <row r="3388" spans="15:20">
      <c r="O3388" s="247"/>
      <c r="P3388"/>
      <c r="Q3388" s="224"/>
      <c r="S3388" s="202"/>
      <c r="T3388"/>
    </row>
    <row r="3389" spans="15:20">
      <c r="O3389" s="247"/>
      <c r="P3389"/>
      <c r="Q3389" s="224"/>
      <c r="S3389" s="202"/>
      <c r="T3389"/>
    </row>
    <row r="3390" spans="15:20">
      <c r="O3390" s="247"/>
      <c r="P3390"/>
      <c r="Q3390" s="224"/>
      <c r="S3390" s="202"/>
      <c r="T3390"/>
    </row>
    <row r="3391" spans="15:20">
      <c r="O3391" s="247"/>
      <c r="P3391"/>
      <c r="Q3391" s="224"/>
      <c r="S3391" s="202"/>
      <c r="T3391"/>
    </row>
    <row r="3392" spans="15:20">
      <c r="O3392" s="247"/>
      <c r="P3392"/>
      <c r="Q3392" s="224"/>
      <c r="S3392" s="202"/>
      <c r="T3392"/>
    </row>
    <row r="3393" spans="15:20">
      <c r="O3393" s="247"/>
      <c r="P3393"/>
      <c r="Q3393" s="224"/>
      <c r="S3393" s="202"/>
      <c r="T3393"/>
    </row>
    <row r="3394" spans="15:20">
      <c r="O3394" s="247"/>
      <c r="P3394"/>
      <c r="Q3394" s="224"/>
      <c r="S3394" s="202"/>
      <c r="T3394"/>
    </row>
    <row r="3395" spans="15:20">
      <c r="O3395" s="247"/>
      <c r="P3395"/>
      <c r="Q3395" s="224"/>
      <c r="S3395" s="202"/>
      <c r="T3395"/>
    </row>
    <row r="3396" spans="15:20">
      <c r="O3396" s="247"/>
      <c r="P3396"/>
      <c r="Q3396" s="224"/>
      <c r="S3396" s="202"/>
      <c r="T3396"/>
    </row>
    <row r="3397" spans="15:20">
      <c r="O3397" s="247"/>
      <c r="P3397"/>
      <c r="Q3397" s="224"/>
      <c r="S3397" s="202"/>
      <c r="T3397"/>
    </row>
    <row r="3398" spans="15:20">
      <c r="O3398" s="247"/>
      <c r="P3398"/>
      <c r="Q3398" s="224"/>
      <c r="S3398" s="202"/>
      <c r="T3398"/>
    </row>
    <row r="3399" spans="15:20">
      <c r="O3399" s="247"/>
      <c r="P3399"/>
      <c r="Q3399" s="224"/>
      <c r="S3399" s="202"/>
      <c r="T3399"/>
    </row>
    <row r="3400" spans="15:20">
      <c r="O3400" s="247"/>
      <c r="P3400"/>
      <c r="Q3400" s="224"/>
      <c r="S3400" s="202"/>
      <c r="T3400"/>
    </row>
    <row r="3401" spans="15:20">
      <c r="O3401" s="247"/>
      <c r="P3401"/>
      <c r="Q3401" s="224"/>
      <c r="S3401" s="202"/>
      <c r="T3401"/>
    </row>
    <row r="3402" spans="15:20">
      <c r="O3402" s="247"/>
      <c r="P3402"/>
      <c r="Q3402" s="224"/>
      <c r="S3402" s="202"/>
      <c r="T3402"/>
    </row>
    <row r="3403" spans="15:20">
      <c r="O3403" s="247"/>
      <c r="P3403"/>
      <c r="Q3403" s="224"/>
      <c r="S3403" s="202"/>
      <c r="T3403"/>
    </row>
    <row r="3404" spans="15:20">
      <c r="O3404" s="247"/>
      <c r="P3404"/>
      <c r="Q3404" s="224"/>
      <c r="S3404" s="202"/>
      <c r="T3404"/>
    </row>
    <row r="3405" spans="15:20">
      <c r="O3405" s="247"/>
      <c r="P3405"/>
      <c r="Q3405" s="224"/>
      <c r="S3405" s="202"/>
      <c r="T3405"/>
    </row>
    <row r="3406" spans="15:20">
      <c r="O3406" s="247"/>
      <c r="P3406"/>
      <c r="Q3406" s="224"/>
      <c r="S3406" s="202"/>
      <c r="T3406"/>
    </row>
    <row r="3407" spans="15:20">
      <c r="O3407" s="247"/>
      <c r="P3407"/>
      <c r="Q3407" s="224"/>
      <c r="S3407" s="202"/>
      <c r="T3407"/>
    </row>
    <row r="3408" spans="15:20">
      <c r="O3408" s="247"/>
      <c r="P3408"/>
      <c r="Q3408" s="224"/>
      <c r="S3408" s="202"/>
      <c r="T3408"/>
    </row>
    <row r="3409" spans="15:20">
      <c r="O3409" s="247"/>
      <c r="P3409"/>
      <c r="Q3409" s="224"/>
      <c r="S3409" s="202"/>
      <c r="T3409"/>
    </row>
    <row r="3410" spans="15:20">
      <c r="O3410" s="247"/>
      <c r="P3410"/>
      <c r="Q3410" s="224"/>
      <c r="S3410" s="202"/>
      <c r="T3410"/>
    </row>
    <row r="3411" spans="15:20">
      <c r="O3411" s="247"/>
      <c r="P3411"/>
      <c r="Q3411" s="224"/>
      <c r="S3411" s="202"/>
      <c r="T3411"/>
    </row>
    <row r="3412" spans="15:20">
      <c r="O3412" s="247"/>
      <c r="P3412"/>
      <c r="Q3412" s="224"/>
      <c r="S3412" s="202"/>
      <c r="T3412"/>
    </row>
    <row r="3413" spans="15:20">
      <c r="O3413" s="247"/>
      <c r="P3413"/>
      <c r="Q3413" s="224"/>
      <c r="S3413" s="202"/>
      <c r="T3413"/>
    </row>
    <row r="3414" spans="15:20">
      <c r="O3414" s="247"/>
      <c r="P3414"/>
      <c r="Q3414" s="224"/>
      <c r="S3414" s="202"/>
      <c r="T3414"/>
    </row>
    <row r="3415" spans="15:20">
      <c r="O3415" s="247"/>
      <c r="P3415"/>
      <c r="Q3415" s="224"/>
      <c r="S3415" s="202"/>
      <c r="T3415"/>
    </row>
    <row r="3416" spans="15:20">
      <c r="O3416" s="247"/>
      <c r="P3416"/>
      <c r="Q3416" s="224"/>
      <c r="S3416" s="202"/>
      <c r="T3416"/>
    </row>
    <row r="3417" spans="15:20">
      <c r="O3417" s="247"/>
      <c r="P3417"/>
      <c r="Q3417" s="224"/>
      <c r="S3417" s="202"/>
      <c r="T3417"/>
    </row>
    <row r="3418" spans="15:20">
      <c r="O3418" s="247"/>
      <c r="P3418"/>
      <c r="Q3418" s="224"/>
      <c r="S3418" s="202"/>
      <c r="T3418"/>
    </row>
    <row r="3419" spans="15:20">
      <c r="O3419" s="247"/>
      <c r="P3419"/>
      <c r="Q3419" s="224"/>
      <c r="S3419" s="202"/>
      <c r="T3419"/>
    </row>
    <row r="3420" spans="15:20">
      <c r="O3420" s="247"/>
      <c r="P3420"/>
      <c r="Q3420" s="224"/>
      <c r="S3420" s="202"/>
      <c r="T3420"/>
    </row>
    <row r="3421" spans="15:20">
      <c r="O3421" s="247"/>
      <c r="P3421"/>
      <c r="Q3421" s="224"/>
      <c r="S3421" s="202"/>
      <c r="T3421"/>
    </row>
    <row r="3422" spans="15:20">
      <c r="O3422" s="247"/>
      <c r="P3422"/>
      <c r="Q3422" s="224"/>
      <c r="S3422" s="202"/>
      <c r="T3422"/>
    </row>
    <row r="3423" spans="15:20">
      <c r="O3423" s="247"/>
      <c r="P3423"/>
      <c r="Q3423" s="224"/>
      <c r="S3423" s="202"/>
      <c r="T3423"/>
    </row>
    <row r="3424" spans="15:20">
      <c r="O3424" s="247"/>
      <c r="P3424"/>
      <c r="Q3424" s="224"/>
      <c r="S3424" s="202"/>
      <c r="T3424"/>
    </row>
    <row r="3425" spans="15:20">
      <c r="O3425" s="247"/>
      <c r="P3425"/>
      <c r="Q3425" s="224"/>
      <c r="S3425" s="202"/>
      <c r="T3425"/>
    </row>
    <row r="3426" spans="15:20">
      <c r="O3426" s="247"/>
      <c r="P3426"/>
      <c r="Q3426" s="224"/>
      <c r="S3426" s="202"/>
      <c r="T3426"/>
    </row>
    <row r="3427" spans="15:20">
      <c r="O3427" s="247"/>
      <c r="P3427"/>
      <c r="Q3427" s="224"/>
      <c r="S3427" s="202"/>
      <c r="T3427"/>
    </row>
    <row r="3428" spans="15:20">
      <c r="O3428" s="247"/>
      <c r="P3428"/>
      <c r="Q3428" s="224"/>
      <c r="S3428" s="202"/>
      <c r="T3428"/>
    </row>
    <row r="3429" spans="15:20">
      <c r="O3429" s="247"/>
      <c r="P3429"/>
      <c r="Q3429" s="224"/>
      <c r="S3429" s="202"/>
      <c r="T3429"/>
    </row>
    <row r="3430" spans="15:20">
      <c r="O3430" s="247"/>
      <c r="P3430"/>
      <c r="Q3430" s="224"/>
      <c r="S3430" s="202"/>
      <c r="T3430"/>
    </row>
    <row r="3431" spans="15:20">
      <c r="O3431" s="247"/>
      <c r="P3431"/>
      <c r="Q3431" s="224"/>
      <c r="S3431" s="202"/>
      <c r="T3431"/>
    </row>
    <row r="3432" spans="15:20">
      <c r="O3432" s="247"/>
      <c r="P3432"/>
      <c r="Q3432" s="224"/>
      <c r="S3432" s="202"/>
      <c r="T3432"/>
    </row>
    <row r="3433" spans="15:20">
      <c r="O3433" s="247"/>
      <c r="P3433"/>
      <c r="Q3433" s="224"/>
      <c r="S3433" s="202"/>
      <c r="T3433"/>
    </row>
    <row r="3434" spans="15:20">
      <c r="O3434" s="247"/>
      <c r="P3434"/>
      <c r="Q3434" s="224"/>
      <c r="S3434" s="202"/>
      <c r="T3434"/>
    </row>
    <row r="3435" spans="15:20">
      <c r="O3435" s="247"/>
      <c r="P3435"/>
      <c r="Q3435" s="224"/>
      <c r="S3435" s="202"/>
      <c r="T3435"/>
    </row>
    <row r="3436" spans="15:20">
      <c r="O3436" s="247"/>
      <c r="P3436"/>
      <c r="Q3436" s="224"/>
      <c r="S3436" s="202"/>
      <c r="T3436"/>
    </row>
    <row r="3437" spans="15:20">
      <c r="O3437" s="247"/>
      <c r="P3437"/>
      <c r="Q3437" s="224"/>
      <c r="S3437" s="202"/>
      <c r="T3437"/>
    </row>
    <row r="3438" spans="15:20">
      <c r="O3438" s="247"/>
      <c r="P3438"/>
      <c r="Q3438" s="224"/>
      <c r="S3438" s="202"/>
      <c r="T3438"/>
    </row>
    <row r="3439" spans="15:20">
      <c r="O3439" s="247"/>
      <c r="P3439"/>
      <c r="Q3439" s="224"/>
      <c r="S3439" s="202"/>
      <c r="T3439"/>
    </row>
    <row r="3440" spans="15:20">
      <c r="O3440" s="247"/>
      <c r="P3440"/>
      <c r="Q3440" s="224"/>
      <c r="S3440" s="202"/>
      <c r="T3440"/>
    </row>
    <row r="3441" spans="15:20">
      <c r="O3441" s="247"/>
      <c r="P3441"/>
      <c r="Q3441" s="224"/>
      <c r="S3441" s="202"/>
      <c r="T3441"/>
    </row>
    <row r="3442" spans="15:20">
      <c r="O3442" s="247"/>
      <c r="P3442"/>
      <c r="Q3442" s="224"/>
      <c r="S3442" s="202"/>
      <c r="T3442"/>
    </row>
    <row r="3443" spans="15:20">
      <c r="O3443" s="247"/>
      <c r="P3443"/>
      <c r="Q3443" s="224"/>
      <c r="S3443" s="202"/>
      <c r="T3443"/>
    </row>
    <row r="3444" spans="15:20">
      <c r="O3444" s="247"/>
      <c r="P3444"/>
      <c r="Q3444" s="224"/>
      <c r="S3444" s="202"/>
      <c r="T3444"/>
    </row>
    <row r="3445" spans="15:20">
      <c r="O3445" s="247"/>
      <c r="P3445"/>
      <c r="Q3445" s="224"/>
      <c r="S3445" s="202"/>
      <c r="T3445"/>
    </row>
    <row r="3446" spans="15:20">
      <c r="O3446" s="247"/>
      <c r="P3446"/>
      <c r="Q3446" s="224"/>
      <c r="S3446" s="202"/>
      <c r="T3446"/>
    </row>
    <row r="3447" spans="15:20">
      <c r="O3447" s="247"/>
      <c r="P3447"/>
      <c r="Q3447" s="224"/>
      <c r="S3447" s="202"/>
      <c r="T3447"/>
    </row>
    <row r="3448" spans="15:20">
      <c r="O3448" s="247"/>
      <c r="P3448"/>
      <c r="Q3448" s="224"/>
      <c r="S3448" s="202"/>
      <c r="T3448"/>
    </row>
    <row r="3449" spans="15:20">
      <c r="O3449" s="247"/>
      <c r="P3449"/>
      <c r="Q3449" s="224"/>
      <c r="S3449" s="202"/>
      <c r="T3449"/>
    </row>
    <row r="3450" spans="15:20">
      <c r="O3450" s="247"/>
      <c r="P3450"/>
      <c r="Q3450" s="224"/>
      <c r="S3450" s="202"/>
      <c r="T3450"/>
    </row>
    <row r="3451" spans="15:20">
      <c r="O3451" s="247"/>
      <c r="P3451"/>
      <c r="Q3451" s="224"/>
      <c r="S3451" s="202"/>
      <c r="T3451"/>
    </row>
    <row r="3452" spans="15:20">
      <c r="O3452" s="247"/>
      <c r="P3452"/>
      <c r="Q3452" s="224"/>
      <c r="S3452" s="202"/>
      <c r="T3452"/>
    </row>
    <row r="3453" spans="15:20">
      <c r="O3453" s="247"/>
      <c r="P3453"/>
      <c r="Q3453" s="224"/>
      <c r="S3453" s="202"/>
      <c r="T3453"/>
    </row>
    <row r="3454" spans="15:20">
      <c r="O3454" s="247"/>
      <c r="P3454"/>
      <c r="Q3454" s="224"/>
      <c r="S3454" s="202"/>
      <c r="T3454"/>
    </row>
    <row r="3455" spans="15:20">
      <c r="O3455" s="247"/>
      <c r="P3455"/>
      <c r="Q3455" s="224"/>
      <c r="S3455" s="202"/>
      <c r="T3455"/>
    </row>
    <row r="3456" spans="15:20">
      <c r="O3456" s="247"/>
      <c r="P3456"/>
      <c r="Q3456" s="224"/>
      <c r="S3456" s="202"/>
      <c r="T3456"/>
    </row>
    <row r="3457" spans="15:20">
      <c r="O3457" s="247"/>
      <c r="P3457"/>
      <c r="Q3457" s="224"/>
      <c r="S3457" s="202"/>
      <c r="T3457"/>
    </row>
    <row r="3458" spans="15:20">
      <c r="O3458" s="247"/>
      <c r="P3458"/>
      <c r="Q3458" s="224"/>
      <c r="S3458" s="202"/>
      <c r="T3458"/>
    </row>
    <row r="3459" spans="15:20">
      <c r="O3459" s="247"/>
      <c r="P3459"/>
      <c r="Q3459" s="224"/>
      <c r="S3459" s="202"/>
      <c r="T3459"/>
    </row>
    <row r="3460" spans="15:20">
      <c r="O3460" s="247"/>
      <c r="P3460"/>
      <c r="Q3460" s="224"/>
      <c r="S3460" s="202"/>
      <c r="T3460"/>
    </row>
    <row r="3461" spans="15:20">
      <c r="O3461" s="247"/>
      <c r="P3461"/>
      <c r="Q3461" s="224"/>
      <c r="S3461" s="202"/>
      <c r="T3461"/>
    </row>
    <row r="3462" spans="15:20">
      <c r="O3462" s="247"/>
      <c r="P3462"/>
      <c r="Q3462" s="224"/>
      <c r="S3462" s="202"/>
      <c r="T3462"/>
    </row>
    <row r="3463" spans="15:20">
      <c r="O3463" s="247"/>
      <c r="P3463"/>
      <c r="Q3463" s="224"/>
      <c r="S3463" s="202"/>
      <c r="T3463"/>
    </row>
    <row r="3464" spans="15:20">
      <c r="O3464" s="247"/>
      <c r="P3464"/>
      <c r="Q3464" s="224"/>
      <c r="S3464" s="202"/>
      <c r="T3464"/>
    </row>
    <row r="3465" spans="15:20">
      <c r="O3465" s="247"/>
      <c r="P3465"/>
      <c r="Q3465" s="224"/>
      <c r="S3465" s="202"/>
      <c r="T3465"/>
    </row>
    <row r="3466" spans="15:20">
      <c r="O3466" s="247"/>
      <c r="P3466"/>
      <c r="Q3466" s="224"/>
      <c r="S3466" s="202"/>
      <c r="T3466"/>
    </row>
    <row r="3467" spans="15:20">
      <c r="O3467" s="247"/>
      <c r="P3467"/>
      <c r="Q3467" s="224"/>
      <c r="S3467" s="202"/>
      <c r="T3467"/>
    </row>
    <row r="3468" spans="15:20">
      <c r="O3468" s="247"/>
      <c r="P3468"/>
      <c r="Q3468" s="224"/>
      <c r="S3468" s="202"/>
      <c r="T3468"/>
    </row>
    <row r="3469" spans="15:20">
      <c r="O3469" s="247"/>
      <c r="P3469"/>
      <c r="Q3469" s="224"/>
      <c r="S3469" s="202"/>
      <c r="T3469"/>
    </row>
    <row r="3470" spans="15:20">
      <c r="O3470" s="247"/>
      <c r="P3470"/>
      <c r="Q3470" s="224"/>
      <c r="S3470" s="202"/>
      <c r="T3470"/>
    </row>
    <row r="3471" spans="15:20">
      <c r="O3471" s="247"/>
      <c r="P3471"/>
      <c r="Q3471" s="224"/>
      <c r="S3471" s="202"/>
      <c r="T3471"/>
    </row>
    <row r="3472" spans="15:20">
      <c r="O3472" s="247"/>
      <c r="P3472"/>
      <c r="Q3472" s="224"/>
      <c r="S3472" s="202"/>
      <c r="T3472"/>
    </row>
    <row r="3473" spans="15:20">
      <c r="O3473" s="247"/>
      <c r="P3473"/>
      <c r="Q3473" s="224"/>
      <c r="S3473" s="202"/>
      <c r="T3473"/>
    </row>
    <row r="3474" spans="15:20">
      <c r="O3474" s="247"/>
      <c r="P3474"/>
      <c r="Q3474" s="224"/>
      <c r="S3474" s="202"/>
      <c r="T3474"/>
    </row>
    <row r="3475" spans="15:20">
      <c r="O3475" s="247"/>
      <c r="P3475"/>
      <c r="Q3475" s="224"/>
      <c r="S3475" s="202"/>
      <c r="T3475"/>
    </row>
    <row r="3476" spans="15:20">
      <c r="O3476" s="247"/>
      <c r="P3476"/>
      <c r="Q3476" s="224"/>
      <c r="S3476" s="202"/>
      <c r="T3476"/>
    </row>
    <row r="3477" spans="15:20">
      <c r="O3477" s="247"/>
      <c r="P3477"/>
      <c r="Q3477" s="224"/>
      <c r="S3477" s="202"/>
      <c r="T3477"/>
    </row>
    <row r="3478" spans="15:20">
      <c r="O3478" s="247"/>
      <c r="P3478"/>
      <c r="Q3478" s="224"/>
      <c r="S3478" s="202"/>
      <c r="T3478"/>
    </row>
    <row r="3479" spans="15:20">
      <c r="O3479" s="247"/>
      <c r="P3479"/>
      <c r="Q3479" s="224"/>
      <c r="S3479" s="202"/>
      <c r="T3479"/>
    </row>
    <row r="3480" spans="15:20">
      <c r="O3480" s="247"/>
      <c r="P3480"/>
      <c r="Q3480" s="224"/>
      <c r="S3480" s="202"/>
      <c r="T3480"/>
    </row>
    <row r="3481" spans="15:20">
      <c r="O3481" s="247"/>
      <c r="P3481"/>
      <c r="Q3481" s="224"/>
      <c r="S3481" s="202"/>
      <c r="T3481"/>
    </row>
    <row r="3482" spans="15:20">
      <c r="O3482" s="247"/>
      <c r="P3482"/>
      <c r="Q3482" s="224"/>
      <c r="S3482" s="202"/>
      <c r="T3482"/>
    </row>
    <row r="3483" spans="15:20">
      <c r="O3483" s="247"/>
      <c r="P3483"/>
      <c r="Q3483" s="224"/>
      <c r="S3483" s="202"/>
      <c r="T3483"/>
    </row>
    <row r="3484" spans="15:20">
      <c r="O3484" s="247"/>
      <c r="P3484"/>
      <c r="Q3484" s="224"/>
      <c r="S3484" s="202"/>
      <c r="T3484"/>
    </row>
    <row r="3485" spans="15:20">
      <c r="O3485" s="247"/>
      <c r="P3485"/>
      <c r="Q3485" s="224"/>
      <c r="S3485" s="202"/>
      <c r="T3485"/>
    </row>
    <row r="3486" spans="15:20">
      <c r="O3486" s="247"/>
      <c r="P3486"/>
      <c r="Q3486" s="224"/>
      <c r="S3486" s="202"/>
      <c r="T3486"/>
    </row>
    <row r="3487" spans="15:20">
      <c r="O3487" s="247"/>
      <c r="P3487"/>
      <c r="Q3487" s="224"/>
      <c r="S3487" s="202"/>
      <c r="T3487"/>
    </row>
    <row r="3488" spans="15:20">
      <c r="O3488" s="247"/>
      <c r="P3488"/>
      <c r="Q3488" s="224"/>
      <c r="S3488" s="202"/>
      <c r="T3488"/>
    </row>
    <row r="3489" spans="15:20">
      <c r="O3489" s="247"/>
      <c r="P3489"/>
      <c r="Q3489" s="224"/>
      <c r="S3489" s="202"/>
      <c r="T3489"/>
    </row>
    <row r="3490" spans="15:20">
      <c r="O3490" s="247"/>
      <c r="P3490"/>
      <c r="Q3490" s="224"/>
      <c r="S3490" s="202"/>
      <c r="T3490"/>
    </row>
    <row r="3491" spans="15:20">
      <c r="O3491" s="247"/>
      <c r="P3491"/>
      <c r="Q3491" s="224"/>
      <c r="S3491" s="202"/>
      <c r="T3491"/>
    </row>
    <row r="3492" spans="15:20">
      <c r="O3492" s="247"/>
      <c r="P3492"/>
      <c r="Q3492" s="224"/>
      <c r="S3492" s="202"/>
      <c r="T3492"/>
    </row>
    <row r="3493" spans="15:20">
      <c r="O3493" s="247"/>
      <c r="P3493"/>
      <c r="Q3493" s="224"/>
      <c r="S3493" s="202"/>
      <c r="T3493"/>
    </row>
    <row r="3494" spans="15:20">
      <c r="O3494" s="247"/>
      <c r="P3494"/>
      <c r="Q3494" s="224"/>
      <c r="S3494" s="202"/>
      <c r="T3494"/>
    </row>
    <row r="3495" spans="15:20">
      <c r="O3495" s="247"/>
      <c r="P3495"/>
      <c r="Q3495" s="224"/>
      <c r="S3495" s="202"/>
      <c r="T3495"/>
    </row>
    <row r="3496" spans="15:20">
      <c r="O3496" s="247"/>
      <c r="P3496"/>
      <c r="Q3496" s="224"/>
      <c r="S3496" s="202"/>
      <c r="T3496"/>
    </row>
    <row r="3497" spans="15:20">
      <c r="O3497" s="247"/>
      <c r="P3497"/>
      <c r="Q3497" s="224"/>
      <c r="S3497" s="202"/>
      <c r="T3497"/>
    </row>
    <row r="3498" spans="15:20">
      <c r="O3498" s="247"/>
      <c r="P3498"/>
      <c r="Q3498" s="224"/>
      <c r="S3498" s="202"/>
      <c r="T3498"/>
    </row>
    <row r="3499" spans="15:20">
      <c r="O3499" s="247"/>
      <c r="P3499"/>
      <c r="Q3499" s="224"/>
      <c r="S3499" s="202"/>
      <c r="T3499"/>
    </row>
    <row r="3500" spans="15:20">
      <c r="O3500" s="247"/>
      <c r="P3500"/>
      <c r="Q3500" s="224"/>
      <c r="S3500" s="202"/>
      <c r="T3500"/>
    </row>
    <row r="3501" spans="15:20">
      <c r="O3501" s="247"/>
      <c r="P3501"/>
      <c r="Q3501" s="224"/>
      <c r="S3501" s="202"/>
      <c r="T3501"/>
    </row>
    <row r="3502" spans="15:20">
      <c r="O3502" s="247"/>
      <c r="P3502"/>
      <c r="Q3502" s="224"/>
      <c r="S3502" s="202"/>
      <c r="T3502"/>
    </row>
    <row r="3503" spans="15:20">
      <c r="O3503" s="247"/>
      <c r="P3503"/>
      <c r="Q3503" s="224"/>
      <c r="S3503" s="202"/>
      <c r="T3503"/>
    </row>
    <row r="3504" spans="15:20">
      <c r="O3504" s="247"/>
      <c r="P3504"/>
      <c r="Q3504" s="224"/>
      <c r="S3504" s="202"/>
      <c r="T3504"/>
    </row>
    <row r="3505" spans="15:20">
      <c r="O3505" s="247"/>
      <c r="P3505"/>
      <c r="Q3505" s="224"/>
      <c r="S3505" s="202"/>
      <c r="T3505"/>
    </row>
    <row r="3506" spans="15:20">
      <c r="O3506" s="247"/>
      <c r="P3506"/>
      <c r="Q3506" s="224"/>
      <c r="S3506" s="202"/>
      <c r="T3506"/>
    </row>
    <row r="3507" spans="15:20">
      <c r="O3507" s="247"/>
      <c r="P3507"/>
      <c r="Q3507" s="224"/>
      <c r="S3507" s="202"/>
      <c r="T3507"/>
    </row>
    <row r="3508" spans="15:20">
      <c r="O3508" s="247"/>
      <c r="P3508"/>
      <c r="Q3508" s="224"/>
      <c r="S3508" s="202"/>
      <c r="T3508"/>
    </row>
    <row r="3509" spans="15:20">
      <c r="O3509" s="247"/>
      <c r="P3509"/>
      <c r="Q3509" s="224"/>
      <c r="S3509" s="202"/>
      <c r="T3509"/>
    </row>
    <row r="3510" spans="15:20">
      <c r="O3510" s="247"/>
      <c r="P3510"/>
      <c r="Q3510" s="224"/>
      <c r="S3510" s="202"/>
      <c r="T3510"/>
    </row>
    <row r="3511" spans="15:20">
      <c r="O3511" s="247"/>
      <c r="P3511"/>
      <c r="Q3511" s="224"/>
      <c r="S3511" s="202"/>
      <c r="T3511"/>
    </row>
    <row r="3512" spans="15:20">
      <c r="O3512" s="247"/>
      <c r="P3512"/>
      <c r="Q3512" s="224"/>
      <c r="S3512" s="202"/>
      <c r="T3512"/>
    </row>
    <row r="3513" spans="15:20">
      <c r="O3513" s="247"/>
      <c r="P3513"/>
      <c r="Q3513" s="224"/>
      <c r="S3513" s="202"/>
      <c r="T3513"/>
    </row>
    <row r="3514" spans="15:20">
      <c r="O3514" s="247"/>
      <c r="P3514"/>
      <c r="Q3514" s="224"/>
      <c r="S3514" s="202"/>
      <c r="T3514"/>
    </row>
    <row r="3515" spans="15:20">
      <c r="O3515" s="247"/>
      <c r="P3515"/>
      <c r="Q3515" s="224"/>
      <c r="S3515" s="202"/>
      <c r="T3515"/>
    </row>
    <row r="3516" spans="15:20">
      <c r="O3516" s="247"/>
      <c r="P3516"/>
      <c r="Q3516" s="224"/>
      <c r="S3516" s="202"/>
      <c r="T3516"/>
    </row>
    <row r="3517" spans="15:20">
      <c r="O3517" s="247"/>
      <c r="P3517"/>
      <c r="Q3517" s="224"/>
      <c r="S3517" s="202"/>
      <c r="T3517"/>
    </row>
    <row r="3518" spans="15:20">
      <c r="O3518" s="247"/>
      <c r="P3518"/>
      <c r="Q3518" s="224"/>
      <c r="S3518" s="202"/>
      <c r="T3518"/>
    </row>
    <row r="3519" spans="15:20">
      <c r="O3519" s="247"/>
      <c r="P3519"/>
      <c r="Q3519" s="224"/>
      <c r="S3519" s="202"/>
      <c r="T3519"/>
    </row>
    <row r="3520" spans="15:20">
      <c r="O3520" s="247"/>
      <c r="P3520"/>
      <c r="Q3520" s="224"/>
      <c r="S3520" s="202"/>
      <c r="T3520"/>
    </row>
    <row r="3521" spans="15:20">
      <c r="O3521" s="247"/>
      <c r="P3521"/>
      <c r="Q3521" s="224"/>
      <c r="S3521" s="202"/>
      <c r="T3521"/>
    </row>
    <row r="3522" spans="15:20">
      <c r="O3522" s="247"/>
      <c r="P3522"/>
      <c r="Q3522" s="224"/>
      <c r="S3522" s="202"/>
      <c r="T3522"/>
    </row>
    <row r="3523" spans="15:20">
      <c r="O3523" s="247"/>
      <c r="P3523"/>
      <c r="Q3523" s="224"/>
      <c r="S3523" s="202"/>
      <c r="T3523"/>
    </row>
    <row r="3524" spans="15:20">
      <c r="O3524" s="247"/>
      <c r="P3524"/>
      <c r="Q3524" s="224"/>
      <c r="S3524" s="202"/>
      <c r="T3524"/>
    </row>
    <row r="3525" spans="15:20">
      <c r="O3525" s="247"/>
      <c r="P3525"/>
      <c r="Q3525" s="224"/>
      <c r="S3525" s="202"/>
      <c r="T3525"/>
    </row>
    <row r="3526" spans="15:20">
      <c r="O3526" s="247"/>
      <c r="P3526"/>
      <c r="Q3526" s="224"/>
      <c r="S3526" s="202"/>
      <c r="T3526"/>
    </row>
    <row r="3527" spans="15:20">
      <c r="O3527" s="247"/>
      <c r="P3527"/>
      <c r="Q3527" s="224"/>
      <c r="S3527" s="202"/>
      <c r="T3527"/>
    </row>
    <row r="3528" spans="15:20">
      <c r="O3528" s="247"/>
      <c r="P3528"/>
      <c r="Q3528" s="224"/>
      <c r="S3528" s="202"/>
      <c r="T3528"/>
    </row>
    <row r="3529" spans="15:20">
      <c r="O3529" s="247"/>
      <c r="P3529"/>
      <c r="Q3529" s="224"/>
      <c r="S3529" s="202"/>
      <c r="T3529"/>
    </row>
    <row r="3530" spans="15:20">
      <c r="O3530" s="247"/>
      <c r="P3530"/>
      <c r="Q3530" s="224"/>
      <c r="S3530" s="202"/>
      <c r="T3530"/>
    </row>
    <row r="3531" spans="15:20">
      <c r="O3531" s="247"/>
      <c r="P3531"/>
      <c r="Q3531" s="224"/>
      <c r="S3531" s="202"/>
      <c r="T3531"/>
    </row>
    <row r="3532" spans="15:20">
      <c r="O3532" s="247"/>
      <c r="P3532"/>
      <c r="Q3532" s="224"/>
      <c r="S3532" s="202"/>
      <c r="T3532"/>
    </row>
    <row r="3533" spans="15:20">
      <c r="O3533" s="247"/>
      <c r="P3533"/>
      <c r="Q3533" s="224"/>
      <c r="S3533" s="202"/>
      <c r="T3533"/>
    </row>
    <row r="3534" spans="15:20">
      <c r="O3534" s="247"/>
      <c r="P3534"/>
      <c r="Q3534" s="224"/>
      <c r="S3534" s="202"/>
      <c r="T3534"/>
    </row>
    <row r="3535" spans="15:20">
      <c r="O3535" s="247"/>
      <c r="P3535"/>
      <c r="Q3535" s="224"/>
      <c r="S3535" s="202"/>
      <c r="T3535"/>
    </row>
    <row r="3536" spans="15:20">
      <c r="O3536" s="247"/>
      <c r="P3536"/>
      <c r="Q3536" s="224"/>
      <c r="S3536" s="202"/>
      <c r="T3536"/>
    </row>
    <row r="3537" spans="15:20">
      <c r="O3537" s="247"/>
      <c r="P3537"/>
      <c r="Q3537" s="224"/>
      <c r="S3537" s="202"/>
      <c r="T3537"/>
    </row>
    <row r="3538" spans="15:20">
      <c r="O3538" s="247"/>
      <c r="P3538"/>
      <c r="Q3538" s="224"/>
      <c r="S3538" s="202"/>
      <c r="T3538"/>
    </row>
    <row r="3539" spans="15:20">
      <c r="O3539" s="247"/>
      <c r="P3539"/>
      <c r="Q3539" s="224"/>
      <c r="S3539" s="202"/>
      <c r="T3539"/>
    </row>
    <row r="3540" spans="15:20">
      <c r="O3540" s="247"/>
      <c r="P3540"/>
      <c r="Q3540" s="224"/>
      <c r="S3540" s="202"/>
      <c r="T3540"/>
    </row>
    <row r="3541" spans="15:20">
      <c r="O3541" s="247"/>
      <c r="P3541"/>
      <c r="Q3541" s="224"/>
      <c r="S3541" s="202"/>
      <c r="T3541"/>
    </row>
    <row r="3542" spans="15:20">
      <c r="O3542" s="247"/>
      <c r="P3542"/>
      <c r="Q3542" s="224"/>
      <c r="S3542" s="202"/>
      <c r="T3542"/>
    </row>
    <row r="3543" spans="15:20">
      <c r="O3543" s="247"/>
      <c r="P3543"/>
      <c r="Q3543" s="224"/>
      <c r="S3543" s="202"/>
      <c r="T3543"/>
    </row>
    <row r="3544" spans="15:20">
      <c r="O3544" s="247"/>
      <c r="P3544"/>
      <c r="Q3544" s="224"/>
      <c r="S3544" s="202"/>
      <c r="T3544"/>
    </row>
    <row r="3545" spans="15:20">
      <c r="O3545" s="247"/>
      <c r="P3545"/>
      <c r="Q3545" s="224"/>
      <c r="S3545" s="202"/>
      <c r="T3545"/>
    </row>
    <row r="3546" spans="15:20">
      <c r="O3546" s="247"/>
      <c r="P3546"/>
      <c r="Q3546" s="224"/>
      <c r="S3546" s="202"/>
      <c r="T3546"/>
    </row>
    <row r="3547" spans="15:20">
      <c r="O3547" s="247"/>
      <c r="P3547"/>
      <c r="Q3547" s="224"/>
      <c r="S3547" s="202"/>
      <c r="T3547"/>
    </row>
    <row r="3548" spans="15:20">
      <c r="O3548" s="247"/>
      <c r="P3548"/>
      <c r="Q3548" s="224"/>
      <c r="S3548" s="202"/>
      <c r="T3548"/>
    </row>
    <row r="3549" spans="15:20">
      <c r="O3549" s="247"/>
      <c r="P3549"/>
      <c r="Q3549" s="224"/>
      <c r="S3549" s="202"/>
      <c r="T3549"/>
    </row>
    <row r="3550" spans="15:20">
      <c r="O3550" s="247"/>
      <c r="P3550"/>
      <c r="Q3550" s="224"/>
      <c r="S3550" s="202"/>
      <c r="T3550"/>
    </row>
    <row r="3551" spans="15:20">
      <c r="O3551" s="247"/>
      <c r="P3551"/>
      <c r="Q3551" s="224"/>
      <c r="S3551" s="202"/>
      <c r="T3551"/>
    </row>
    <row r="3552" spans="15:20">
      <c r="O3552" s="247"/>
      <c r="P3552"/>
      <c r="Q3552" s="224"/>
      <c r="S3552" s="202"/>
      <c r="T3552"/>
    </row>
    <row r="3553" spans="15:20">
      <c r="O3553" s="247"/>
      <c r="P3553"/>
      <c r="Q3553" s="224"/>
      <c r="S3553" s="202"/>
      <c r="T3553"/>
    </row>
    <row r="3554" spans="15:20">
      <c r="O3554" s="247"/>
      <c r="P3554"/>
      <c r="Q3554" s="224"/>
      <c r="S3554" s="202"/>
      <c r="T3554"/>
    </row>
    <row r="3555" spans="15:20">
      <c r="O3555" s="247"/>
      <c r="P3555"/>
      <c r="Q3555" s="224"/>
      <c r="S3555" s="202"/>
      <c r="T3555"/>
    </row>
    <row r="3556" spans="15:20">
      <c r="O3556" s="247"/>
      <c r="P3556"/>
      <c r="Q3556" s="224"/>
      <c r="S3556" s="202"/>
      <c r="T3556"/>
    </row>
    <row r="3557" spans="15:20">
      <c r="O3557" s="247"/>
      <c r="P3557"/>
      <c r="Q3557" s="224"/>
      <c r="S3557" s="202"/>
      <c r="T3557"/>
    </row>
    <row r="3558" spans="15:20">
      <c r="O3558" s="247"/>
      <c r="P3558"/>
      <c r="Q3558" s="224"/>
      <c r="S3558" s="202"/>
      <c r="T3558"/>
    </row>
    <row r="3559" spans="15:20">
      <c r="O3559" s="247"/>
      <c r="P3559"/>
      <c r="Q3559" s="224"/>
      <c r="S3559" s="202"/>
      <c r="T3559"/>
    </row>
    <row r="3560" spans="15:20">
      <c r="O3560" s="247"/>
      <c r="P3560"/>
      <c r="Q3560" s="224"/>
      <c r="S3560" s="202"/>
      <c r="T3560"/>
    </row>
    <row r="3561" spans="15:20">
      <c r="O3561" s="247"/>
      <c r="P3561"/>
      <c r="Q3561" s="224"/>
      <c r="S3561" s="202"/>
      <c r="T3561"/>
    </row>
    <row r="3562" spans="15:20">
      <c r="O3562" s="247"/>
      <c r="P3562"/>
      <c r="Q3562" s="224"/>
      <c r="S3562" s="202"/>
      <c r="T3562"/>
    </row>
    <row r="3563" spans="15:20">
      <c r="O3563" s="247"/>
      <c r="P3563"/>
      <c r="Q3563" s="224"/>
      <c r="S3563" s="202"/>
      <c r="T3563"/>
    </row>
    <row r="3564" spans="15:20">
      <c r="O3564" s="247"/>
      <c r="P3564"/>
      <c r="Q3564" s="224"/>
      <c r="S3564" s="202"/>
      <c r="T3564"/>
    </row>
    <row r="3565" spans="15:20">
      <c r="O3565" s="247"/>
      <c r="P3565"/>
      <c r="Q3565" s="224"/>
      <c r="S3565" s="202"/>
      <c r="T3565"/>
    </row>
    <row r="3566" spans="15:20">
      <c r="O3566" s="247"/>
      <c r="P3566"/>
      <c r="Q3566" s="224"/>
      <c r="S3566" s="202"/>
      <c r="T3566"/>
    </row>
    <row r="3567" spans="15:20">
      <c r="O3567" s="247"/>
      <c r="P3567"/>
      <c r="Q3567" s="224"/>
      <c r="S3567" s="202"/>
      <c r="T3567"/>
    </row>
    <row r="3568" spans="15:20">
      <c r="O3568" s="247"/>
      <c r="P3568"/>
      <c r="Q3568" s="224"/>
      <c r="S3568" s="202"/>
      <c r="T3568"/>
    </row>
    <row r="3569" spans="15:20">
      <c r="O3569" s="247"/>
      <c r="P3569"/>
      <c r="Q3569" s="224"/>
      <c r="S3569" s="202"/>
      <c r="T3569"/>
    </row>
    <row r="3570" spans="15:20">
      <c r="O3570" s="247"/>
      <c r="P3570"/>
      <c r="Q3570" s="224"/>
      <c r="S3570" s="202"/>
      <c r="T3570"/>
    </row>
    <row r="3571" spans="15:20">
      <c r="O3571" s="247"/>
      <c r="P3571"/>
      <c r="Q3571" s="224"/>
      <c r="S3571" s="202"/>
      <c r="T3571"/>
    </row>
    <row r="3572" spans="15:20">
      <c r="O3572" s="247"/>
      <c r="P3572"/>
      <c r="Q3572" s="224"/>
      <c r="S3572" s="202"/>
      <c r="T3572"/>
    </row>
    <row r="3573" spans="15:20">
      <c r="O3573" s="247"/>
      <c r="P3573"/>
      <c r="Q3573" s="224"/>
      <c r="S3573" s="202"/>
      <c r="T3573"/>
    </row>
    <row r="3574" spans="15:20">
      <c r="O3574" s="247"/>
      <c r="P3574"/>
      <c r="Q3574" s="224"/>
      <c r="S3574" s="202"/>
      <c r="T3574"/>
    </row>
    <row r="3575" spans="15:20">
      <c r="O3575" s="247"/>
      <c r="P3575"/>
      <c r="Q3575" s="224"/>
      <c r="S3575" s="202"/>
      <c r="T3575"/>
    </row>
    <row r="3576" spans="15:20">
      <c r="O3576" s="247"/>
      <c r="P3576"/>
      <c r="Q3576" s="224"/>
      <c r="S3576" s="202"/>
      <c r="T3576"/>
    </row>
    <row r="3577" spans="15:20">
      <c r="O3577" s="247"/>
      <c r="P3577"/>
      <c r="Q3577" s="224"/>
      <c r="S3577" s="202"/>
      <c r="T3577"/>
    </row>
    <row r="3578" spans="15:20">
      <c r="O3578" s="247"/>
      <c r="P3578"/>
      <c r="Q3578" s="224"/>
      <c r="S3578" s="202"/>
      <c r="T3578"/>
    </row>
    <row r="3579" spans="15:20">
      <c r="O3579" s="247"/>
      <c r="P3579"/>
      <c r="Q3579" s="224"/>
      <c r="S3579" s="202"/>
      <c r="T3579"/>
    </row>
    <row r="3580" spans="15:20">
      <c r="O3580" s="247"/>
      <c r="P3580"/>
      <c r="Q3580" s="224"/>
      <c r="S3580" s="202"/>
      <c r="T3580"/>
    </row>
    <row r="3581" spans="15:20">
      <c r="O3581" s="247"/>
      <c r="P3581"/>
      <c r="Q3581" s="224"/>
      <c r="S3581" s="202"/>
      <c r="T3581"/>
    </row>
    <row r="3582" spans="15:20">
      <c r="O3582" s="247"/>
      <c r="P3582"/>
      <c r="Q3582" s="224"/>
      <c r="S3582" s="202"/>
      <c r="T3582"/>
    </row>
    <row r="3583" spans="15:20">
      <c r="O3583" s="247"/>
      <c r="P3583"/>
      <c r="Q3583" s="224"/>
      <c r="S3583" s="202"/>
      <c r="T3583"/>
    </row>
    <row r="3584" spans="15:20">
      <c r="O3584" s="247"/>
      <c r="P3584"/>
      <c r="Q3584" s="224"/>
      <c r="S3584" s="202"/>
      <c r="T3584"/>
    </row>
    <row r="3585" spans="15:20">
      <c r="O3585" s="247"/>
      <c r="P3585"/>
      <c r="Q3585" s="224"/>
      <c r="S3585" s="202"/>
      <c r="T3585"/>
    </row>
    <row r="3586" spans="15:20">
      <c r="O3586" s="247"/>
      <c r="P3586"/>
      <c r="Q3586" s="224"/>
      <c r="S3586" s="202"/>
      <c r="T3586"/>
    </row>
    <row r="3587" spans="15:20">
      <c r="O3587" s="247"/>
      <c r="P3587"/>
      <c r="Q3587" s="224"/>
      <c r="S3587" s="202"/>
      <c r="T3587"/>
    </row>
    <row r="3588" spans="15:20">
      <c r="O3588" s="247"/>
      <c r="P3588"/>
      <c r="Q3588" s="224"/>
      <c r="S3588" s="202"/>
      <c r="T3588"/>
    </row>
    <row r="3589" spans="15:20">
      <c r="O3589" s="247"/>
      <c r="P3589"/>
      <c r="Q3589" s="224"/>
      <c r="S3589" s="202"/>
      <c r="T3589"/>
    </row>
    <row r="3590" spans="15:20">
      <c r="O3590" s="247"/>
      <c r="P3590"/>
      <c r="Q3590" s="224"/>
      <c r="S3590" s="202"/>
      <c r="T3590"/>
    </row>
    <row r="3591" spans="15:20">
      <c r="O3591" s="247"/>
      <c r="P3591"/>
      <c r="Q3591" s="224"/>
      <c r="S3591" s="202"/>
      <c r="T3591"/>
    </row>
    <row r="3592" spans="15:20">
      <c r="O3592" s="247"/>
      <c r="P3592"/>
      <c r="Q3592" s="224"/>
      <c r="S3592" s="202"/>
      <c r="T3592"/>
    </row>
    <row r="3593" spans="15:20">
      <c r="O3593" s="247"/>
      <c r="P3593"/>
      <c r="Q3593" s="224"/>
      <c r="S3593" s="202"/>
      <c r="T3593"/>
    </row>
    <row r="3594" spans="15:20">
      <c r="O3594" s="247"/>
      <c r="P3594"/>
      <c r="Q3594" s="224"/>
      <c r="S3594" s="202"/>
      <c r="T3594"/>
    </row>
    <row r="3595" spans="15:20">
      <c r="O3595" s="247"/>
      <c r="P3595"/>
      <c r="Q3595" s="224"/>
      <c r="S3595" s="202"/>
      <c r="T3595"/>
    </row>
    <row r="3596" spans="15:20">
      <c r="O3596" s="247"/>
      <c r="P3596"/>
      <c r="Q3596" s="224"/>
      <c r="S3596" s="202"/>
      <c r="T3596"/>
    </row>
    <row r="3597" spans="15:20">
      <c r="O3597" s="247"/>
      <c r="P3597"/>
      <c r="Q3597" s="224"/>
      <c r="S3597" s="202"/>
      <c r="T3597"/>
    </row>
    <row r="3598" spans="15:20">
      <c r="O3598" s="247"/>
      <c r="P3598"/>
      <c r="Q3598" s="224"/>
      <c r="S3598" s="202"/>
      <c r="T3598"/>
    </row>
    <row r="3599" spans="15:20">
      <c r="O3599" s="247"/>
      <c r="P3599"/>
      <c r="Q3599" s="224"/>
      <c r="S3599" s="202"/>
      <c r="T3599"/>
    </row>
    <row r="3600" spans="15:20">
      <c r="O3600" s="247"/>
      <c r="P3600"/>
      <c r="Q3600" s="224"/>
      <c r="S3600" s="202"/>
      <c r="T3600"/>
    </row>
    <row r="3601" spans="15:20">
      <c r="O3601" s="247"/>
      <c r="P3601"/>
      <c r="Q3601" s="224"/>
      <c r="S3601" s="202"/>
      <c r="T3601"/>
    </row>
    <row r="3602" spans="15:20">
      <c r="O3602" s="247"/>
      <c r="P3602"/>
      <c r="Q3602" s="224"/>
      <c r="S3602" s="202"/>
      <c r="T3602"/>
    </row>
    <row r="3603" spans="15:20">
      <c r="O3603" s="247"/>
      <c r="P3603"/>
      <c r="Q3603" s="224"/>
      <c r="S3603" s="202"/>
      <c r="T3603"/>
    </row>
    <row r="3604" spans="15:20">
      <c r="O3604" s="247"/>
      <c r="P3604"/>
      <c r="Q3604" s="224"/>
      <c r="S3604" s="202"/>
      <c r="T3604"/>
    </row>
    <row r="3605" spans="15:20">
      <c r="O3605" s="247"/>
      <c r="P3605"/>
      <c r="Q3605" s="224"/>
      <c r="S3605" s="202"/>
      <c r="T3605"/>
    </row>
    <row r="3606" spans="15:20">
      <c r="O3606" s="247"/>
      <c r="P3606"/>
      <c r="Q3606" s="224"/>
      <c r="S3606" s="202"/>
      <c r="T3606"/>
    </row>
    <row r="3607" spans="15:20">
      <c r="O3607" s="247"/>
      <c r="P3607"/>
      <c r="Q3607" s="224"/>
      <c r="S3607" s="202"/>
      <c r="T3607"/>
    </row>
    <row r="3608" spans="15:20">
      <c r="O3608" s="247"/>
      <c r="P3608"/>
      <c r="Q3608" s="224"/>
      <c r="S3608" s="202"/>
      <c r="T3608"/>
    </row>
    <row r="3609" spans="15:20">
      <c r="O3609" s="247"/>
      <c r="P3609"/>
      <c r="Q3609" s="224"/>
      <c r="S3609" s="202"/>
      <c r="T3609"/>
    </row>
    <row r="3610" spans="15:20">
      <c r="O3610" s="247"/>
      <c r="P3610"/>
      <c r="Q3610" s="224"/>
      <c r="S3610" s="202"/>
      <c r="T3610"/>
    </row>
    <row r="3611" spans="15:20">
      <c r="O3611" s="247"/>
      <c r="P3611"/>
      <c r="Q3611" s="224"/>
      <c r="S3611" s="202"/>
      <c r="T3611"/>
    </row>
    <row r="3612" spans="15:20">
      <c r="O3612" s="247"/>
      <c r="P3612"/>
      <c r="Q3612" s="224"/>
      <c r="S3612" s="202"/>
      <c r="T3612"/>
    </row>
    <row r="3613" spans="15:20">
      <c r="O3613" s="247"/>
      <c r="P3613"/>
      <c r="Q3613" s="224"/>
      <c r="S3613" s="202"/>
      <c r="T3613"/>
    </row>
    <row r="3614" spans="15:20">
      <c r="O3614" s="247"/>
      <c r="P3614"/>
      <c r="Q3614" s="224"/>
      <c r="S3614" s="202"/>
      <c r="T3614"/>
    </row>
    <row r="3615" spans="15:20">
      <c r="O3615" s="247"/>
      <c r="P3615"/>
      <c r="Q3615" s="224"/>
      <c r="S3615" s="202"/>
      <c r="T3615"/>
    </row>
    <row r="3616" spans="15:20">
      <c r="O3616" s="247"/>
      <c r="P3616"/>
      <c r="Q3616" s="224"/>
      <c r="S3616" s="202"/>
      <c r="T3616"/>
    </row>
    <row r="3617" spans="15:20">
      <c r="O3617" s="247"/>
      <c r="P3617"/>
      <c r="Q3617" s="224"/>
      <c r="S3617" s="202"/>
      <c r="T3617"/>
    </row>
    <row r="3618" spans="15:20">
      <c r="O3618" s="247"/>
      <c r="P3618"/>
      <c r="Q3618" s="224"/>
      <c r="S3618" s="202"/>
      <c r="T3618"/>
    </row>
    <row r="3619" spans="15:20">
      <c r="O3619" s="247"/>
      <c r="P3619"/>
      <c r="Q3619" s="224"/>
      <c r="S3619" s="202"/>
      <c r="T3619"/>
    </row>
    <row r="3620" spans="15:20">
      <c r="O3620" s="247"/>
      <c r="P3620"/>
      <c r="Q3620" s="224"/>
      <c r="S3620" s="202"/>
      <c r="T3620"/>
    </row>
    <row r="3621" spans="15:20">
      <c r="O3621" s="247"/>
      <c r="P3621"/>
      <c r="Q3621" s="224"/>
      <c r="S3621" s="202"/>
      <c r="T3621"/>
    </row>
    <row r="3622" spans="15:20">
      <c r="O3622" s="247"/>
      <c r="P3622"/>
      <c r="Q3622" s="224"/>
      <c r="S3622" s="202"/>
      <c r="T3622"/>
    </row>
    <row r="3623" spans="15:20">
      <c r="O3623" s="247"/>
      <c r="P3623"/>
      <c r="Q3623" s="224"/>
      <c r="S3623" s="202"/>
      <c r="T3623"/>
    </row>
    <row r="3624" spans="15:20">
      <c r="O3624" s="247"/>
      <c r="P3624"/>
      <c r="Q3624" s="224"/>
      <c r="S3624" s="202"/>
      <c r="T3624"/>
    </row>
    <row r="3625" spans="15:20">
      <c r="O3625" s="247"/>
      <c r="P3625"/>
      <c r="Q3625" s="224"/>
      <c r="S3625" s="202"/>
      <c r="T3625"/>
    </row>
    <row r="3626" spans="15:20">
      <c r="O3626" s="247"/>
      <c r="P3626"/>
      <c r="Q3626" s="224"/>
      <c r="S3626" s="202"/>
      <c r="T3626"/>
    </row>
    <row r="3627" spans="15:20">
      <c r="O3627" s="247"/>
      <c r="P3627"/>
      <c r="Q3627" s="224"/>
      <c r="S3627" s="202"/>
      <c r="T3627"/>
    </row>
    <row r="3628" spans="15:20">
      <c r="O3628" s="247"/>
      <c r="P3628"/>
      <c r="Q3628" s="224"/>
      <c r="S3628" s="202"/>
      <c r="T3628"/>
    </row>
    <row r="3629" spans="15:20">
      <c r="O3629" s="247"/>
      <c r="P3629"/>
      <c r="Q3629" s="224"/>
      <c r="S3629" s="202"/>
      <c r="T3629"/>
    </row>
    <row r="3630" spans="15:20">
      <c r="O3630" s="247"/>
      <c r="P3630"/>
      <c r="Q3630" s="224"/>
      <c r="S3630" s="202"/>
      <c r="T3630"/>
    </row>
    <row r="3631" spans="15:20">
      <c r="O3631" s="247"/>
      <c r="P3631"/>
      <c r="Q3631" s="224"/>
      <c r="S3631" s="202"/>
      <c r="T3631"/>
    </row>
    <row r="3632" spans="15:20">
      <c r="O3632" s="247"/>
      <c r="P3632"/>
      <c r="Q3632" s="224"/>
      <c r="S3632" s="202"/>
      <c r="T3632"/>
    </row>
    <row r="3633" spans="15:20">
      <c r="O3633" s="247"/>
      <c r="P3633"/>
      <c r="Q3633" s="224"/>
      <c r="S3633" s="202"/>
      <c r="T3633"/>
    </row>
    <row r="3634" spans="15:20">
      <c r="O3634" s="247"/>
      <c r="P3634"/>
      <c r="Q3634" s="224"/>
      <c r="S3634" s="202"/>
      <c r="T3634"/>
    </row>
    <row r="3635" spans="15:20">
      <c r="O3635" s="247"/>
      <c r="P3635"/>
      <c r="Q3635" s="224"/>
      <c r="S3635" s="202"/>
      <c r="T3635"/>
    </row>
    <row r="3636" spans="15:20">
      <c r="O3636" s="247"/>
      <c r="P3636"/>
      <c r="Q3636" s="224"/>
      <c r="S3636" s="202"/>
      <c r="T3636"/>
    </row>
    <row r="3637" spans="15:20">
      <c r="O3637" s="247"/>
      <c r="P3637"/>
      <c r="Q3637" s="224"/>
      <c r="S3637" s="202"/>
      <c r="T3637"/>
    </row>
    <row r="3638" spans="15:20">
      <c r="O3638" s="247"/>
      <c r="P3638"/>
      <c r="Q3638" s="224"/>
      <c r="S3638" s="202"/>
      <c r="T3638"/>
    </row>
    <row r="3639" spans="15:20">
      <c r="O3639" s="247"/>
      <c r="P3639"/>
      <c r="Q3639" s="224"/>
      <c r="S3639" s="202"/>
      <c r="T3639"/>
    </row>
    <row r="3640" spans="15:20">
      <c r="O3640" s="247"/>
      <c r="P3640"/>
      <c r="Q3640" s="224"/>
      <c r="S3640" s="202"/>
      <c r="T3640"/>
    </row>
    <row r="3641" spans="15:20">
      <c r="O3641" s="247"/>
      <c r="P3641"/>
      <c r="Q3641" s="224"/>
      <c r="S3641" s="202"/>
      <c r="T3641"/>
    </row>
    <row r="3642" spans="15:20">
      <c r="O3642" s="247"/>
      <c r="P3642"/>
      <c r="Q3642" s="224"/>
      <c r="S3642" s="202"/>
      <c r="T3642"/>
    </row>
    <row r="3643" spans="15:20">
      <c r="O3643" s="247"/>
      <c r="P3643"/>
      <c r="Q3643" s="224"/>
      <c r="S3643" s="202"/>
      <c r="T3643"/>
    </row>
    <row r="3644" spans="15:20">
      <c r="O3644" s="247"/>
      <c r="P3644"/>
      <c r="Q3644" s="224"/>
      <c r="S3644" s="202"/>
      <c r="T3644"/>
    </row>
    <row r="3645" spans="15:20">
      <c r="O3645" s="247"/>
      <c r="P3645"/>
      <c r="Q3645" s="224"/>
      <c r="S3645" s="202"/>
      <c r="T3645"/>
    </row>
    <row r="3646" spans="15:20">
      <c r="O3646" s="247"/>
      <c r="P3646"/>
      <c r="Q3646" s="224"/>
      <c r="S3646" s="202"/>
      <c r="T3646"/>
    </row>
    <row r="3647" spans="15:20">
      <c r="O3647" s="247"/>
      <c r="P3647"/>
      <c r="Q3647" s="224"/>
      <c r="S3647" s="202"/>
      <c r="T3647"/>
    </row>
    <row r="3648" spans="15:20">
      <c r="O3648" s="247"/>
      <c r="P3648"/>
      <c r="Q3648" s="224"/>
      <c r="S3648" s="202"/>
      <c r="T3648"/>
    </row>
    <row r="3649" spans="15:20">
      <c r="O3649" s="247"/>
      <c r="P3649"/>
      <c r="Q3649" s="224"/>
      <c r="S3649" s="202"/>
      <c r="T3649"/>
    </row>
    <row r="3650" spans="15:20">
      <c r="O3650" s="247"/>
      <c r="P3650"/>
      <c r="Q3650" s="224"/>
      <c r="S3650" s="202"/>
      <c r="T3650"/>
    </row>
    <row r="3651" spans="15:20">
      <c r="O3651" s="247"/>
      <c r="P3651"/>
      <c r="Q3651" s="224"/>
      <c r="S3651" s="202"/>
      <c r="T3651"/>
    </row>
    <row r="3652" spans="15:20">
      <c r="O3652" s="247"/>
      <c r="P3652"/>
      <c r="Q3652" s="224"/>
      <c r="S3652" s="202"/>
      <c r="T3652"/>
    </row>
    <row r="3653" spans="15:20">
      <c r="O3653" s="247"/>
      <c r="P3653"/>
      <c r="Q3653" s="224"/>
      <c r="S3653" s="202"/>
      <c r="T3653"/>
    </row>
    <row r="3654" spans="15:20">
      <c r="O3654" s="247"/>
      <c r="P3654"/>
      <c r="Q3654" s="224"/>
      <c r="S3654" s="202"/>
      <c r="T3654"/>
    </row>
    <row r="3655" spans="15:20">
      <c r="O3655" s="247"/>
      <c r="P3655"/>
      <c r="Q3655" s="224"/>
      <c r="S3655" s="202"/>
      <c r="T3655"/>
    </row>
    <row r="3656" spans="15:20">
      <c r="O3656" s="247"/>
      <c r="P3656"/>
      <c r="Q3656" s="224"/>
      <c r="S3656" s="202"/>
      <c r="T3656"/>
    </row>
    <row r="3657" spans="15:20">
      <c r="O3657" s="247"/>
      <c r="P3657"/>
      <c r="Q3657" s="224"/>
      <c r="S3657" s="202"/>
      <c r="T3657"/>
    </row>
    <row r="3658" spans="15:20">
      <c r="O3658" s="247"/>
      <c r="P3658"/>
      <c r="Q3658" s="224"/>
      <c r="S3658" s="202"/>
      <c r="T3658"/>
    </row>
    <row r="3659" spans="15:20">
      <c r="O3659" s="247"/>
      <c r="P3659"/>
      <c r="Q3659" s="224"/>
      <c r="S3659" s="202"/>
      <c r="T3659"/>
    </row>
    <row r="3660" spans="15:20">
      <c r="O3660" s="247"/>
      <c r="P3660"/>
      <c r="Q3660" s="224"/>
      <c r="S3660" s="202"/>
      <c r="T3660"/>
    </row>
    <row r="3661" spans="15:20">
      <c r="O3661" s="247"/>
      <c r="P3661"/>
      <c r="Q3661" s="224"/>
      <c r="S3661" s="202"/>
      <c r="T3661"/>
    </row>
    <row r="3662" spans="15:20">
      <c r="O3662" s="247"/>
      <c r="P3662"/>
      <c r="Q3662" s="224"/>
      <c r="S3662" s="202"/>
      <c r="T3662"/>
    </row>
    <row r="3663" spans="15:20">
      <c r="O3663" s="247"/>
      <c r="P3663"/>
      <c r="Q3663" s="224"/>
      <c r="S3663" s="202"/>
      <c r="T3663"/>
    </row>
    <row r="3664" spans="15:20">
      <c r="O3664" s="247"/>
      <c r="P3664"/>
      <c r="Q3664" s="224"/>
      <c r="S3664" s="202"/>
      <c r="T3664"/>
    </row>
    <row r="3665" spans="15:20">
      <c r="O3665" s="247"/>
      <c r="P3665"/>
      <c r="Q3665" s="224"/>
      <c r="S3665" s="202"/>
      <c r="T3665"/>
    </row>
    <row r="3666" spans="15:20">
      <c r="O3666" s="247"/>
      <c r="P3666"/>
      <c r="Q3666" s="224"/>
      <c r="S3666" s="202"/>
      <c r="T3666"/>
    </row>
    <row r="3667" spans="15:20">
      <c r="O3667" s="247"/>
      <c r="P3667"/>
      <c r="Q3667" s="224"/>
      <c r="S3667" s="202"/>
      <c r="T3667"/>
    </row>
    <row r="3668" spans="15:20">
      <c r="O3668" s="247"/>
      <c r="P3668"/>
      <c r="Q3668" s="224"/>
      <c r="S3668" s="202"/>
      <c r="T3668"/>
    </row>
    <row r="3669" spans="15:20">
      <c r="O3669" s="247"/>
      <c r="P3669"/>
      <c r="Q3669" s="224"/>
      <c r="S3669" s="202"/>
      <c r="T3669"/>
    </row>
    <row r="3670" spans="15:20">
      <c r="O3670" s="247"/>
      <c r="P3670"/>
      <c r="Q3670" s="224"/>
      <c r="S3670" s="202"/>
      <c r="T3670"/>
    </row>
    <row r="3671" spans="15:20">
      <c r="O3671" s="247"/>
      <c r="P3671"/>
      <c r="Q3671" s="224"/>
      <c r="S3671" s="202"/>
      <c r="T3671"/>
    </row>
    <row r="3672" spans="15:20">
      <c r="O3672" s="247"/>
      <c r="P3672"/>
      <c r="Q3672" s="224"/>
      <c r="S3672" s="202"/>
      <c r="T3672"/>
    </row>
    <row r="3673" spans="15:20">
      <c r="O3673" s="247"/>
      <c r="P3673"/>
      <c r="Q3673" s="224"/>
      <c r="S3673" s="202"/>
      <c r="T3673"/>
    </row>
    <row r="3674" spans="15:20">
      <c r="O3674" s="247"/>
      <c r="P3674"/>
      <c r="Q3674" s="224"/>
      <c r="S3674" s="202"/>
      <c r="T3674"/>
    </row>
    <row r="3675" spans="15:20">
      <c r="O3675" s="247"/>
      <c r="P3675"/>
      <c r="Q3675" s="224"/>
      <c r="S3675" s="202"/>
      <c r="T3675"/>
    </row>
    <row r="3676" spans="15:20">
      <c r="O3676" s="247"/>
      <c r="P3676"/>
      <c r="Q3676" s="224"/>
      <c r="S3676" s="202"/>
      <c r="T3676"/>
    </row>
    <row r="3677" spans="15:20">
      <c r="O3677" s="247"/>
      <c r="P3677"/>
      <c r="Q3677" s="224"/>
      <c r="S3677" s="202"/>
      <c r="T3677"/>
    </row>
    <row r="3678" spans="15:20">
      <c r="O3678" s="247"/>
      <c r="P3678"/>
      <c r="Q3678" s="224"/>
      <c r="S3678" s="202"/>
      <c r="T3678"/>
    </row>
    <row r="3679" spans="15:20">
      <c r="O3679" s="247"/>
      <c r="P3679"/>
      <c r="Q3679" s="224"/>
      <c r="S3679" s="202"/>
      <c r="T3679"/>
    </row>
    <row r="3680" spans="15:20">
      <c r="O3680" s="247"/>
      <c r="P3680"/>
      <c r="Q3680" s="224"/>
      <c r="S3680" s="202"/>
      <c r="T3680"/>
    </row>
    <row r="3681" spans="15:20">
      <c r="O3681" s="247"/>
      <c r="P3681"/>
      <c r="Q3681" s="224"/>
      <c r="S3681" s="202"/>
      <c r="T3681"/>
    </row>
    <row r="3682" spans="15:20">
      <c r="O3682" s="247"/>
      <c r="P3682"/>
      <c r="Q3682" s="224"/>
      <c r="S3682" s="202"/>
      <c r="T3682"/>
    </row>
    <row r="3683" spans="15:20">
      <c r="O3683" s="247"/>
      <c r="P3683"/>
      <c r="Q3683" s="224"/>
      <c r="S3683" s="202"/>
      <c r="T3683"/>
    </row>
    <row r="3684" spans="15:20">
      <c r="O3684" s="247"/>
      <c r="P3684"/>
      <c r="Q3684" s="224"/>
      <c r="S3684" s="202"/>
      <c r="T3684"/>
    </row>
    <row r="3685" spans="15:20">
      <c r="O3685" s="247"/>
      <c r="P3685"/>
      <c r="Q3685" s="224"/>
      <c r="S3685" s="202"/>
      <c r="T3685"/>
    </row>
    <row r="3686" spans="15:20">
      <c r="O3686" s="247"/>
      <c r="P3686"/>
      <c r="Q3686" s="224"/>
      <c r="S3686" s="202"/>
      <c r="T3686"/>
    </row>
    <row r="3687" spans="15:20">
      <c r="O3687" s="247"/>
      <c r="P3687"/>
      <c r="Q3687" s="224"/>
      <c r="S3687" s="202"/>
      <c r="T3687"/>
    </row>
    <row r="3688" spans="15:20">
      <c r="O3688" s="247"/>
      <c r="P3688"/>
      <c r="Q3688" s="224"/>
      <c r="S3688" s="202"/>
      <c r="T3688"/>
    </row>
    <row r="3689" spans="15:20">
      <c r="O3689" s="247"/>
      <c r="P3689"/>
      <c r="Q3689" s="224"/>
      <c r="S3689" s="202"/>
      <c r="T3689"/>
    </row>
    <row r="3690" spans="15:20">
      <c r="O3690" s="247"/>
      <c r="P3690"/>
      <c r="Q3690" s="224"/>
      <c r="S3690" s="202"/>
      <c r="T3690"/>
    </row>
    <row r="3691" spans="15:20">
      <c r="O3691" s="247"/>
      <c r="P3691"/>
      <c r="Q3691" s="224"/>
      <c r="S3691" s="202"/>
      <c r="T3691"/>
    </row>
    <row r="3692" spans="15:20">
      <c r="O3692" s="247"/>
      <c r="P3692"/>
      <c r="Q3692" s="224"/>
      <c r="S3692" s="202"/>
      <c r="T3692"/>
    </row>
    <row r="3693" spans="15:20">
      <c r="O3693" s="247"/>
      <c r="P3693"/>
      <c r="Q3693" s="224"/>
      <c r="S3693" s="202"/>
      <c r="T3693"/>
    </row>
    <row r="3694" spans="15:20">
      <c r="O3694" s="247"/>
      <c r="P3694"/>
      <c r="Q3694" s="224"/>
      <c r="S3694" s="202"/>
      <c r="T3694"/>
    </row>
    <row r="3695" spans="15:20">
      <c r="O3695" s="247"/>
      <c r="P3695"/>
      <c r="Q3695" s="224"/>
      <c r="S3695" s="202"/>
      <c r="T3695"/>
    </row>
    <row r="3696" spans="15:20">
      <c r="O3696" s="247"/>
      <c r="P3696"/>
      <c r="Q3696" s="224"/>
      <c r="S3696" s="202"/>
      <c r="T3696"/>
    </row>
    <row r="3697" spans="15:20">
      <c r="O3697" s="247"/>
      <c r="P3697"/>
      <c r="Q3697" s="224"/>
      <c r="S3697" s="202"/>
      <c r="T3697"/>
    </row>
    <row r="3698" spans="15:20">
      <c r="O3698" s="247"/>
      <c r="P3698"/>
      <c r="Q3698" s="224"/>
      <c r="S3698" s="202"/>
      <c r="T3698"/>
    </row>
    <row r="3699" spans="15:20">
      <c r="O3699" s="247"/>
      <c r="P3699"/>
      <c r="Q3699" s="224"/>
      <c r="S3699" s="202"/>
      <c r="T3699"/>
    </row>
    <row r="3700" spans="15:20">
      <c r="O3700" s="247"/>
      <c r="P3700"/>
      <c r="Q3700" s="224"/>
      <c r="S3700" s="202"/>
      <c r="T3700"/>
    </row>
    <row r="3701" spans="15:20">
      <c r="O3701" s="247"/>
      <c r="P3701"/>
      <c r="Q3701" s="224"/>
      <c r="S3701" s="202"/>
      <c r="T3701"/>
    </row>
    <row r="3702" spans="15:20">
      <c r="O3702" s="247"/>
      <c r="P3702"/>
      <c r="Q3702" s="224"/>
      <c r="S3702" s="202"/>
      <c r="T3702"/>
    </row>
    <row r="3703" spans="15:20">
      <c r="O3703" s="247"/>
      <c r="P3703"/>
      <c r="Q3703" s="224"/>
      <c r="S3703" s="202"/>
      <c r="T3703"/>
    </row>
    <row r="3704" spans="15:20">
      <c r="O3704" s="247"/>
      <c r="P3704"/>
      <c r="Q3704" s="224"/>
      <c r="S3704" s="202"/>
      <c r="T3704"/>
    </row>
    <row r="3705" spans="15:20">
      <c r="O3705" s="247"/>
      <c r="P3705"/>
      <c r="Q3705" s="224"/>
      <c r="S3705" s="202"/>
      <c r="T3705"/>
    </row>
    <row r="3706" spans="15:20">
      <c r="O3706" s="247"/>
      <c r="P3706"/>
      <c r="Q3706" s="224"/>
      <c r="S3706" s="202"/>
      <c r="T3706"/>
    </row>
    <row r="3707" spans="15:20">
      <c r="O3707" s="247"/>
      <c r="P3707"/>
      <c r="Q3707" s="224"/>
      <c r="S3707" s="202"/>
      <c r="T3707"/>
    </row>
    <row r="3708" spans="15:20">
      <c r="O3708" s="247"/>
      <c r="P3708"/>
      <c r="Q3708" s="224"/>
      <c r="S3708" s="202"/>
      <c r="T3708"/>
    </row>
    <row r="3709" spans="15:20">
      <c r="O3709" s="247"/>
      <c r="P3709"/>
      <c r="Q3709" s="224"/>
      <c r="S3709" s="202"/>
      <c r="T3709"/>
    </row>
    <row r="3710" spans="15:20">
      <c r="O3710" s="247"/>
      <c r="P3710"/>
      <c r="Q3710" s="224"/>
      <c r="S3710" s="202"/>
      <c r="T3710"/>
    </row>
    <row r="3711" spans="15:20">
      <c r="O3711" s="247"/>
      <c r="P3711"/>
      <c r="Q3711" s="224"/>
      <c r="S3711" s="202"/>
      <c r="T3711"/>
    </row>
    <row r="3712" spans="15:20">
      <c r="O3712" s="247"/>
      <c r="P3712"/>
      <c r="Q3712" s="224"/>
      <c r="S3712" s="202"/>
      <c r="T3712"/>
    </row>
    <row r="3713" spans="15:20">
      <c r="O3713" s="247"/>
      <c r="P3713"/>
      <c r="Q3713" s="224"/>
      <c r="S3713" s="202"/>
      <c r="T3713"/>
    </row>
    <row r="3714" spans="15:20">
      <c r="O3714" s="247"/>
      <c r="P3714"/>
      <c r="Q3714" s="224"/>
      <c r="S3714" s="202"/>
      <c r="T3714"/>
    </row>
    <row r="3715" spans="15:20">
      <c r="O3715" s="247"/>
      <c r="P3715"/>
      <c r="Q3715" s="224"/>
      <c r="S3715" s="202"/>
      <c r="T3715"/>
    </row>
    <row r="3716" spans="15:20">
      <c r="O3716" s="247"/>
      <c r="P3716"/>
      <c r="Q3716" s="224"/>
      <c r="S3716" s="202"/>
      <c r="T3716"/>
    </row>
    <row r="3717" spans="15:20">
      <c r="O3717" s="247"/>
      <c r="P3717"/>
      <c r="Q3717" s="224"/>
      <c r="S3717" s="202"/>
      <c r="T3717"/>
    </row>
    <row r="3718" spans="15:20">
      <c r="O3718" s="247"/>
      <c r="P3718"/>
      <c r="Q3718" s="224"/>
      <c r="S3718" s="202"/>
      <c r="T3718"/>
    </row>
    <row r="3719" spans="15:20">
      <c r="O3719" s="247"/>
      <c r="P3719"/>
      <c r="Q3719" s="224"/>
      <c r="S3719" s="202"/>
      <c r="T3719"/>
    </row>
    <row r="3720" spans="15:20">
      <c r="O3720" s="247"/>
      <c r="P3720"/>
      <c r="Q3720" s="224"/>
      <c r="S3720" s="202"/>
      <c r="T3720"/>
    </row>
    <row r="3721" spans="15:20">
      <c r="O3721" s="247"/>
      <c r="P3721"/>
      <c r="Q3721" s="224"/>
      <c r="S3721" s="202"/>
      <c r="T3721"/>
    </row>
    <row r="3722" spans="15:20">
      <c r="O3722" s="247"/>
      <c r="P3722"/>
      <c r="Q3722" s="224"/>
      <c r="S3722" s="202"/>
      <c r="T3722"/>
    </row>
    <row r="3723" spans="15:20">
      <c r="O3723" s="247"/>
      <c r="P3723"/>
      <c r="Q3723" s="224"/>
      <c r="S3723" s="202"/>
      <c r="T3723"/>
    </row>
    <row r="3724" spans="15:20">
      <c r="O3724" s="247"/>
      <c r="P3724"/>
      <c r="Q3724" s="224"/>
      <c r="S3724" s="202"/>
      <c r="T3724"/>
    </row>
    <row r="3725" spans="15:20">
      <c r="O3725" s="247"/>
      <c r="P3725"/>
      <c r="Q3725" s="224"/>
      <c r="S3725" s="202"/>
      <c r="T3725"/>
    </row>
    <row r="3726" spans="15:20">
      <c r="O3726" s="247"/>
      <c r="P3726"/>
      <c r="Q3726" s="224"/>
      <c r="S3726" s="202"/>
      <c r="T3726"/>
    </row>
    <row r="3727" spans="15:20">
      <c r="O3727" s="247"/>
      <c r="P3727"/>
      <c r="Q3727" s="224"/>
      <c r="S3727" s="202"/>
      <c r="T3727"/>
    </row>
    <row r="3728" spans="15:20">
      <c r="O3728" s="247"/>
      <c r="P3728"/>
      <c r="Q3728" s="224"/>
      <c r="S3728" s="202"/>
      <c r="T3728"/>
    </row>
    <row r="3729" spans="15:20">
      <c r="O3729" s="247"/>
      <c r="P3729"/>
      <c r="Q3729" s="224"/>
      <c r="S3729" s="202"/>
      <c r="T3729"/>
    </row>
    <row r="3730" spans="15:20">
      <c r="O3730" s="247"/>
      <c r="P3730"/>
      <c r="Q3730" s="224"/>
      <c r="S3730" s="202"/>
      <c r="T3730"/>
    </row>
    <row r="3731" spans="15:20">
      <c r="O3731" s="247"/>
      <c r="P3731"/>
      <c r="Q3731" s="224"/>
      <c r="S3731" s="202"/>
      <c r="T3731"/>
    </row>
    <row r="3732" spans="15:20">
      <c r="O3732" s="247"/>
      <c r="P3732"/>
      <c r="Q3732" s="224"/>
      <c r="S3732" s="202"/>
      <c r="T3732"/>
    </row>
    <row r="3733" spans="15:20">
      <c r="O3733" s="247"/>
      <c r="P3733"/>
      <c r="Q3733" s="224"/>
      <c r="S3733" s="202"/>
      <c r="T3733"/>
    </row>
    <row r="3734" spans="15:20">
      <c r="O3734" s="247"/>
      <c r="P3734"/>
      <c r="Q3734" s="224"/>
      <c r="S3734" s="202"/>
      <c r="T3734"/>
    </row>
    <row r="3735" spans="15:20">
      <c r="O3735" s="247"/>
      <c r="P3735"/>
      <c r="Q3735" s="224"/>
      <c r="S3735" s="202"/>
      <c r="T3735"/>
    </row>
    <row r="3736" spans="15:20">
      <c r="O3736" s="247"/>
      <c r="P3736"/>
      <c r="Q3736" s="224"/>
      <c r="S3736" s="202"/>
      <c r="T3736"/>
    </row>
    <row r="3737" spans="15:20">
      <c r="O3737" s="247"/>
      <c r="P3737"/>
      <c r="Q3737" s="224"/>
      <c r="S3737" s="202"/>
      <c r="T3737"/>
    </row>
    <row r="3738" spans="15:20">
      <c r="O3738" s="247"/>
      <c r="P3738"/>
      <c r="Q3738" s="224"/>
      <c r="S3738" s="202"/>
      <c r="T3738"/>
    </row>
    <row r="3739" spans="15:20">
      <c r="O3739" s="247"/>
      <c r="P3739"/>
      <c r="Q3739" s="224"/>
      <c r="S3739" s="202"/>
      <c r="T3739"/>
    </row>
    <row r="3740" spans="15:20">
      <c r="O3740" s="247"/>
      <c r="P3740"/>
      <c r="Q3740" s="224"/>
      <c r="S3740" s="202"/>
      <c r="T3740"/>
    </row>
    <row r="3741" spans="15:20">
      <c r="O3741" s="247"/>
      <c r="P3741"/>
      <c r="Q3741" s="224"/>
      <c r="S3741" s="202"/>
      <c r="T3741"/>
    </row>
    <row r="3742" spans="15:20">
      <c r="O3742" s="247"/>
      <c r="P3742"/>
      <c r="Q3742" s="224"/>
      <c r="S3742" s="202"/>
      <c r="T3742"/>
    </row>
    <row r="3743" spans="15:20">
      <c r="O3743" s="247"/>
      <c r="P3743"/>
      <c r="Q3743" s="224"/>
      <c r="S3743" s="202"/>
      <c r="T3743"/>
    </row>
    <row r="3744" spans="15:20">
      <c r="O3744" s="247"/>
      <c r="P3744"/>
      <c r="Q3744" s="224"/>
      <c r="S3744" s="202"/>
      <c r="T3744"/>
    </row>
    <row r="3745" spans="15:20">
      <c r="O3745" s="247"/>
      <c r="P3745"/>
      <c r="Q3745" s="224"/>
      <c r="S3745" s="202"/>
      <c r="T3745"/>
    </row>
    <row r="3746" spans="15:20">
      <c r="O3746" s="247"/>
      <c r="P3746"/>
      <c r="Q3746" s="224"/>
      <c r="S3746" s="202"/>
      <c r="T3746"/>
    </row>
    <row r="3747" spans="15:20">
      <c r="O3747" s="247"/>
      <c r="P3747"/>
      <c r="Q3747" s="224"/>
      <c r="S3747" s="202"/>
      <c r="T3747"/>
    </row>
    <row r="3748" spans="15:20">
      <c r="O3748" s="247"/>
      <c r="P3748"/>
      <c r="Q3748" s="224"/>
      <c r="S3748" s="202"/>
      <c r="T3748"/>
    </row>
    <row r="3749" spans="15:20">
      <c r="O3749" s="247"/>
      <c r="P3749"/>
      <c r="Q3749" s="224"/>
      <c r="S3749" s="202"/>
      <c r="T3749"/>
    </row>
    <row r="3750" spans="15:20">
      <c r="O3750" s="247"/>
      <c r="P3750"/>
      <c r="Q3750" s="224"/>
      <c r="S3750" s="202"/>
      <c r="T3750"/>
    </row>
    <row r="3751" spans="15:20">
      <c r="O3751" s="247"/>
      <c r="P3751"/>
      <c r="Q3751" s="224"/>
      <c r="S3751" s="202"/>
      <c r="T3751"/>
    </row>
    <row r="3752" spans="15:20">
      <c r="O3752" s="247"/>
      <c r="P3752"/>
      <c r="Q3752" s="224"/>
      <c r="S3752" s="202"/>
      <c r="T3752"/>
    </row>
    <row r="3753" spans="15:20">
      <c r="O3753" s="247"/>
      <c r="P3753"/>
      <c r="Q3753" s="224"/>
      <c r="S3753" s="202"/>
      <c r="T3753"/>
    </row>
    <row r="3754" spans="15:20">
      <c r="O3754" s="247"/>
      <c r="P3754"/>
      <c r="Q3754" s="224"/>
      <c r="S3754" s="202"/>
      <c r="T3754"/>
    </row>
    <row r="3755" spans="15:20">
      <c r="O3755" s="247"/>
      <c r="P3755"/>
      <c r="Q3755" s="224"/>
      <c r="S3755" s="202"/>
      <c r="T3755"/>
    </row>
    <row r="3756" spans="15:20">
      <c r="O3756" s="247"/>
      <c r="P3756"/>
      <c r="Q3756" s="224"/>
      <c r="S3756" s="202"/>
      <c r="T3756"/>
    </row>
    <row r="3757" spans="15:20">
      <c r="O3757" s="247"/>
      <c r="P3757"/>
      <c r="Q3757" s="224"/>
      <c r="S3757" s="202"/>
      <c r="T3757"/>
    </row>
    <row r="3758" spans="15:20">
      <c r="O3758" s="247"/>
      <c r="P3758"/>
      <c r="Q3758" s="224"/>
      <c r="S3758" s="202"/>
      <c r="T3758"/>
    </row>
    <row r="3759" spans="15:20">
      <c r="O3759" s="247"/>
      <c r="P3759"/>
      <c r="Q3759" s="224"/>
      <c r="S3759" s="202"/>
      <c r="T3759"/>
    </row>
    <row r="3760" spans="15:20">
      <c r="O3760" s="247"/>
      <c r="P3760"/>
      <c r="Q3760" s="224"/>
      <c r="S3760" s="202"/>
      <c r="T3760"/>
    </row>
    <row r="3761" spans="15:20">
      <c r="O3761" s="247"/>
      <c r="P3761"/>
      <c r="Q3761" s="224"/>
      <c r="S3761" s="202"/>
      <c r="T3761"/>
    </row>
    <row r="3762" spans="15:20">
      <c r="O3762" s="247"/>
      <c r="P3762"/>
      <c r="Q3762" s="224"/>
      <c r="S3762" s="202"/>
      <c r="T3762"/>
    </row>
    <row r="3763" spans="15:20">
      <c r="O3763" s="247"/>
      <c r="P3763"/>
      <c r="Q3763" s="224"/>
      <c r="S3763" s="202"/>
      <c r="T3763"/>
    </row>
    <row r="3764" spans="15:20">
      <c r="O3764" s="247"/>
      <c r="P3764"/>
      <c r="Q3764" s="224"/>
      <c r="S3764" s="202"/>
      <c r="T3764"/>
    </row>
    <row r="3765" spans="15:20">
      <c r="O3765" s="247"/>
      <c r="P3765"/>
      <c r="Q3765" s="224"/>
      <c r="S3765" s="202"/>
      <c r="T3765"/>
    </row>
    <row r="3766" spans="15:20">
      <c r="O3766" s="247"/>
      <c r="P3766"/>
      <c r="Q3766" s="224"/>
      <c r="S3766" s="202"/>
      <c r="T3766"/>
    </row>
    <row r="3767" spans="15:20">
      <c r="O3767" s="247"/>
      <c r="P3767"/>
      <c r="Q3767" s="224"/>
      <c r="S3767" s="202"/>
      <c r="T3767"/>
    </row>
    <row r="3768" spans="15:20">
      <c r="O3768" s="247"/>
      <c r="P3768"/>
      <c r="Q3768" s="224"/>
      <c r="S3768" s="202"/>
      <c r="T3768"/>
    </row>
    <row r="3769" spans="15:20">
      <c r="O3769" s="247"/>
      <c r="P3769"/>
      <c r="Q3769" s="224"/>
      <c r="S3769" s="202"/>
      <c r="T3769"/>
    </row>
    <row r="3770" spans="15:20">
      <c r="O3770" s="247"/>
      <c r="P3770"/>
      <c r="Q3770" s="224"/>
      <c r="S3770" s="202"/>
      <c r="T3770"/>
    </row>
    <row r="3771" spans="15:20">
      <c r="O3771" s="247"/>
      <c r="P3771"/>
      <c r="Q3771" s="224"/>
      <c r="S3771" s="202"/>
      <c r="T3771"/>
    </row>
    <row r="3772" spans="15:20">
      <c r="O3772" s="247"/>
      <c r="P3772"/>
      <c r="Q3772" s="224"/>
      <c r="S3772" s="202"/>
      <c r="T3772"/>
    </row>
    <row r="3773" spans="15:20">
      <c r="O3773" s="247"/>
      <c r="P3773"/>
      <c r="Q3773" s="224"/>
      <c r="S3773" s="202"/>
      <c r="T3773"/>
    </row>
    <row r="3774" spans="15:20">
      <c r="O3774" s="247"/>
      <c r="P3774"/>
      <c r="Q3774" s="224"/>
      <c r="S3774" s="202"/>
      <c r="T3774"/>
    </row>
    <row r="3775" spans="15:20">
      <c r="O3775" s="247"/>
      <c r="P3775"/>
      <c r="Q3775" s="224"/>
      <c r="S3775" s="202"/>
      <c r="T3775"/>
    </row>
    <row r="3776" spans="15:20">
      <c r="O3776" s="247"/>
      <c r="P3776"/>
      <c r="Q3776" s="224"/>
      <c r="S3776" s="202"/>
      <c r="T3776"/>
    </row>
    <row r="3777" spans="15:20">
      <c r="O3777" s="247"/>
      <c r="P3777"/>
      <c r="Q3777" s="224"/>
      <c r="S3777" s="202"/>
      <c r="T3777"/>
    </row>
    <row r="3778" spans="15:20">
      <c r="O3778" s="247"/>
      <c r="P3778"/>
      <c r="Q3778" s="224"/>
      <c r="S3778" s="202"/>
      <c r="T3778"/>
    </row>
    <row r="3779" spans="15:20">
      <c r="O3779" s="247"/>
      <c r="P3779"/>
      <c r="Q3779" s="224"/>
      <c r="S3779" s="202"/>
      <c r="T3779"/>
    </row>
    <row r="3780" spans="15:20">
      <c r="O3780" s="247"/>
      <c r="P3780"/>
      <c r="Q3780" s="224"/>
      <c r="S3780" s="202"/>
      <c r="T3780"/>
    </row>
    <row r="3781" spans="15:20">
      <c r="O3781" s="247"/>
      <c r="P3781"/>
      <c r="Q3781" s="224"/>
      <c r="S3781" s="202"/>
      <c r="T3781"/>
    </row>
    <row r="3782" spans="15:20">
      <c r="O3782" s="247"/>
      <c r="P3782"/>
      <c r="Q3782" s="224"/>
      <c r="S3782" s="202"/>
      <c r="T3782"/>
    </row>
    <row r="3783" spans="15:20">
      <c r="O3783" s="247"/>
      <c r="P3783"/>
      <c r="Q3783" s="224"/>
      <c r="S3783" s="202"/>
      <c r="T3783"/>
    </row>
    <row r="3784" spans="15:20">
      <c r="O3784" s="247"/>
      <c r="P3784"/>
      <c r="Q3784" s="224"/>
      <c r="S3784" s="202"/>
      <c r="T3784"/>
    </row>
    <row r="3785" spans="15:20">
      <c r="O3785" s="247"/>
      <c r="P3785"/>
      <c r="Q3785" s="224"/>
      <c r="S3785" s="202"/>
      <c r="T3785"/>
    </row>
    <row r="3786" spans="15:20">
      <c r="O3786" s="247"/>
      <c r="P3786"/>
      <c r="Q3786" s="224"/>
      <c r="S3786" s="202"/>
      <c r="T3786"/>
    </row>
    <row r="3787" spans="15:20">
      <c r="O3787" s="247"/>
      <c r="P3787"/>
      <c r="Q3787" s="224"/>
      <c r="S3787" s="202"/>
      <c r="T3787"/>
    </row>
    <row r="3788" spans="15:20">
      <c r="O3788" s="247"/>
      <c r="P3788"/>
      <c r="Q3788" s="224"/>
      <c r="S3788" s="202"/>
      <c r="T3788"/>
    </row>
    <row r="3789" spans="15:20">
      <c r="O3789" s="247"/>
      <c r="P3789"/>
      <c r="Q3789" s="224"/>
      <c r="S3789" s="202"/>
      <c r="T3789"/>
    </row>
    <row r="3790" spans="15:20">
      <c r="O3790" s="247"/>
      <c r="P3790"/>
      <c r="Q3790" s="224"/>
      <c r="S3790" s="202"/>
      <c r="T3790"/>
    </row>
    <row r="3791" spans="15:20">
      <c r="O3791" s="247"/>
      <c r="P3791"/>
      <c r="Q3791" s="224"/>
      <c r="S3791" s="202"/>
      <c r="T3791"/>
    </row>
    <row r="3792" spans="15:20">
      <c r="O3792" s="247"/>
      <c r="P3792"/>
      <c r="Q3792" s="224"/>
      <c r="S3792" s="202"/>
      <c r="T3792"/>
    </row>
    <row r="3793" spans="15:20">
      <c r="O3793" s="247"/>
      <c r="P3793"/>
      <c r="Q3793" s="224"/>
      <c r="S3793" s="202"/>
      <c r="T3793"/>
    </row>
    <row r="3794" spans="15:20">
      <c r="O3794" s="247"/>
      <c r="P3794"/>
      <c r="Q3794" s="224"/>
      <c r="S3794" s="202"/>
      <c r="T3794"/>
    </row>
    <row r="3795" spans="15:20">
      <c r="O3795" s="247"/>
      <c r="P3795"/>
      <c r="Q3795" s="224"/>
      <c r="S3795" s="202"/>
      <c r="T3795"/>
    </row>
    <row r="3796" spans="15:20">
      <c r="O3796" s="247"/>
      <c r="P3796"/>
      <c r="Q3796" s="224"/>
      <c r="S3796" s="202"/>
      <c r="T3796"/>
    </row>
    <row r="3797" spans="15:20">
      <c r="O3797" s="247"/>
      <c r="P3797"/>
      <c r="Q3797" s="224"/>
      <c r="S3797" s="202"/>
      <c r="T3797"/>
    </row>
    <row r="3798" spans="15:20">
      <c r="O3798" s="247"/>
      <c r="P3798"/>
      <c r="Q3798" s="224"/>
      <c r="S3798" s="202"/>
      <c r="T3798"/>
    </row>
    <row r="3799" spans="15:20">
      <c r="O3799" s="247"/>
      <c r="P3799"/>
      <c r="Q3799" s="224"/>
      <c r="S3799" s="202"/>
      <c r="T3799"/>
    </row>
    <row r="3800" spans="15:20">
      <c r="O3800" s="247"/>
      <c r="P3800"/>
      <c r="Q3800" s="224"/>
      <c r="S3800" s="202"/>
      <c r="T3800"/>
    </row>
    <row r="3801" spans="15:20">
      <c r="O3801" s="247"/>
      <c r="P3801"/>
      <c r="Q3801" s="224"/>
      <c r="S3801" s="202"/>
      <c r="T3801"/>
    </row>
    <row r="3802" spans="15:20">
      <c r="O3802" s="247"/>
      <c r="P3802"/>
      <c r="Q3802" s="224"/>
      <c r="S3802" s="202"/>
      <c r="T3802"/>
    </row>
    <row r="3803" spans="15:20">
      <c r="O3803" s="247"/>
      <c r="P3803"/>
      <c r="Q3803" s="224"/>
      <c r="S3803" s="202"/>
      <c r="T3803"/>
    </row>
    <row r="3804" spans="15:20">
      <c r="O3804" s="247"/>
      <c r="P3804"/>
      <c r="Q3804" s="224"/>
      <c r="S3804" s="202"/>
      <c r="T3804"/>
    </row>
    <row r="3805" spans="15:20">
      <c r="O3805" s="247"/>
      <c r="P3805"/>
      <c r="Q3805" s="224"/>
      <c r="S3805" s="202"/>
      <c r="T3805"/>
    </row>
    <row r="3806" spans="15:20">
      <c r="O3806" s="247"/>
      <c r="P3806"/>
      <c r="Q3806" s="224"/>
      <c r="S3806" s="202"/>
      <c r="T3806"/>
    </row>
    <row r="3807" spans="15:20">
      <c r="O3807" s="247"/>
      <c r="P3807"/>
      <c r="Q3807" s="224"/>
      <c r="S3807" s="202"/>
      <c r="T3807"/>
    </row>
    <row r="3808" spans="15:20">
      <c r="O3808" s="247"/>
      <c r="P3808"/>
      <c r="Q3808" s="224"/>
      <c r="S3808" s="202"/>
      <c r="T3808"/>
    </row>
    <row r="3809" spans="15:20">
      <c r="O3809" s="247"/>
      <c r="P3809"/>
      <c r="Q3809" s="224"/>
      <c r="S3809" s="202"/>
      <c r="T3809"/>
    </row>
    <row r="3810" spans="15:20">
      <c r="O3810" s="247"/>
      <c r="P3810"/>
      <c r="Q3810" s="224"/>
      <c r="S3810" s="202"/>
      <c r="T3810"/>
    </row>
    <row r="3811" spans="15:20">
      <c r="O3811" s="247"/>
      <c r="P3811"/>
      <c r="Q3811" s="224"/>
      <c r="S3811" s="202"/>
      <c r="T3811"/>
    </row>
    <row r="3812" spans="15:20">
      <c r="O3812" s="247"/>
      <c r="P3812"/>
      <c r="Q3812" s="224"/>
      <c r="S3812" s="202"/>
      <c r="T3812"/>
    </row>
    <row r="3813" spans="15:20">
      <c r="O3813" s="247"/>
      <c r="P3813"/>
      <c r="Q3813" s="224"/>
      <c r="S3813" s="202"/>
      <c r="T3813"/>
    </row>
    <row r="3814" spans="15:20">
      <c r="O3814" s="247"/>
      <c r="P3814"/>
      <c r="Q3814" s="224"/>
      <c r="S3814" s="202"/>
      <c r="T3814"/>
    </row>
    <row r="3815" spans="15:20">
      <c r="O3815" s="247"/>
      <c r="P3815"/>
      <c r="Q3815" s="224"/>
      <c r="S3815" s="202"/>
      <c r="T3815"/>
    </row>
    <row r="3816" spans="15:20">
      <c r="O3816" s="247"/>
      <c r="P3816"/>
      <c r="Q3816" s="224"/>
      <c r="S3816" s="202"/>
      <c r="T3816"/>
    </row>
    <row r="3817" spans="15:20">
      <c r="O3817" s="247"/>
      <c r="P3817"/>
      <c r="Q3817" s="224"/>
      <c r="S3817" s="202"/>
      <c r="T3817"/>
    </row>
    <row r="3818" spans="15:20">
      <c r="O3818" s="247"/>
      <c r="P3818"/>
      <c r="Q3818" s="224"/>
      <c r="S3818" s="202"/>
      <c r="T3818"/>
    </row>
    <row r="3819" spans="15:20">
      <c r="O3819" s="247"/>
      <c r="P3819"/>
      <c r="Q3819" s="224"/>
      <c r="S3819" s="202"/>
      <c r="T3819"/>
    </row>
    <row r="3820" spans="15:20">
      <c r="O3820" s="247"/>
      <c r="P3820"/>
      <c r="Q3820" s="224"/>
      <c r="S3820" s="202"/>
      <c r="T3820"/>
    </row>
    <row r="3821" spans="15:20">
      <c r="O3821" s="247"/>
      <c r="P3821"/>
      <c r="Q3821" s="224"/>
      <c r="S3821" s="202"/>
      <c r="T3821"/>
    </row>
    <row r="3822" spans="15:20">
      <c r="O3822" s="247"/>
      <c r="P3822"/>
      <c r="Q3822" s="224"/>
      <c r="S3822" s="202"/>
      <c r="T3822"/>
    </row>
    <row r="3823" spans="15:20">
      <c r="O3823" s="247"/>
      <c r="P3823"/>
      <c r="Q3823" s="224"/>
      <c r="S3823" s="202"/>
      <c r="T3823"/>
    </row>
    <row r="3824" spans="15:20">
      <c r="O3824" s="247"/>
      <c r="P3824"/>
      <c r="Q3824" s="224"/>
      <c r="S3824" s="202"/>
      <c r="T3824"/>
    </row>
    <row r="3825" spans="15:20">
      <c r="O3825" s="247"/>
      <c r="P3825"/>
      <c r="Q3825" s="224"/>
      <c r="S3825" s="202"/>
      <c r="T3825"/>
    </row>
    <row r="3826" spans="15:20">
      <c r="O3826" s="247"/>
      <c r="P3826"/>
      <c r="Q3826" s="224"/>
      <c r="S3826" s="202"/>
      <c r="T3826"/>
    </row>
    <row r="3827" spans="15:20">
      <c r="O3827" s="247"/>
      <c r="P3827"/>
      <c r="Q3827" s="224"/>
      <c r="S3827" s="202"/>
      <c r="T3827"/>
    </row>
    <row r="3828" spans="15:20">
      <c r="O3828" s="247"/>
      <c r="P3828"/>
      <c r="Q3828" s="224"/>
      <c r="S3828" s="202"/>
      <c r="T3828"/>
    </row>
    <row r="3829" spans="15:20">
      <c r="O3829" s="247"/>
      <c r="P3829"/>
      <c r="Q3829" s="224"/>
      <c r="S3829" s="202"/>
      <c r="T3829"/>
    </row>
    <row r="3830" spans="15:20">
      <c r="O3830" s="247"/>
      <c r="P3830"/>
      <c r="Q3830" s="224"/>
      <c r="S3830" s="202"/>
      <c r="T3830"/>
    </row>
    <row r="3831" spans="15:20">
      <c r="O3831" s="247"/>
      <c r="P3831"/>
      <c r="Q3831" s="224"/>
      <c r="S3831" s="202"/>
      <c r="T3831"/>
    </row>
    <row r="3832" spans="15:20">
      <c r="O3832" s="247"/>
      <c r="P3832"/>
      <c r="Q3832" s="224"/>
      <c r="S3832" s="202"/>
      <c r="T3832"/>
    </row>
    <row r="3833" spans="15:20">
      <c r="O3833" s="247"/>
      <c r="P3833"/>
      <c r="Q3833" s="224"/>
      <c r="S3833" s="202"/>
      <c r="T3833"/>
    </row>
    <row r="3834" spans="15:20">
      <c r="O3834" s="247"/>
      <c r="P3834"/>
      <c r="Q3834" s="224"/>
      <c r="S3834" s="202"/>
      <c r="T3834"/>
    </row>
    <row r="3835" spans="15:20">
      <c r="O3835" s="247"/>
      <c r="P3835"/>
      <c r="Q3835" s="224"/>
      <c r="S3835" s="202"/>
      <c r="T3835"/>
    </row>
    <row r="3836" spans="15:20">
      <c r="O3836" s="247"/>
      <c r="P3836"/>
      <c r="Q3836" s="224"/>
      <c r="S3836" s="202"/>
      <c r="T3836"/>
    </row>
    <row r="3837" spans="15:20">
      <c r="O3837" s="247"/>
      <c r="P3837"/>
      <c r="Q3837" s="224"/>
      <c r="S3837" s="202"/>
      <c r="T3837"/>
    </row>
    <row r="3838" spans="15:20">
      <c r="O3838" s="247"/>
      <c r="P3838"/>
      <c r="Q3838" s="224"/>
      <c r="S3838" s="202"/>
      <c r="T3838"/>
    </row>
    <row r="3839" spans="15:20">
      <c r="O3839" s="247"/>
      <c r="P3839"/>
      <c r="Q3839" s="224"/>
      <c r="S3839" s="202"/>
      <c r="T3839"/>
    </row>
    <row r="3840" spans="15:20">
      <c r="O3840" s="247"/>
      <c r="P3840"/>
      <c r="Q3840" s="224"/>
      <c r="S3840" s="202"/>
      <c r="T3840"/>
    </row>
    <row r="3841" spans="15:20">
      <c r="O3841" s="247"/>
      <c r="P3841"/>
      <c r="Q3841" s="224"/>
      <c r="S3841" s="202"/>
      <c r="T3841"/>
    </row>
    <row r="3842" spans="15:20">
      <c r="O3842" s="247"/>
      <c r="P3842"/>
      <c r="Q3842" s="224"/>
      <c r="S3842" s="202"/>
      <c r="T3842"/>
    </row>
    <row r="3843" spans="15:20">
      <c r="O3843" s="247"/>
      <c r="P3843"/>
      <c r="Q3843" s="224"/>
      <c r="S3843" s="202"/>
      <c r="T3843"/>
    </row>
    <row r="3844" spans="15:20">
      <c r="O3844" s="247"/>
      <c r="P3844"/>
      <c r="Q3844" s="224"/>
      <c r="S3844" s="202"/>
      <c r="T3844"/>
    </row>
    <row r="3845" spans="15:20">
      <c r="O3845" s="247"/>
      <c r="P3845"/>
      <c r="Q3845" s="224"/>
      <c r="S3845" s="202"/>
      <c r="T3845"/>
    </row>
    <row r="3846" spans="15:20">
      <c r="O3846" s="247"/>
      <c r="P3846"/>
      <c r="Q3846" s="224"/>
      <c r="S3846" s="202"/>
      <c r="T3846"/>
    </row>
    <row r="3847" spans="15:20">
      <c r="O3847" s="247"/>
      <c r="P3847"/>
      <c r="Q3847" s="224"/>
      <c r="S3847" s="202"/>
      <c r="T3847"/>
    </row>
    <row r="3848" spans="15:20">
      <c r="O3848" s="247"/>
      <c r="P3848"/>
      <c r="Q3848" s="224"/>
      <c r="S3848" s="202"/>
      <c r="T3848"/>
    </row>
    <row r="3849" spans="15:20">
      <c r="O3849" s="247"/>
      <c r="P3849"/>
      <c r="Q3849" s="224"/>
      <c r="S3849" s="202"/>
      <c r="T3849"/>
    </row>
    <row r="3850" spans="15:20">
      <c r="O3850" s="247"/>
      <c r="P3850"/>
      <c r="Q3850" s="224"/>
      <c r="S3850" s="202"/>
      <c r="T3850"/>
    </row>
    <row r="3851" spans="15:20">
      <c r="O3851" s="247"/>
      <c r="P3851"/>
      <c r="Q3851" s="224"/>
      <c r="S3851" s="202"/>
      <c r="T3851"/>
    </row>
    <row r="3852" spans="15:20">
      <c r="O3852" s="247"/>
      <c r="P3852"/>
      <c r="Q3852" s="224"/>
      <c r="S3852" s="202"/>
      <c r="T3852"/>
    </row>
    <row r="3853" spans="15:20">
      <c r="O3853" s="247"/>
      <c r="P3853"/>
      <c r="Q3853" s="224"/>
      <c r="S3853" s="202"/>
      <c r="T3853"/>
    </row>
    <row r="3854" spans="15:20">
      <c r="O3854" s="247"/>
      <c r="P3854"/>
      <c r="Q3854" s="224"/>
      <c r="S3854" s="202"/>
      <c r="T3854"/>
    </row>
    <row r="3855" spans="15:20">
      <c r="O3855" s="247"/>
      <c r="P3855"/>
      <c r="Q3855" s="224"/>
      <c r="S3855" s="202"/>
      <c r="T3855"/>
    </row>
    <row r="3856" spans="15:20">
      <c r="O3856" s="247"/>
      <c r="P3856"/>
      <c r="Q3856" s="224"/>
      <c r="S3856" s="202"/>
      <c r="T3856"/>
    </row>
    <row r="3857" spans="15:20">
      <c r="O3857" s="247"/>
      <c r="P3857"/>
      <c r="Q3857" s="224"/>
      <c r="S3857" s="202"/>
      <c r="T3857"/>
    </row>
    <row r="3858" spans="15:20">
      <c r="O3858" s="247"/>
      <c r="P3858"/>
      <c r="Q3858" s="224"/>
      <c r="S3858" s="202"/>
      <c r="T3858"/>
    </row>
    <row r="3859" spans="15:20">
      <c r="O3859" s="247"/>
      <c r="P3859"/>
      <c r="Q3859" s="224"/>
      <c r="S3859" s="202"/>
      <c r="T3859"/>
    </row>
    <row r="3860" spans="15:20">
      <c r="O3860" s="247"/>
      <c r="P3860"/>
      <c r="Q3860" s="224"/>
      <c r="S3860" s="202"/>
      <c r="T3860"/>
    </row>
    <row r="3861" spans="15:20">
      <c r="O3861" s="247"/>
      <c r="P3861"/>
      <c r="Q3861" s="224"/>
      <c r="S3861" s="202"/>
      <c r="T3861"/>
    </row>
    <row r="3862" spans="15:20">
      <c r="O3862" s="247"/>
      <c r="P3862"/>
      <c r="Q3862" s="224"/>
      <c r="S3862" s="202"/>
      <c r="T3862"/>
    </row>
    <row r="3863" spans="15:20">
      <c r="O3863" s="247"/>
      <c r="P3863"/>
      <c r="Q3863" s="224"/>
      <c r="S3863" s="202"/>
      <c r="T3863"/>
    </row>
    <row r="3864" spans="15:20">
      <c r="O3864" s="247"/>
      <c r="P3864"/>
      <c r="Q3864" s="224"/>
      <c r="S3864" s="202"/>
      <c r="T3864"/>
    </row>
    <row r="3865" spans="15:20">
      <c r="O3865" s="247"/>
      <c r="P3865"/>
      <c r="Q3865" s="224"/>
      <c r="S3865" s="202"/>
      <c r="T3865"/>
    </row>
    <row r="3866" spans="15:20">
      <c r="O3866" s="247"/>
      <c r="P3866"/>
      <c r="Q3866" s="224"/>
      <c r="S3866" s="202"/>
      <c r="T3866"/>
    </row>
    <row r="3867" spans="15:20">
      <c r="O3867" s="247"/>
      <c r="P3867"/>
      <c r="Q3867" s="224"/>
      <c r="S3867" s="202"/>
      <c r="T3867"/>
    </row>
    <row r="3868" spans="15:20">
      <c r="O3868" s="247"/>
      <c r="P3868"/>
      <c r="Q3868" s="224"/>
      <c r="S3868" s="202"/>
      <c r="T3868"/>
    </row>
    <row r="3869" spans="15:20">
      <c r="O3869" s="247"/>
      <c r="P3869"/>
      <c r="Q3869" s="224"/>
      <c r="S3869" s="202"/>
      <c r="T3869"/>
    </row>
    <row r="3870" spans="15:20">
      <c r="O3870" s="247"/>
      <c r="P3870"/>
      <c r="Q3870" s="224"/>
      <c r="S3870" s="202"/>
      <c r="T3870"/>
    </row>
    <row r="3871" spans="15:20">
      <c r="O3871" s="247"/>
      <c r="P3871"/>
      <c r="Q3871" s="224"/>
      <c r="S3871" s="202"/>
      <c r="T3871"/>
    </row>
    <row r="3872" spans="15:20">
      <c r="O3872" s="247"/>
      <c r="P3872"/>
      <c r="Q3872" s="224"/>
      <c r="S3872" s="202"/>
      <c r="T3872"/>
    </row>
    <row r="3873" spans="15:20">
      <c r="O3873" s="247"/>
      <c r="P3873"/>
      <c r="Q3873" s="224"/>
      <c r="S3873" s="202"/>
      <c r="T3873"/>
    </row>
    <row r="3874" spans="15:20">
      <c r="O3874" s="247"/>
      <c r="P3874"/>
      <c r="Q3874" s="224"/>
      <c r="S3874" s="202"/>
      <c r="T3874"/>
    </row>
    <row r="3875" spans="15:20">
      <c r="O3875" s="247"/>
      <c r="P3875"/>
      <c r="Q3875" s="224"/>
      <c r="S3875" s="202"/>
      <c r="T3875"/>
    </row>
    <row r="3876" spans="15:20">
      <c r="O3876" s="247"/>
      <c r="P3876"/>
      <c r="Q3876" s="224"/>
      <c r="S3876" s="202"/>
      <c r="T3876"/>
    </row>
    <row r="3877" spans="15:20">
      <c r="O3877" s="247"/>
      <c r="P3877"/>
      <c r="Q3877" s="224"/>
      <c r="S3877" s="202"/>
      <c r="T3877"/>
    </row>
    <row r="3878" spans="15:20">
      <c r="O3878" s="247"/>
      <c r="P3878"/>
      <c r="Q3878" s="224"/>
      <c r="S3878" s="202"/>
      <c r="T3878"/>
    </row>
    <row r="3879" spans="15:20">
      <c r="O3879" s="247"/>
      <c r="P3879"/>
      <c r="Q3879" s="224"/>
      <c r="S3879" s="202"/>
      <c r="T3879"/>
    </row>
    <row r="3880" spans="15:20">
      <c r="O3880" s="247"/>
      <c r="P3880"/>
      <c r="Q3880" s="224"/>
      <c r="S3880" s="202"/>
      <c r="T3880"/>
    </row>
    <row r="3881" spans="15:20">
      <c r="O3881" s="247"/>
      <c r="P3881"/>
      <c r="Q3881" s="224"/>
      <c r="S3881" s="202"/>
      <c r="T3881"/>
    </row>
    <row r="3882" spans="15:20">
      <c r="O3882" s="247"/>
      <c r="P3882"/>
      <c r="Q3882" s="224"/>
      <c r="S3882" s="202"/>
      <c r="T3882"/>
    </row>
    <row r="3883" spans="15:20">
      <c r="O3883" s="247"/>
      <c r="P3883"/>
      <c r="Q3883" s="224"/>
      <c r="S3883" s="202"/>
      <c r="T3883"/>
    </row>
    <row r="3884" spans="15:20">
      <c r="O3884" s="247"/>
      <c r="P3884"/>
      <c r="Q3884" s="224"/>
      <c r="S3884" s="202"/>
      <c r="T3884"/>
    </row>
    <row r="3885" spans="15:20">
      <c r="O3885" s="247"/>
      <c r="P3885"/>
      <c r="Q3885" s="224"/>
      <c r="S3885" s="202"/>
      <c r="T3885"/>
    </row>
    <row r="3886" spans="15:20">
      <c r="O3886" s="247"/>
      <c r="P3886"/>
      <c r="Q3886" s="224"/>
      <c r="S3886" s="202"/>
      <c r="T3886"/>
    </row>
    <row r="3887" spans="15:20">
      <c r="O3887" s="247"/>
      <c r="P3887"/>
      <c r="Q3887" s="224"/>
      <c r="S3887" s="202"/>
      <c r="T3887"/>
    </row>
    <row r="3888" spans="15:20">
      <c r="O3888" s="247"/>
      <c r="P3888"/>
      <c r="Q3888" s="224"/>
      <c r="S3888" s="202"/>
      <c r="T3888"/>
    </row>
    <row r="3889" spans="15:20">
      <c r="O3889" s="247"/>
      <c r="P3889"/>
      <c r="Q3889" s="224"/>
      <c r="S3889" s="202"/>
      <c r="T3889"/>
    </row>
    <row r="3890" spans="15:20">
      <c r="O3890" s="247"/>
      <c r="P3890"/>
      <c r="Q3890" s="224"/>
      <c r="S3890" s="202"/>
      <c r="T3890"/>
    </row>
    <row r="3891" spans="15:20">
      <c r="O3891" s="247"/>
      <c r="P3891"/>
      <c r="Q3891" s="224"/>
      <c r="S3891" s="202"/>
      <c r="T3891"/>
    </row>
    <row r="3892" spans="15:20">
      <c r="O3892" s="247"/>
      <c r="P3892"/>
      <c r="Q3892" s="224"/>
      <c r="S3892" s="202"/>
      <c r="T3892"/>
    </row>
    <row r="3893" spans="15:20">
      <c r="O3893" s="247"/>
      <c r="P3893"/>
      <c r="Q3893" s="224"/>
      <c r="S3893" s="202"/>
      <c r="T3893"/>
    </row>
    <row r="3894" spans="15:20">
      <c r="O3894" s="247"/>
      <c r="P3894"/>
      <c r="Q3894" s="224"/>
      <c r="S3894" s="202"/>
      <c r="T3894"/>
    </row>
    <row r="3895" spans="15:20">
      <c r="O3895" s="247"/>
      <c r="P3895"/>
      <c r="Q3895" s="224"/>
      <c r="S3895" s="202"/>
      <c r="T3895"/>
    </row>
    <row r="3896" spans="15:20">
      <c r="O3896" s="247"/>
      <c r="P3896"/>
      <c r="Q3896" s="224"/>
      <c r="S3896" s="202"/>
      <c r="T3896"/>
    </row>
    <row r="3897" spans="15:20">
      <c r="O3897" s="247"/>
      <c r="P3897"/>
      <c r="Q3897" s="224"/>
      <c r="S3897" s="202"/>
      <c r="T3897"/>
    </row>
    <row r="3898" spans="15:20">
      <c r="O3898" s="247"/>
      <c r="P3898"/>
      <c r="Q3898" s="224"/>
      <c r="S3898" s="202"/>
      <c r="T3898"/>
    </row>
    <row r="3899" spans="15:20">
      <c r="O3899" s="247"/>
      <c r="P3899"/>
      <c r="Q3899" s="224"/>
      <c r="S3899" s="202"/>
      <c r="T3899"/>
    </row>
    <row r="3900" spans="15:20">
      <c r="O3900" s="247"/>
      <c r="P3900"/>
      <c r="Q3900" s="224"/>
      <c r="S3900" s="202"/>
      <c r="T3900"/>
    </row>
    <row r="3901" spans="15:20">
      <c r="O3901" s="247"/>
      <c r="P3901"/>
      <c r="Q3901" s="224"/>
      <c r="S3901" s="202"/>
      <c r="T3901"/>
    </row>
    <row r="3902" spans="15:20">
      <c r="O3902" s="247"/>
      <c r="P3902"/>
      <c r="Q3902" s="224"/>
      <c r="S3902" s="202"/>
      <c r="T3902"/>
    </row>
    <row r="3903" spans="15:20">
      <c r="O3903" s="247"/>
      <c r="P3903"/>
      <c r="Q3903" s="224"/>
      <c r="S3903" s="202"/>
      <c r="T3903"/>
    </row>
    <row r="3904" spans="15:20">
      <c r="O3904" s="247"/>
      <c r="P3904"/>
      <c r="Q3904" s="224"/>
      <c r="S3904" s="202"/>
      <c r="T3904"/>
    </row>
    <row r="3905" spans="15:20">
      <c r="O3905" s="247"/>
      <c r="P3905"/>
      <c r="Q3905" s="224"/>
      <c r="S3905" s="202"/>
      <c r="T3905"/>
    </row>
    <row r="3906" spans="15:20">
      <c r="O3906" s="247"/>
      <c r="P3906"/>
      <c r="Q3906" s="224"/>
      <c r="S3906" s="202"/>
      <c r="T3906"/>
    </row>
    <row r="3907" spans="15:20">
      <c r="O3907" s="247"/>
      <c r="P3907"/>
      <c r="Q3907" s="224"/>
      <c r="S3907" s="202"/>
      <c r="T3907"/>
    </row>
    <row r="3908" spans="15:20">
      <c r="O3908" s="247"/>
      <c r="P3908"/>
      <c r="Q3908" s="224"/>
      <c r="S3908" s="202"/>
      <c r="T3908"/>
    </row>
    <row r="3909" spans="15:20">
      <c r="O3909" s="247"/>
      <c r="P3909"/>
      <c r="Q3909" s="224"/>
      <c r="S3909" s="202"/>
      <c r="T3909"/>
    </row>
    <row r="3910" spans="15:20">
      <c r="O3910" s="247"/>
      <c r="P3910"/>
      <c r="Q3910" s="224"/>
      <c r="S3910" s="202"/>
      <c r="T3910"/>
    </row>
    <row r="3911" spans="15:20">
      <c r="O3911" s="247"/>
      <c r="P3911"/>
      <c r="Q3911" s="224"/>
      <c r="S3911" s="202"/>
      <c r="T3911"/>
    </row>
    <row r="3912" spans="15:20">
      <c r="O3912" s="247"/>
      <c r="P3912"/>
      <c r="Q3912" s="224"/>
      <c r="S3912" s="202"/>
      <c r="T3912"/>
    </row>
    <row r="3913" spans="15:20">
      <c r="O3913" s="247"/>
      <c r="P3913"/>
      <c r="Q3913" s="224"/>
      <c r="S3913" s="202"/>
      <c r="T3913"/>
    </row>
    <row r="3914" spans="15:20">
      <c r="O3914" s="247"/>
      <c r="P3914"/>
      <c r="Q3914" s="224"/>
      <c r="S3914" s="202"/>
      <c r="T3914"/>
    </row>
    <row r="3915" spans="15:20">
      <c r="O3915" s="247"/>
      <c r="P3915"/>
      <c r="Q3915" s="224"/>
      <c r="S3915" s="202"/>
      <c r="T3915"/>
    </row>
    <row r="3916" spans="15:20">
      <c r="O3916" s="247"/>
      <c r="P3916"/>
      <c r="Q3916" s="224"/>
      <c r="S3916" s="202"/>
      <c r="T3916"/>
    </row>
    <row r="3917" spans="15:20">
      <c r="O3917" s="247"/>
      <c r="P3917"/>
      <c r="Q3917" s="224"/>
      <c r="S3917" s="202"/>
      <c r="T3917"/>
    </row>
    <row r="3918" spans="15:20">
      <c r="O3918" s="247"/>
      <c r="P3918"/>
      <c r="Q3918" s="224"/>
      <c r="S3918" s="202"/>
      <c r="T3918"/>
    </row>
    <row r="3919" spans="15:20">
      <c r="O3919" s="247"/>
      <c r="P3919"/>
      <c r="Q3919" s="224"/>
      <c r="S3919" s="202"/>
      <c r="T3919"/>
    </row>
    <row r="3920" spans="15:20">
      <c r="O3920" s="247"/>
      <c r="P3920"/>
      <c r="Q3920" s="224"/>
      <c r="S3920" s="202"/>
      <c r="T3920"/>
    </row>
    <row r="3921" spans="15:20">
      <c r="O3921" s="247"/>
      <c r="P3921"/>
      <c r="Q3921" s="224"/>
      <c r="S3921" s="202"/>
      <c r="T3921"/>
    </row>
    <row r="3922" spans="15:20">
      <c r="O3922" s="247"/>
      <c r="P3922"/>
      <c r="Q3922" s="224"/>
      <c r="S3922" s="202"/>
      <c r="T3922"/>
    </row>
    <row r="3923" spans="15:20">
      <c r="O3923" s="247"/>
      <c r="P3923"/>
      <c r="Q3923" s="224"/>
      <c r="S3923" s="202"/>
      <c r="T3923"/>
    </row>
    <row r="3924" spans="15:20">
      <c r="O3924" s="247"/>
      <c r="P3924"/>
      <c r="Q3924" s="224"/>
      <c r="S3924" s="202"/>
      <c r="T3924"/>
    </row>
    <row r="3925" spans="15:20">
      <c r="O3925" s="247"/>
      <c r="P3925"/>
      <c r="Q3925" s="224"/>
      <c r="S3925" s="202"/>
      <c r="T3925"/>
    </row>
    <row r="3926" spans="15:20">
      <c r="O3926" s="247"/>
      <c r="P3926"/>
      <c r="Q3926" s="224"/>
      <c r="S3926" s="202"/>
      <c r="T3926"/>
    </row>
    <row r="3927" spans="15:20">
      <c r="O3927" s="247"/>
      <c r="P3927"/>
      <c r="Q3927" s="224"/>
      <c r="S3927" s="202"/>
      <c r="T3927"/>
    </row>
    <row r="3928" spans="15:20">
      <c r="O3928" s="247"/>
      <c r="P3928"/>
      <c r="Q3928" s="224"/>
      <c r="S3928" s="202"/>
      <c r="T3928"/>
    </row>
    <row r="3929" spans="15:20">
      <c r="O3929" s="247"/>
      <c r="P3929"/>
      <c r="Q3929" s="224"/>
      <c r="S3929" s="202"/>
      <c r="T3929"/>
    </row>
    <row r="3930" spans="15:20">
      <c r="O3930" s="247"/>
      <c r="P3930"/>
      <c r="Q3930" s="224"/>
      <c r="S3930" s="202"/>
      <c r="T3930"/>
    </row>
    <row r="3931" spans="15:20">
      <c r="O3931" s="247"/>
      <c r="P3931"/>
      <c r="Q3931" s="224"/>
      <c r="S3931" s="202"/>
      <c r="T3931"/>
    </row>
    <row r="3932" spans="15:20">
      <c r="O3932" s="247"/>
      <c r="P3932"/>
      <c r="Q3932" s="224"/>
      <c r="S3932" s="202"/>
      <c r="T3932"/>
    </row>
    <row r="3933" spans="15:20">
      <c r="O3933" s="247"/>
      <c r="P3933"/>
      <c r="Q3933" s="224"/>
      <c r="S3933" s="202"/>
      <c r="T3933"/>
    </row>
    <row r="3934" spans="15:20">
      <c r="O3934" s="247"/>
      <c r="P3934"/>
      <c r="Q3934" s="224"/>
      <c r="S3934" s="202"/>
      <c r="T3934"/>
    </row>
    <row r="3935" spans="15:20">
      <c r="O3935" s="247"/>
      <c r="P3935"/>
      <c r="Q3935" s="224"/>
      <c r="S3935" s="202"/>
      <c r="T3935"/>
    </row>
    <row r="3936" spans="15:20">
      <c r="O3936" s="247"/>
      <c r="P3936"/>
      <c r="Q3936" s="224"/>
      <c r="S3936" s="202"/>
      <c r="T3936"/>
    </row>
    <row r="3937" spans="15:20">
      <c r="O3937" s="247"/>
      <c r="P3937"/>
      <c r="Q3937" s="224"/>
      <c r="S3937" s="202"/>
      <c r="T3937"/>
    </row>
    <row r="3938" spans="15:20">
      <c r="O3938" s="247"/>
      <c r="P3938"/>
      <c r="Q3938" s="224"/>
      <c r="S3938" s="202"/>
      <c r="T3938"/>
    </row>
    <row r="3939" spans="15:20">
      <c r="O3939" s="247"/>
      <c r="P3939"/>
      <c r="Q3939" s="224"/>
      <c r="S3939" s="202"/>
      <c r="T3939"/>
    </row>
    <row r="3940" spans="15:20">
      <c r="O3940" s="247"/>
      <c r="P3940"/>
      <c r="Q3940" s="224"/>
      <c r="S3940" s="202"/>
      <c r="T3940"/>
    </row>
    <row r="3941" spans="15:20">
      <c r="O3941" s="247"/>
      <c r="P3941"/>
      <c r="Q3941" s="224"/>
      <c r="S3941" s="202"/>
      <c r="T3941"/>
    </row>
    <row r="3942" spans="15:20">
      <c r="O3942" s="247"/>
      <c r="P3942"/>
      <c r="Q3942" s="224"/>
      <c r="S3942" s="202"/>
      <c r="T3942"/>
    </row>
    <row r="3943" spans="15:20">
      <c r="O3943" s="247"/>
      <c r="P3943"/>
      <c r="Q3943" s="224"/>
      <c r="S3943" s="202"/>
      <c r="T3943"/>
    </row>
    <row r="3944" spans="15:20">
      <c r="O3944" s="247"/>
      <c r="P3944"/>
      <c r="Q3944" s="224"/>
      <c r="S3944" s="202"/>
      <c r="T3944"/>
    </row>
    <row r="3945" spans="15:20">
      <c r="O3945" s="247"/>
      <c r="P3945"/>
      <c r="Q3945" s="224"/>
      <c r="S3945" s="202"/>
      <c r="T3945"/>
    </row>
    <row r="3946" spans="15:20">
      <c r="O3946" s="247"/>
      <c r="P3946"/>
      <c r="Q3946" s="224"/>
      <c r="S3946" s="202"/>
      <c r="T3946"/>
    </row>
    <row r="3947" spans="15:20">
      <c r="O3947" s="247"/>
      <c r="P3947"/>
      <c r="Q3947" s="224"/>
      <c r="S3947" s="202"/>
      <c r="T3947"/>
    </row>
    <row r="3948" spans="15:20">
      <c r="O3948" s="247"/>
      <c r="P3948"/>
      <c r="Q3948" s="224"/>
      <c r="S3948" s="202"/>
      <c r="T3948"/>
    </row>
    <row r="3949" spans="15:20">
      <c r="O3949" s="247"/>
      <c r="P3949"/>
      <c r="Q3949" s="224"/>
      <c r="S3949" s="202"/>
      <c r="T3949"/>
    </row>
    <row r="3950" spans="15:20">
      <c r="O3950" s="247"/>
      <c r="P3950"/>
      <c r="Q3950" s="224"/>
      <c r="S3950" s="202"/>
      <c r="T3950"/>
    </row>
    <row r="3951" spans="15:20">
      <c r="O3951" s="247"/>
      <c r="P3951"/>
      <c r="Q3951" s="224"/>
      <c r="S3951" s="202"/>
      <c r="T3951"/>
    </row>
    <row r="3952" spans="15:20">
      <c r="O3952" s="247"/>
      <c r="P3952"/>
      <c r="Q3952" s="224"/>
      <c r="S3952" s="202"/>
      <c r="T3952"/>
    </row>
    <row r="3953" spans="15:20">
      <c r="O3953" s="247"/>
      <c r="P3953"/>
      <c r="Q3953" s="224"/>
      <c r="S3953" s="202"/>
      <c r="T3953"/>
    </row>
    <row r="3954" spans="15:20">
      <c r="O3954" s="247"/>
      <c r="P3954"/>
      <c r="Q3954" s="224"/>
      <c r="S3954" s="202"/>
      <c r="T3954"/>
    </row>
    <row r="3955" spans="15:20">
      <c r="O3955" s="247"/>
      <c r="P3955"/>
      <c r="Q3955" s="224"/>
      <c r="S3955" s="202"/>
      <c r="T3955"/>
    </row>
    <row r="3956" spans="15:20">
      <c r="O3956" s="247"/>
      <c r="P3956"/>
      <c r="Q3956" s="224"/>
      <c r="S3956" s="202"/>
      <c r="T3956"/>
    </row>
    <row r="3957" spans="15:20">
      <c r="O3957" s="247"/>
      <c r="P3957"/>
      <c r="Q3957" s="224"/>
      <c r="S3957" s="202"/>
      <c r="T3957"/>
    </row>
    <row r="3958" spans="15:20">
      <c r="O3958" s="247"/>
      <c r="P3958"/>
      <c r="Q3958" s="224"/>
      <c r="S3958" s="202"/>
      <c r="T3958"/>
    </row>
    <row r="3959" spans="15:20">
      <c r="O3959" s="247"/>
      <c r="P3959"/>
      <c r="Q3959" s="224"/>
      <c r="S3959" s="202"/>
      <c r="T3959"/>
    </row>
    <row r="3960" spans="15:20">
      <c r="O3960" s="247"/>
      <c r="P3960"/>
      <c r="Q3960" s="224"/>
      <c r="S3960" s="202"/>
      <c r="T3960"/>
    </row>
    <row r="3961" spans="15:20">
      <c r="O3961" s="247"/>
      <c r="P3961"/>
      <c r="Q3961" s="224"/>
      <c r="S3961" s="202"/>
      <c r="T3961"/>
    </row>
    <row r="3962" spans="15:20">
      <c r="O3962" s="247"/>
      <c r="P3962"/>
      <c r="Q3962" s="224"/>
      <c r="S3962" s="202"/>
      <c r="T3962"/>
    </row>
    <row r="3963" spans="15:20">
      <c r="O3963" s="247"/>
      <c r="P3963"/>
      <c r="Q3963" s="224"/>
      <c r="S3963" s="202"/>
      <c r="T3963"/>
    </row>
    <row r="3964" spans="15:20">
      <c r="O3964" s="247"/>
      <c r="P3964"/>
      <c r="Q3964" s="224"/>
      <c r="S3964" s="202"/>
      <c r="T3964"/>
    </row>
    <row r="3965" spans="15:20">
      <c r="O3965" s="247"/>
      <c r="P3965"/>
      <c r="Q3965" s="224"/>
      <c r="S3965" s="202"/>
      <c r="T3965"/>
    </row>
    <row r="3966" spans="15:20">
      <c r="O3966" s="247"/>
      <c r="P3966"/>
      <c r="Q3966" s="224"/>
      <c r="S3966" s="202"/>
      <c r="T3966"/>
    </row>
    <row r="3967" spans="15:20">
      <c r="O3967" s="247"/>
      <c r="P3967"/>
      <c r="Q3967" s="224"/>
      <c r="S3967" s="202"/>
      <c r="T3967"/>
    </row>
    <row r="3968" spans="15:20">
      <c r="O3968" s="247"/>
      <c r="P3968"/>
      <c r="Q3968" s="224"/>
      <c r="S3968" s="202"/>
      <c r="T3968"/>
    </row>
    <row r="3969" spans="15:20">
      <c r="O3969" s="247"/>
      <c r="P3969"/>
      <c r="Q3969" s="224"/>
      <c r="S3969" s="202"/>
      <c r="T3969"/>
    </row>
    <row r="3970" spans="15:20">
      <c r="O3970" s="247"/>
      <c r="P3970"/>
      <c r="Q3970" s="224"/>
      <c r="S3970" s="202"/>
      <c r="T3970"/>
    </row>
    <row r="3971" spans="15:20">
      <c r="O3971" s="247"/>
      <c r="P3971"/>
      <c r="Q3971" s="224"/>
      <c r="S3971" s="202"/>
      <c r="T3971"/>
    </row>
    <row r="3972" spans="15:20">
      <c r="O3972" s="247"/>
      <c r="P3972"/>
      <c r="Q3972" s="224"/>
      <c r="S3972" s="202"/>
      <c r="T3972"/>
    </row>
    <row r="3973" spans="15:20">
      <c r="O3973" s="247"/>
      <c r="P3973"/>
      <c r="Q3973" s="224"/>
      <c r="S3973" s="202"/>
      <c r="T3973"/>
    </row>
    <row r="3974" spans="15:20">
      <c r="O3974" s="247"/>
      <c r="P3974"/>
      <c r="Q3974" s="224"/>
      <c r="S3974" s="202"/>
      <c r="T3974"/>
    </row>
    <row r="3975" spans="15:20">
      <c r="O3975" s="247"/>
      <c r="P3975"/>
      <c r="Q3975" s="224"/>
      <c r="S3975" s="202"/>
      <c r="T3975"/>
    </row>
    <row r="3976" spans="15:20">
      <c r="O3976" s="247"/>
      <c r="P3976"/>
      <c r="Q3976" s="224"/>
      <c r="S3976" s="202"/>
      <c r="T3976"/>
    </row>
    <row r="3977" spans="15:20">
      <c r="O3977" s="247"/>
      <c r="P3977"/>
      <c r="Q3977" s="224"/>
      <c r="S3977" s="202"/>
      <c r="T3977"/>
    </row>
    <row r="3978" spans="15:20">
      <c r="O3978" s="247"/>
      <c r="P3978"/>
      <c r="Q3978" s="224"/>
      <c r="S3978" s="202"/>
      <c r="T3978"/>
    </row>
    <row r="3979" spans="15:20">
      <c r="O3979" s="247"/>
      <c r="P3979"/>
      <c r="Q3979" s="224"/>
      <c r="S3979" s="202"/>
      <c r="T3979"/>
    </row>
    <row r="3980" spans="15:20">
      <c r="O3980" s="247"/>
      <c r="P3980"/>
      <c r="Q3980" s="224"/>
      <c r="S3980" s="202"/>
      <c r="T3980"/>
    </row>
    <row r="3981" spans="15:20">
      <c r="O3981" s="247"/>
      <c r="P3981"/>
      <c r="Q3981" s="224"/>
      <c r="S3981" s="202"/>
      <c r="T3981"/>
    </row>
    <row r="3982" spans="15:20">
      <c r="O3982" s="247"/>
      <c r="P3982"/>
      <c r="Q3982" s="224"/>
      <c r="S3982" s="202"/>
      <c r="T3982"/>
    </row>
    <row r="3983" spans="15:20">
      <c r="O3983" s="247"/>
      <c r="P3983"/>
      <c r="Q3983" s="224"/>
      <c r="S3983" s="202"/>
      <c r="T3983"/>
    </row>
    <row r="3984" spans="15:20">
      <c r="O3984" s="247"/>
      <c r="P3984"/>
      <c r="Q3984" s="224"/>
      <c r="S3984" s="202"/>
      <c r="T3984"/>
    </row>
    <row r="3985" spans="15:20">
      <c r="O3985" s="247"/>
      <c r="P3985"/>
      <c r="Q3985" s="224"/>
      <c r="S3985" s="202"/>
      <c r="T3985"/>
    </row>
    <row r="3986" spans="15:20">
      <c r="O3986" s="247"/>
      <c r="P3986"/>
      <c r="Q3986" s="224"/>
      <c r="S3986" s="202"/>
      <c r="T3986"/>
    </row>
    <row r="3987" spans="15:20">
      <c r="O3987" s="247"/>
      <c r="P3987"/>
      <c r="Q3987" s="224"/>
      <c r="S3987" s="202"/>
      <c r="T3987"/>
    </row>
    <row r="3988" spans="15:20">
      <c r="O3988" s="247"/>
      <c r="P3988"/>
      <c r="Q3988" s="224"/>
      <c r="S3988" s="202"/>
      <c r="T3988"/>
    </row>
    <row r="3989" spans="15:20">
      <c r="O3989" s="247"/>
      <c r="P3989"/>
      <c r="Q3989" s="224"/>
      <c r="S3989" s="202"/>
      <c r="T3989"/>
    </row>
    <row r="3990" spans="15:20">
      <c r="O3990" s="247"/>
      <c r="P3990"/>
      <c r="Q3990" s="224"/>
      <c r="S3990" s="202"/>
      <c r="T3990"/>
    </row>
    <row r="3991" spans="15:20">
      <c r="O3991" s="247"/>
      <c r="P3991"/>
      <c r="Q3991" s="224"/>
      <c r="S3991" s="202"/>
      <c r="T3991"/>
    </row>
    <row r="3992" spans="15:20">
      <c r="O3992" s="247"/>
      <c r="P3992"/>
      <c r="Q3992" s="224"/>
      <c r="S3992" s="202"/>
      <c r="T3992"/>
    </row>
    <row r="3993" spans="15:20">
      <c r="O3993" s="247"/>
      <c r="P3993"/>
      <c r="Q3993" s="224"/>
      <c r="S3993" s="202"/>
      <c r="T3993"/>
    </row>
    <row r="3994" spans="15:20">
      <c r="O3994" s="247"/>
      <c r="P3994"/>
      <c r="Q3994" s="224"/>
      <c r="S3994" s="202"/>
      <c r="T3994"/>
    </row>
    <row r="3995" spans="15:20">
      <c r="O3995" s="247"/>
      <c r="P3995"/>
      <c r="Q3995" s="224"/>
      <c r="S3995" s="202"/>
      <c r="T3995"/>
    </row>
    <row r="3996" spans="15:20">
      <c r="O3996" s="247"/>
      <c r="P3996"/>
      <c r="Q3996" s="224"/>
      <c r="S3996" s="202"/>
      <c r="T3996"/>
    </row>
    <row r="3997" spans="15:20">
      <c r="O3997" s="247"/>
      <c r="P3997"/>
      <c r="Q3997" s="224"/>
      <c r="S3997" s="202"/>
      <c r="T3997"/>
    </row>
    <row r="3998" spans="15:20">
      <c r="O3998" s="247"/>
      <c r="P3998"/>
      <c r="Q3998" s="224"/>
      <c r="S3998" s="202"/>
      <c r="T3998"/>
    </row>
    <row r="3999" spans="15:20">
      <c r="O3999" s="247"/>
      <c r="P3999"/>
      <c r="Q3999" s="224"/>
      <c r="S3999" s="202"/>
      <c r="T3999"/>
    </row>
    <row r="4000" spans="15:20">
      <c r="O4000" s="247"/>
      <c r="P4000"/>
      <c r="Q4000" s="224"/>
      <c r="S4000" s="202"/>
      <c r="T4000"/>
    </row>
    <row r="4001" spans="15:20">
      <c r="O4001" s="247"/>
      <c r="P4001"/>
      <c r="Q4001" s="224"/>
      <c r="S4001" s="202"/>
      <c r="T4001"/>
    </row>
    <row r="4002" spans="15:20">
      <c r="O4002" s="247"/>
      <c r="P4002"/>
      <c r="Q4002" s="224"/>
      <c r="S4002" s="202"/>
      <c r="T4002"/>
    </row>
    <row r="4003" spans="15:20">
      <c r="O4003" s="247"/>
      <c r="P4003"/>
      <c r="Q4003" s="224"/>
      <c r="S4003" s="202"/>
      <c r="T4003"/>
    </row>
    <row r="4004" spans="15:20">
      <c r="O4004" s="247"/>
      <c r="P4004"/>
      <c r="Q4004" s="224"/>
      <c r="S4004" s="202"/>
      <c r="T4004"/>
    </row>
    <row r="4005" spans="15:20">
      <c r="O4005" s="247"/>
      <c r="P4005"/>
      <c r="Q4005" s="224"/>
      <c r="S4005" s="202"/>
      <c r="T4005"/>
    </row>
    <row r="4006" spans="15:20">
      <c r="O4006" s="247"/>
      <c r="P4006"/>
      <c r="Q4006" s="224"/>
      <c r="S4006" s="202"/>
      <c r="T4006"/>
    </row>
    <row r="4007" spans="15:20">
      <c r="O4007" s="247"/>
      <c r="P4007"/>
      <c r="Q4007" s="224"/>
      <c r="S4007" s="202"/>
      <c r="T4007"/>
    </row>
    <row r="4008" spans="15:20">
      <c r="O4008" s="247"/>
      <c r="P4008"/>
      <c r="Q4008" s="224"/>
      <c r="S4008" s="202"/>
      <c r="T4008"/>
    </row>
    <row r="4009" spans="15:20">
      <c r="O4009" s="247"/>
      <c r="P4009"/>
      <c r="Q4009" s="224"/>
      <c r="S4009" s="202"/>
      <c r="T4009"/>
    </row>
    <row r="4010" spans="15:20">
      <c r="O4010" s="247"/>
      <c r="P4010"/>
      <c r="Q4010" s="224"/>
      <c r="S4010" s="202"/>
      <c r="T4010"/>
    </row>
    <row r="4011" spans="15:20">
      <c r="O4011" s="247"/>
      <c r="P4011"/>
      <c r="Q4011" s="224"/>
      <c r="S4011" s="202"/>
      <c r="T4011"/>
    </row>
    <row r="4012" spans="15:20">
      <c r="O4012" s="247"/>
      <c r="P4012"/>
      <c r="Q4012" s="224"/>
      <c r="S4012" s="202"/>
      <c r="T4012"/>
    </row>
    <row r="4013" spans="15:20">
      <c r="O4013" s="247"/>
      <c r="P4013"/>
      <c r="Q4013" s="224"/>
      <c r="S4013" s="202"/>
      <c r="T4013"/>
    </row>
    <row r="4014" spans="15:20">
      <c r="O4014" s="247"/>
      <c r="P4014"/>
      <c r="Q4014" s="224"/>
      <c r="S4014" s="202"/>
      <c r="T4014"/>
    </row>
    <row r="4015" spans="15:20">
      <c r="O4015" s="247"/>
      <c r="P4015"/>
      <c r="Q4015" s="224"/>
      <c r="S4015" s="202"/>
      <c r="T4015"/>
    </row>
    <row r="4016" spans="15:20">
      <c r="O4016" s="247"/>
      <c r="P4016"/>
      <c r="Q4016" s="224"/>
      <c r="S4016" s="202"/>
      <c r="T4016"/>
    </row>
    <row r="4017" spans="15:20">
      <c r="O4017" s="247"/>
      <c r="P4017"/>
      <c r="Q4017" s="224"/>
      <c r="S4017" s="202"/>
      <c r="T4017"/>
    </row>
    <row r="4018" spans="15:20">
      <c r="O4018" s="247"/>
      <c r="P4018"/>
      <c r="Q4018" s="224"/>
      <c r="S4018" s="202"/>
      <c r="T4018"/>
    </row>
    <row r="4019" spans="15:20">
      <c r="O4019" s="247"/>
      <c r="P4019"/>
      <c r="Q4019" s="224"/>
      <c r="S4019" s="202"/>
      <c r="T4019"/>
    </row>
    <row r="4020" spans="15:20">
      <c r="O4020" s="247"/>
      <c r="P4020"/>
      <c r="Q4020" s="224"/>
      <c r="S4020" s="202"/>
      <c r="T4020"/>
    </row>
    <row r="4021" spans="15:20">
      <c r="O4021" s="247"/>
      <c r="P4021"/>
      <c r="Q4021" s="224"/>
      <c r="S4021" s="202"/>
      <c r="T4021"/>
    </row>
    <row r="4022" spans="15:20">
      <c r="O4022" s="247"/>
      <c r="P4022"/>
      <c r="Q4022" s="224"/>
      <c r="S4022" s="202"/>
      <c r="T4022"/>
    </row>
    <row r="4023" spans="15:20">
      <c r="O4023" s="247"/>
      <c r="P4023"/>
      <c r="Q4023" s="224"/>
      <c r="S4023" s="202"/>
      <c r="T4023"/>
    </row>
    <row r="4024" spans="15:20">
      <c r="O4024" s="247"/>
      <c r="P4024"/>
      <c r="Q4024" s="224"/>
      <c r="S4024" s="202"/>
      <c r="T4024"/>
    </row>
    <row r="4025" spans="15:20">
      <c r="O4025" s="247"/>
      <c r="P4025"/>
      <c r="Q4025" s="224"/>
      <c r="S4025" s="202"/>
      <c r="T4025"/>
    </row>
    <row r="4026" spans="15:20">
      <c r="O4026" s="247"/>
      <c r="P4026"/>
      <c r="Q4026" s="224"/>
      <c r="S4026" s="202"/>
      <c r="T4026"/>
    </row>
    <row r="4027" spans="15:20">
      <c r="O4027" s="247"/>
      <c r="P4027"/>
      <c r="Q4027" s="224"/>
      <c r="S4027" s="202"/>
      <c r="T4027"/>
    </row>
    <row r="4028" spans="15:20">
      <c r="O4028" s="247"/>
      <c r="P4028"/>
      <c r="Q4028" s="224"/>
      <c r="S4028" s="202"/>
      <c r="T4028"/>
    </row>
    <row r="4029" spans="15:20">
      <c r="O4029" s="247"/>
      <c r="P4029"/>
      <c r="Q4029" s="224"/>
      <c r="S4029" s="202"/>
      <c r="T4029"/>
    </row>
    <row r="4030" spans="15:20">
      <c r="O4030" s="247"/>
      <c r="P4030"/>
      <c r="Q4030" s="224"/>
      <c r="S4030" s="202"/>
      <c r="T4030"/>
    </row>
    <row r="4031" spans="15:20">
      <c r="O4031" s="247"/>
      <c r="P4031"/>
      <c r="Q4031" s="224"/>
      <c r="S4031" s="202"/>
      <c r="T4031"/>
    </row>
    <row r="4032" spans="15:20">
      <c r="O4032" s="247"/>
      <c r="P4032"/>
      <c r="Q4032" s="224"/>
      <c r="S4032" s="202"/>
      <c r="T4032"/>
    </row>
    <row r="4033" spans="15:20">
      <c r="O4033" s="247"/>
      <c r="P4033"/>
      <c r="Q4033" s="224"/>
      <c r="S4033" s="202"/>
      <c r="T4033"/>
    </row>
    <row r="4034" spans="15:20">
      <c r="O4034" s="247"/>
      <c r="P4034"/>
      <c r="Q4034" s="224"/>
      <c r="S4034" s="202"/>
      <c r="T4034"/>
    </row>
    <row r="4035" spans="15:20">
      <c r="O4035" s="247"/>
      <c r="P4035"/>
      <c r="Q4035" s="224"/>
      <c r="S4035" s="202"/>
      <c r="T4035"/>
    </row>
    <row r="4036" spans="15:20">
      <c r="O4036" s="247"/>
      <c r="P4036"/>
      <c r="Q4036" s="224"/>
      <c r="S4036" s="202"/>
      <c r="T4036"/>
    </row>
    <row r="4037" spans="15:20">
      <c r="O4037" s="247"/>
      <c r="P4037"/>
      <c r="Q4037" s="224"/>
      <c r="S4037" s="202"/>
      <c r="T4037"/>
    </row>
    <row r="4038" spans="15:20">
      <c r="O4038" s="247"/>
      <c r="P4038"/>
      <c r="Q4038" s="224"/>
      <c r="S4038" s="202"/>
      <c r="T4038"/>
    </row>
    <row r="4039" spans="15:20">
      <c r="O4039" s="247"/>
      <c r="P4039"/>
      <c r="Q4039" s="224"/>
      <c r="S4039" s="202"/>
      <c r="T4039"/>
    </row>
    <row r="4040" spans="15:20">
      <c r="O4040" s="247"/>
      <c r="P4040"/>
      <c r="Q4040" s="224"/>
      <c r="S4040" s="202"/>
      <c r="T4040"/>
    </row>
    <row r="4041" spans="15:20">
      <c r="O4041" s="247"/>
      <c r="P4041"/>
      <c r="Q4041" s="224"/>
      <c r="S4041" s="202"/>
      <c r="T4041"/>
    </row>
    <row r="4042" spans="15:20">
      <c r="O4042" s="247"/>
      <c r="P4042"/>
      <c r="Q4042" s="224"/>
      <c r="S4042" s="202"/>
      <c r="T4042"/>
    </row>
    <row r="4043" spans="15:20">
      <c r="O4043" s="247"/>
      <c r="P4043"/>
      <c r="Q4043" s="224"/>
      <c r="S4043" s="202"/>
      <c r="T4043"/>
    </row>
    <row r="4044" spans="15:20">
      <c r="O4044" s="247"/>
      <c r="P4044"/>
      <c r="Q4044" s="224"/>
      <c r="S4044" s="202"/>
      <c r="T4044"/>
    </row>
    <row r="4045" spans="15:20">
      <c r="O4045" s="247"/>
      <c r="P4045"/>
      <c r="Q4045" s="224"/>
      <c r="S4045" s="202"/>
      <c r="T4045"/>
    </row>
    <row r="4046" spans="15:20">
      <c r="O4046" s="247"/>
      <c r="P4046"/>
      <c r="Q4046" s="224"/>
      <c r="S4046" s="202"/>
      <c r="T4046"/>
    </row>
    <row r="4047" spans="15:20">
      <c r="O4047" s="247"/>
      <c r="P4047"/>
      <c r="Q4047" s="224"/>
      <c r="S4047" s="202"/>
      <c r="T4047"/>
    </row>
    <row r="4048" spans="15:20">
      <c r="O4048" s="247"/>
      <c r="P4048"/>
      <c r="Q4048" s="224"/>
      <c r="S4048" s="202"/>
      <c r="T4048"/>
    </row>
    <row r="4049" spans="15:20">
      <c r="O4049" s="247"/>
      <c r="P4049"/>
      <c r="Q4049" s="224"/>
      <c r="S4049" s="202"/>
      <c r="T4049"/>
    </row>
    <row r="4050" spans="15:20">
      <c r="O4050" s="247"/>
      <c r="P4050"/>
      <c r="Q4050" s="224"/>
      <c r="S4050" s="202"/>
      <c r="T4050"/>
    </row>
    <row r="4051" spans="15:20">
      <c r="O4051" s="247"/>
      <c r="P4051"/>
      <c r="Q4051" s="224"/>
      <c r="S4051" s="202"/>
      <c r="T4051"/>
    </row>
    <row r="4052" spans="15:20">
      <c r="O4052" s="247"/>
      <c r="P4052"/>
      <c r="Q4052" s="224"/>
      <c r="S4052" s="202"/>
      <c r="T4052"/>
    </row>
    <row r="4053" spans="15:20">
      <c r="O4053" s="247"/>
      <c r="P4053"/>
      <c r="Q4053" s="224"/>
      <c r="S4053" s="202"/>
      <c r="T4053"/>
    </row>
    <row r="4054" spans="15:20">
      <c r="O4054" s="247"/>
      <c r="P4054"/>
      <c r="Q4054" s="224"/>
      <c r="S4054" s="202"/>
      <c r="T4054"/>
    </row>
    <row r="4055" spans="15:20">
      <c r="O4055" s="247"/>
      <c r="P4055"/>
      <c r="Q4055" s="224"/>
      <c r="S4055" s="202"/>
      <c r="T4055"/>
    </row>
    <row r="4056" spans="15:20">
      <c r="O4056" s="247"/>
      <c r="P4056"/>
      <c r="Q4056" s="224"/>
      <c r="S4056" s="202"/>
      <c r="T4056"/>
    </row>
    <row r="4057" spans="15:20">
      <c r="O4057" s="247"/>
      <c r="P4057"/>
      <c r="Q4057" s="224"/>
      <c r="S4057" s="202"/>
      <c r="T4057"/>
    </row>
    <row r="4058" spans="15:20">
      <c r="O4058" s="247"/>
      <c r="P4058"/>
      <c r="Q4058" s="224"/>
      <c r="S4058" s="202"/>
      <c r="T4058"/>
    </row>
    <row r="4059" spans="15:20">
      <c r="O4059" s="247"/>
      <c r="P4059"/>
      <c r="Q4059" s="224"/>
      <c r="S4059" s="202"/>
      <c r="T4059"/>
    </row>
    <row r="4060" spans="15:20">
      <c r="O4060" s="247"/>
      <c r="P4060"/>
      <c r="Q4060" s="224"/>
      <c r="S4060" s="202"/>
      <c r="T4060"/>
    </row>
    <row r="4061" spans="15:20">
      <c r="O4061" s="247"/>
      <c r="P4061"/>
      <c r="Q4061" s="224"/>
      <c r="S4061" s="202"/>
      <c r="T4061"/>
    </row>
    <row r="4062" spans="15:20">
      <c r="O4062" s="247"/>
      <c r="P4062"/>
      <c r="Q4062" s="224"/>
      <c r="S4062" s="202"/>
      <c r="T4062"/>
    </row>
    <row r="4063" spans="15:20">
      <c r="O4063" s="247"/>
      <c r="P4063"/>
      <c r="Q4063" s="224"/>
      <c r="S4063" s="202"/>
      <c r="T4063"/>
    </row>
    <row r="4064" spans="15:20">
      <c r="O4064" s="247"/>
      <c r="P4064"/>
      <c r="Q4064" s="224"/>
      <c r="S4064" s="202"/>
      <c r="T4064"/>
    </row>
    <row r="4065" spans="15:20">
      <c r="O4065" s="247"/>
      <c r="P4065"/>
      <c r="Q4065" s="224"/>
      <c r="S4065" s="202"/>
      <c r="T4065"/>
    </row>
    <row r="4066" spans="15:20">
      <c r="O4066" s="247"/>
      <c r="P4066"/>
      <c r="Q4066" s="224"/>
      <c r="S4066" s="202"/>
      <c r="T4066"/>
    </row>
    <row r="4067" spans="15:20">
      <c r="O4067" s="247"/>
      <c r="P4067"/>
      <c r="Q4067" s="224"/>
      <c r="S4067" s="202"/>
      <c r="T4067"/>
    </row>
    <row r="4068" spans="15:20">
      <c r="O4068" s="247"/>
      <c r="P4068"/>
      <c r="Q4068" s="224"/>
      <c r="S4068" s="202"/>
      <c r="T4068"/>
    </row>
    <row r="4069" spans="15:20">
      <c r="O4069" s="247"/>
      <c r="P4069"/>
      <c r="Q4069" s="224"/>
      <c r="S4069" s="202"/>
      <c r="T4069"/>
    </row>
    <row r="4070" spans="15:20">
      <c r="O4070" s="247"/>
      <c r="P4070"/>
      <c r="Q4070" s="224"/>
      <c r="S4070" s="202"/>
      <c r="T4070"/>
    </row>
    <row r="4071" spans="15:20">
      <c r="O4071" s="247"/>
      <c r="P4071"/>
      <c r="Q4071" s="224"/>
      <c r="S4071" s="202"/>
      <c r="T4071"/>
    </row>
    <row r="4072" spans="15:20">
      <c r="O4072" s="247"/>
      <c r="P4072"/>
      <c r="Q4072" s="224"/>
      <c r="S4072" s="202"/>
      <c r="T4072"/>
    </row>
    <row r="4073" spans="15:20">
      <c r="O4073" s="247"/>
      <c r="P4073"/>
      <c r="Q4073" s="224"/>
      <c r="S4073" s="202"/>
      <c r="T4073"/>
    </row>
    <row r="4074" spans="15:20">
      <c r="O4074" s="247"/>
      <c r="P4074"/>
      <c r="Q4074" s="224"/>
      <c r="S4074" s="202"/>
      <c r="T4074"/>
    </row>
    <row r="4075" spans="15:20">
      <c r="O4075" s="247"/>
      <c r="P4075"/>
      <c r="Q4075" s="224"/>
      <c r="S4075" s="202"/>
      <c r="T4075"/>
    </row>
    <row r="4076" spans="15:20">
      <c r="O4076" s="247"/>
      <c r="P4076"/>
      <c r="Q4076" s="224"/>
      <c r="S4076" s="202"/>
      <c r="T4076"/>
    </row>
    <row r="4077" spans="15:20">
      <c r="O4077" s="247"/>
      <c r="P4077"/>
      <c r="Q4077" s="224"/>
      <c r="S4077" s="202"/>
      <c r="T4077"/>
    </row>
    <row r="4078" spans="15:20">
      <c r="O4078" s="247"/>
      <c r="P4078"/>
      <c r="Q4078" s="224"/>
      <c r="S4078" s="202"/>
      <c r="T4078"/>
    </row>
    <row r="4079" spans="15:20">
      <c r="O4079" s="247"/>
      <c r="P4079"/>
      <c r="Q4079" s="224"/>
      <c r="S4079" s="202"/>
      <c r="T4079"/>
    </row>
    <row r="4080" spans="15:20">
      <c r="O4080" s="247"/>
      <c r="P4080"/>
      <c r="Q4080" s="224"/>
      <c r="S4080" s="202"/>
      <c r="T4080"/>
    </row>
    <row r="4081" spans="15:20">
      <c r="O4081" s="247"/>
      <c r="P4081"/>
      <c r="Q4081" s="224"/>
      <c r="S4081" s="202"/>
      <c r="T4081"/>
    </row>
    <row r="4082" spans="15:20">
      <c r="O4082" s="247"/>
      <c r="P4082"/>
      <c r="Q4082" s="224"/>
      <c r="S4082" s="202"/>
      <c r="T4082"/>
    </row>
    <row r="4083" spans="15:20">
      <c r="O4083" s="247"/>
      <c r="P4083"/>
      <c r="Q4083" s="224"/>
      <c r="S4083" s="202"/>
      <c r="T4083"/>
    </row>
    <row r="4084" spans="15:20">
      <c r="O4084" s="247"/>
      <c r="P4084"/>
      <c r="Q4084" s="224"/>
      <c r="S4084" s="202"/>
      <c r="T4084"/>
    </row>
    <row r="4085" spans="15:20">
      <c r="O4085" s="247"/>
      <c r="P4085"/>
      <c r="Q4085" s="224"/>
      <c r="S4085" s="202"/>
      <c r="T4085"/>
    </row>
    <row r="4086" spans="15:20">
      <c r="O4086" s="247"/>
      <c r="P4086"/>
      <c r="Q4086" s="224"/>
      <c r="S4086" s="202"/>
      <c r="T4086"/>
    </row>
    <row r="4087" spans="15:20">
      <c r="O4087" s="247"/>
      <c r="P4087"/>
      <c r="Q4087" s="224"/>
      <c r="S4087" s="202"/>
      <c r="T4087"/>
    </row>
    <row r="4088" spans="15:20">
      <c r="O4088" s="247"/>
      <c r="P4088"/>
      <c r="Q4088" s="224"/>
      <c r="S4088" s="202"/>
      <c r="T4088"/>
    </row>
    <row r="4089" spans="15:20">
      <c r="O4089" s="247"/>
      <c r="P4089"/>
      <c r="Q4089" s="224"/>
      <c r="S4089" s="202"/>
      <c r="T4089"/>
    </row>
    <row r="4090" spans="15:20">
      <c r="O4090" s="247"/>
      <c r="P4090"/>
      <c r="Q4090" s="224"/>
      <c r="S4090" s="202"/>
      <c r="T4090"/>
    </row>
    <row r="4091" spans="15:20">
      <c r="O4091" s="247"/>
      <c r="P4091"/>
      <c r="Q4091" s="224"/>
      <c r="S4091" s="202"/>
      <c r="T4091"/>
    </row>
    <row r="4092" spans="15:20">
      <c r="O4092" s="247"/>
      <c r="P4092"/>
      <c r="Q4092" s="224"/>
      <c r="S4092" s="202"/>
      <c r="T4092"/>
    </row>
    <row r="4093" spans="15:20">
      <c r="O4093" s="247"/>
      <c r="P4093"/>
      <c r="Q4093" s="224"/>
      <c r="S4093" s="202"/>
      <c r="T4093"/>
    </row>
    <row r="4094" spans="15:20">
      <c r="O4094" s="247"/>
      <c r="P4094"/>
      <c r="Q4094" s="224"/>
      <c r="S4094" s="202"/>
      <c r="T4094"/>
    </row>
    <row r="4095" spans="15:20">
      <c r="O4095" s="247"/>
      <c r="P4095"/>
      <c r="Q4095" s="224"/>
      <c r="S4095" s="202"/>
      <c r="T4095"/>
    </row>
    <row r="4096" spans="15:20">
      <c r="O4096" s="247"/>
      <c r="P4096"/>
      <c r="Q4096" s="224"/>
      <c r="S4096" s="202"/>
      <c r="T4096"/>
    </row>
    <row r="4097" spans="15:20">
      <c r="O4097" s="247"/>
      <c r="P4097"/>
      <c r="Q4097" s="224"/>
      <c r="S4097" s="202"/>
      <c r="T4097"/>
    </row>
    <row r="4098" spans="15:20">
      <c r="O4098" s="247"/>
      <c r="P4098"/>
      <c r="Q4098" s="224"/>
      <c r="S4098" s="202"/>
      <c r="T4098"/>
    </row>
    <row r="4099" spans="15:20">
      <c r="O4099" s="247"/>
      <c r="P4099"/>
      <c r="Q4099" s="224"/>
      <c r="S4099" s="202"/>
      <c r="T4099"/>
    </row>
    <row r="4100" spans="15:20">
      <c r="O4100" s="247"/>
      <c r="P4100"/>
      <c r="Q4100" s="224"/>
      <c r="S4100" s="202"/>
      <c r="T4100"/>
    </row>
    <row r="4101" spans="15:20">
      <c r="O4101" s="247"/>
      <c r="P4101"/>
      <c r="Q4101" s="224"/>
      <c r="S4101" s="202"/>
      <c r="T4101"/>
    </row>
    <row r="4102" spans="15:20">
      <c r="O4102" s="247"/>
      <c r="P4102"/>
      <c r="Q4102" s="224"/>
      <c r="S4102" s="202"/>
      <c r="T4102"/>
    </row>
    <row r="4103" spans="15:20">
      <c r="O4103" s="247"/>
      <c r="P4103"/>
      <c r="Q4103" s="224"/>
      <c r="S4103" s="202"/>
      <c r="T4103"/>
    </row>
    <row r="4104" spans="15:20">
      <c r="O4104" s="247"/>
      <c r="P4104"/>
      <c r="Q4104" s="224"/>
      <c r="S4104" s="202"/>
      <c r="T4104"/>
    </row>
    <row r="4105" spans="15:20">
      <c r="O4105" s="247"/>
      <c r="P4105"/>
      <c r="Q4105" s="224"/>
      <c r="S4105" s="202"/>
      <c r="T4105"/>
    </row>
    <row r="4106" spans="15:20">
      <c r="O4106" s="247"/>
      <c r="P4106"/>
      <c r="Q4106" s="224"/>
      <c r="S4106" s="202"/>
      <c r="T4106"/>
    </row>
    <row r="4107" spans="15:20">
      <c r="O4107" s="247"/>
      <c r="P4107"/>
      <c r="Q4107" s="224"/>
      <c r="S4107" s="202"/>
      <c r="T4107"/>
    </row>
    <row r="4108" spans="15:20">
      <c r="O4108" s="247"/>
      <c r="P4108"/>
      <c r="Q4108" s="224"/>
      <c r="S4108" s="202"/>
      <c r="T4108"/>
    </row>
    <row r="4109" spans="15:20">
      <c r="O4109" s="247"/>
      <c r="P4109"/>
      <c r="Q4109" s="224"/>
      <c r="S4109" s="202"/>
      <c r="T4109"/>
    </row>
    <row r="4110" spans="15:20">
      <c r="O4110" s="247"/>
      <c r="P4110"/>
      <c r="Q4110" s="224"/>
      <c r="S4110" s="202"/>
      <c r="T4110"/>
    </row>
    <row r="4111" spans="15:20">
      <c r="O4111" s="247"/>
      <c r="P4111"/>
      <c r="Q4111" s="224"/>
      <c r="S4111" s="202"/>
      <c r="T4111"/>
    </row>
    <row r="4112" spans="15:20">
      <c r="O4112" s="247"/>
      <c r="P4112"/>
      <c r="Q4112" s="224"/>
      <c r="S4112" s="202"/>
      <c r="T4112"/>
    </row>
    <row r="4113" spans="15:20">
      <c r="O4113" s="247"/>
      <c r="P4113"/>
      <c r="Q4113" s="224"/>
      <c r="S4113" s="202"/>
      <c r="T4113"/>
    </row>
    <row r="4114" spans="15:20">
      <c r="O4114" s="247"/>
      <c r="P4114"/>
      <c r="Q4114" s="224"/>
      <c r="S4114" s="202"/>
      <c r="T4114"/>
    </row>
    <row r="4115" spans="15:20">
      <c r="O4115" s="247"/>
      <c r="P4115"/>
      <c r="Q4115" s="224"/>
      <c r="S4115" s="202"/>
      <c r="T4115"/>
    </row>
    <row r="4116" spans="15:20">
      <c r="O4116" s="247"/>
      <c r="P4116"/>
      <c r="Q4116" s="224"/>
      <c r="S4116" s="202"/>
      <c r="T4116"/>
    </row>
    <row r="4117" spans="15:20">
      <c r="O4117" s="247"/>
      <c r="P4117"/>
      <c r="Q4117" s="224"/>
      <c r="S4117" s="202"/>
      <c r="T4117"/>
    </row>
    <row r="4118" spans="15:20">
      <c r="O4118" s="247"/>
      <c r="P4118"/>
      <c r="Q4118" s="224"/>
      <c r="S4118" s="202"/>
      <c r="T4118"/>
    </row>
    <row r="4119" spans="15:20">
      <c r="O4119" s="247"/>
      <c r="P4119"/>
      <c r="Q4119" s="224"/>
      <c r="S4119" s="202"/>
      <c r="T4119"/>
    </row>
    <row r="4120" spans="15:20">
      <c r="O4120" s="247"/>
      <c r="P4120"/>
      <c r="Q4120" s="224"/>
      <c r="S4120" s="202"/>
      <c r="T4120"/>
    </row>
    <row r="4121" spans="15:20">
      <c r="O4121" s="247"/>
      <c r="P4121"/>
      <c r="Q4121" s="224"/>
      <c r="S4121" s="202"/>
      <c r="T4121"/>
    </row>
    <row r="4122" spans="15:20">
      <c r="O4122" s="247"/>
      <c r="P4122"/>
      <c r="Q4122" s="224"/>
      <c r="S4122" s="202"/>
      <c r="T4122"/>
    </row>
    <row r="4123" spans="15:20">
      <c r="O4123" s="247"/>
      <c r="P4123"/>
      <c r="Q4123" s="224"/>
      <c r="S4123" s="202"/>
      <c r="T4123"/>
    </row>
    <row r="4124" spans="15:20">
      <c r="O4124" s="247"/>
      <c r="P4124"/>
      <c r="Q4124" s="224"/>
      <c r="S4124" s="202"/>
      <c r="T4124"/>
    </row>
    <row r="4125" spans="15:20">
      <c r="O4125" s="247"/>
      <c r="P4125"/>
      <c r="Q4125" s="224"/>
      <c r="S4125" s="202"/>
      <c r="T4125"/>
    </row>
    <row r="4126" spans="15:20">
      <c r="O4126" s="247"/>
      <c r="P4126"/>
      <c r="Q4126" s="224"/>
      <c r="S4126" s="202"/>
      <c r="T4126"/>
    </row>
    <row r="4127" spans="15:20">
      <c r="O4127" s="247"/>
      <c r="P4127"/>
      <c r="Q4127" s="224"/>
      <c r="S4127" s="202"/>
      <c r="T4127"/>
    </row>
    <row r="4128" spans="15:20">
      <c r="O4128" s="247"/>
      <c r="P4128"/>
      <c r="Q4128" s="224"/>
      <c r="S4128" s="202"/>
      <c r="T4128"/>
    </row>
    <row r="4129" spans="15:20">
      <c r="O4129" s="247"/>
      <c r="P4129"/>
      <c r="Q4129" s="224"/>
      <c r="S4129" s="202"/>
      <c r="T4129"/>
    </row>
    <row r="4130" spans="15:20">
      <c r="O4130" s="247"/>
      <c r="P4130"/>
      <c r="Q4130" s="224"/>
      <c r="S4130" s="202"/>
      <c r="T4130"/>
    </row>
    <row r="4131" spans="15:20">
      <c r="O4131" s="247"/>
      <c r="P4131"/>
      <c r="Q4131" s="224"/>
      <c r="S4131" s="202"/>
      <c r="T4131"/>
    </row>
    <row r="4132" spans="15:20">
      <c r="O4132" s="247"/>
      <c r="P4132"/>
      <c r="Q4132" s="224"/>
      <c r="S4132" s="202"/>
      <c r="T4132"/>
    </row>
    <row r="4133" spans="15:20">
      <c r="O4133" s="247"/>
      <c r="P4133"/>
      <c r="Q4133" s="224"/>
      <c r="S4133" s="202"/>
      <c r="T4133"/>
    </row>
    <row r="4134" spans="15:20">
      <c r="O4134" s="247"/>
      <c r="P4134"/>
      <c r="Q4134" s="224"/>
      <c r="S4134" s="202"/>
      <c r="T4134"/>
    </row>
    <row r="4135" spans="15:20">
      <c r="O4135" s="247"/>
      <c r="P4135"/>
      <c r="Q4135" s="224"/>
      <c r="S4135" s="202"/>
      <c r="T4135"/>
    </row>
    <row r="4136" spans="15:20">
      <c r="O4136" s="247"/>
      <c r="P4136"/>
      <c r="Q4136" s="224"/>
      <c r="S4136" s="202"/>
      <c r="T4136"/>
    </row>
    <row r="4137" spans="15:20">
      <c r="O4137" s="247"/>
      <c r="P4137"/>
      <c r="Q4137" s="224"/>
      <c r="S4137" s="202"/>
      <c r="T4137"/>
    </row>
    <row r="4138" spans="15:20">
      <c r="O4138" s="247"/>
      <c r="P4138"/>
      <c r="Q4138" s="224"/>
      <c r="S4138" s="202"/>
      <c r="T4138"/>
    </row>
    <row r="4139" spans="15:20">
      <c r="O4139" s="247"/>
      <c r="P4139"/>
      <c r="Q4139" s="224"/>
      <c r="S4139" s="202"/>
      <c r="T4139"/>
    </row>
    <row r="4140" spans="15:20">
      <c r="O4140" s="247"/>
      <c r="P4140"/>
      <c r="Q4140" s="224"/>
      <c r="S4140" s="202"/>
      <c r="T4140"/>
    </row>
    <row r="4141" spans="15:20">
      <c r="O4141" s="247"/>
      <c r="P4141"/>
      <c r="Q4141" s="224"/>
      <c r="S4141" s="202"/>
      <c r="T4141"/>
    </row>
    <row r="4142" spans="15:20">
      <c r="O4142" s="247"/>
      <c r="P4142"/>
      <c r="Q4142" s="224"/>
      <c r="S4142" s="202"/>
      <c r="T4142"/>
    </row>
    <row r="4143" spans="15:20">
      <c r="O4143" s="247"/>
      <c r="P4143"/>
      <c r="Q4143" s="224"/>
      <c r="S4143" s="202"/>
      <c r="T4143"/>
    </row>
    <row r="4144" spans="15:20">
      <c r="O4144" s="247"/>
      <c r="P4144"/>
      <c r="Q4144" s="224"/>
      <c r="S4144" s="202"/>
      <c r="T4144"/>
    </row>
    <row r="4145" spans="15:20">
      <c r="O4145" s="247"/>
      <c r="P4145"/>
      <c r="Q4145" s="224"/>
      <c r="S4145" s="202"/>
      <c r="T4145"/>
    </row>
    <row r="4146" spans="15:20">
      <c r="O4146" s="247"/>
      <c r="P4146"/>
      <c r="Q4146" s="224"/>
      <c r="S4146" s="202"/>
      <c r="T4146"/>
    </row>
    <row r="4147" spans="15:20">
      <c r="O4147" s="247"/>
      <c r="P4147"/>
      <c r="Q4147" s="224"/>
      <c r="S4147" s="202"/>
      <c r="T4147"/>
    </row>
    <row r="4148" spans="15:20">
      <c r="O4148" s="247"/>
      <c r="P4148"/>
      <c r="Q4148" s="224"/>
      <c r="S4148" s="202"/>
      <c r="T4148"/>
    </row>
    <row r="4149" spans="15:20">
      <c r="O4149" s="247"/>
      <c r="P4149"/>
      <c r="Q4149" s="224"/>
      <c r="S4149" s="202"/>
      <c r="T4149"/>
    </row>
    <row r="4150" spans="15:20">
      <c r="O4150" s="247"/>
      <c r="P4150"/>
      <c r="Q4150" s="224"/>
      <c r="S4150" s="202"/>
      <c r="T4150"/>
    </row>
    <row r="4151" spans="15:20">
      <c r="O4151" s="247"/>
      <c r="P4151"/>
      <c r="Q4151" s="224"/>
      <c r="S4151" s="202"/>
      <c r="T4151"/>
    </row>
    <row r="4152" spans="15:20">
      <c r="O4152" s="247"/>
      <c r="P4152"/>
      <c r="Q4152" s="224"/>
      <c r="S4152" s="202"/>
      <c r="T4152"/>
    </row>
    <row r="4153" spans="15:20">
      <c r="O4153" s="247"/>
      <c r="P4153"/>
      <c r="Q4153" s="224"/>
      <c r="S4153" s="202"/>
      <c r="T4153"/>
    </row>
    <row r="4154" spans="15:20">
      <c r="O4154" s="247"/>
      <c r="P4154"/>
      <c r="Q4154" s="224"/>
      <c r="S4154" s="202"/>
      <c r="T4154"/>
    </row>
    <row r="4155" spans="15:20">
      <c r="O4155" s="247"/>
      <c r="P4155"/>
      <c r="Q4155" s="224"/>
      <c r="S4155" s="202"/>
      <c r="T4155"/>
    </row>
    <row r="4156" spans="15:20">
      <c r="O4156" s="247"/>
      <c r="P4156"/>
      <c r="Q4156" s="224"/>
      <c r="S4156" s="202"/>
      <c r="T4156"/>
    </row>
    <row r="4157" spans="15:20">
      <c r="O4157" s="247"/>
      <c r="P4157"/>
      <c r="Q4157" s="224"/>
      <c r="S4157" s="202"/>
      <c r="T4157"/>
    </row>
    <row r="4158" spans="15:20">
      <c r="O4158" s="247"/>
      <c r="P4158"/>
      <c r="Q4158" s="224"/>
      <c r="S4158" s="202"/>
      <c r="T4158"/>
    </row>
    <row r="4159" spans="15:20">
      <c r="O4159" s="247"/>
      <c r="P4159"/>
      <c r="Q4159" s="224"/>
      <c r="S4159" s="202"/>
      <c r="T4159"/>
    </row>
    <row r="4160" spans="15:20">
      <c r="O4160" s="247"/>
      <c r="P4160"/>
      <c r="Q4160" s="224"/>
      <c r="S4160" s="202"/>
      <c r="T4160"/>
    </row>
    <row r="4161" spans="15:20">
      <c r="O4161" s="247"/>
      <c r="P4161"/>
      <c r="Q4161" s="224"/>
      <c r="S4161" s="202"/>
      <c r="T4161"/>
    </row>
    <row r="4162" spans="15:20">
      <c r="O4162" s="247"/>
      <c r="P4162"/>
      <c r="Q4162" s="224"/>
      <c r="S4162" s="202"/>
      <c r="T4162"/>
    </row>
    <row r="4163" spans="15:20">
      <c r="O4163" s="247"/>
      <c r="P4163"/>
      <c r="Q4163" s="224"/>
      <c r="S4163" s="202"/>
      <c r="T4163"/>
    </row>
    <row r="4164" spans="15:20">
      <c r="O4164" s="247"/>
      <c r="P4164"/>
      <c r="Q4164" s="224"/>
      <c r="S4164" s="202"/>
      <c r="T4164"/>
    </row>
    <row r="4165" spans="15:20">
      <c r="O4165" s="247"/>
      <c r="P4165"/>
      <c r="Q4165" s="224"/>
      <c r="S4165" s="202"/>
      <c r="T4165"/>
    </row>
    <row r="4166" spans="15:20">
      <c r="O4166" s="247"/>
      <c r="P4166"/>
      <c r="Q4166" s="224"/>
      <c r="S4166" s="202"/>
      <c r="T4166"/>
    </row>
    <row r="4167" spans="15:20">
      <c r="O4167" s="247"/>
      <c r="P4167"/>
      <c r="Q4167" s="224"/>
      <c r="S4167" s="202"/>
      <c r="T4167"/>
    </row>
    <row r="4168" spans="15:20">
      <c r="O4168" s="247"/>
      <c r="P4168"/>
      <c r="Q4168" s="224"/>
      <c r="S4168" s="202"/>
      <c r="T4168"/>
    </row>
    <row r="4169" spans="15:20">
      <c r="O4169" s="247"/>
      <c r="P4169"/>
      <c r="Q4169" s="224"/>
      <c r="S4169" s="202"/>
      <c r="T4169"/>
    </row>
    <row r="4170" spans="15:20">
      <c r="O4170" s="247"/>
      <c r="P4170"/>
      <c r="Q4170" s="224"/>
      <c r="S4170" s="202"/>
      <c r="T4170"/>
    </row>
    <row r="4171" spans="15:20">
      <c r="O4171" s="247"/>
      <c r="P4171"/>
      <c r="Q4171" s="224"/>
      <c r="S4171" s="202"/>
      <c r="T4171"/>
    </row>
    <row r="4172" spans="15:20">
      <c r="O4172" s="247"/>
      <c r="P4172"/>
      <c r="Q4172" s="224"/>
      <c r="S4172" s="202"/>
      <c r="T4172"/>
    </row>
    <row r="4173" spans="15:20">
      <c r="O4173" s="247"/>
      <c r="P4173"/>
      <c r="Q4173" s="224"/>
      <c r="S4173" s="202"/>
      <c r="T4173"/>
    </row>
    <row r="4174" spans="15:20">
      <c r="O4174" s="247"/>
      <c r="P4174"/>
      <c r="Q4174" s="224"/>
      <c r="S4174" s="202"/>
      <c r="T4174"/>
    </row>
    <row r="4175" spans="15:20">
      <c r="O4175" s="247"/>
      <c r="P4175"/>
      <c r="Q4175" s="224"/>
      <c r="S4175" s="202"/>
      <c r="T4175"/>
    </row>
    <row r="4176" spans="15:20">
      <c r="O4176" s="247"/>
      <c r="P4176"/>
      <c r="Q4176" s="224"/>
      <c r="S4176" s="202"/>
      <c r="T4176"/>
    </row>
    <row r="4177" spans="15:20">
      <c r="O4177" s="247"/>
      <c r="P4177"/>
      <c r="Q4177" s="224"/>
      <c r="S4177" s="202"/>
      <c r="T4177"/>
    </row>
    <row r="4178" spans="15:20">
      <c r="O4178" s="247"/>
      <c r="P4178"/>
      <c r="Q4178" s="224"/>
      <c r="S4178" s="202"/>
      <c r="T4178"/>
    </row>
    <row r="4179" spans="15:20">
      <c r="O4179" s="247"/>
      <c r="P4179"/>
      <c r="Q4179" s="224"/>
      <c r="S4179" s="202"/>
      <c r="T4179"/>
    </row>
    <row r="4180" spans="15:20">
      <c r="O4180" s="247"/>
      <c r="P4180"/>
      <c r="Q4180" s="224"/>
      <c r="S4180" s="202"/>
      <c r="T4180"/>
    </row>
    <row r="4181" spans="15:20">
      <c r="O4181" s="247"/>
      <c r="P4181"/>
      <c r="Q4181" s="224"/>
      <c r="S4181" s="202"/>
      <c r="T4181"/>
    </row>
    <row r="4182" spans="15:20">
      <c r="O4182" s="247"/>
      <c r="P4182"/>
      <c r="Q4182" s="224"/>
      <c r="S4182" s="202"/>
      <c r="T4182"/>
    </row>
    <row r="4183" spans="15:20">
      <c r="O4183" s="247"/>
      <c r="P4183"/>
      <c r="Q4183" s="224"/>
      <c r="S4183" s="202"/>
      <c r="T4183"/>
    </row>
    <row r="4184" spans="15:20">
      <c r="O4184" s="247"/>
      <c r="P4184"/>
      <c r="Q4184" s="224"/>
      <c r="S4184" s="202"/>
      <c r="T4184"/>
    </row>
    <row r="4185" spans="15:20">
      <c r="O4185" s="247"/>
      <c r="P4185"/>
      <c r="Q4185" s="224"/>
      <c r="S4185" s="202"/>
      <c r="T4185"/>
    </row>
    <row r="4186" spans="15:20">
      <c r="O4186" s="247"/>
      <c r="P4186"/>
      <c r="Q4186" s="224"/>
      <c r="S4186" s="202"/>
      <c r="T4186"/>
    </row>
    <row r="4187" spans="15:20">
      <c r="O4187" s="247"/>
      <c r="P4187"/>
      <c r="Q4187" s="224"/>
      <c r="S4187" s="202"/>
      <c r="T4187"/>
    </row>
    <row r="4188" spans="15:20">
      <c r="O4188" s="247"/>
      <c r="P4188"/>
      <c r="Q4188" s="224"/>
      <c r="S4188" s="202"/>
      <c r="T4188"/>
    </row>
    <row r="4189" spans="15:20">
      <c r="O4189" s="247"/>
      <c r="P4189"/>
      <c r="Q4189" s="224"/>
      <c r="S4189" s="202"/>
      <c r="T4189"/>
    </row>
    <row r="4190" spans="15:20">
      <c r="O4190" s="247"/>
      <c r="P4190"/>
      <c r="Q4190" s="224"/>
      <c r="S4190" s="202"/>
      <c r="T4190"/>
    </row>
    <row r="4191" spans="15:20">
      <c r="O4191" s="247"/>
      <c r="P4191"/>
      <c r="Q4191" s="224"/>
      <c r="S4191" s="202"/>
      <c r="T4191"/>
    </row>
    <row r="4192" spans="15:20">
      <c r="O4192" s="247"/>
      <c r="P4192"/>
      <c r="Q4192" s="224"/>
      <c r="S4192" s="202"/>
      <c r="T4192"/>
    </row>
    <row r="4193" spans="15:20">
      <c r="O4193" s="247"/>
      <c r="P4193"/>
      <c r="Q4193" s="224"/>
      <c r="S4193" s="202"/>
      <c r="T4193"/>
    </row>
    <row r="4194" spans="15:20">
      <c r="O4194" s="247"/>
      <c r="P4194"/>
      <c r="Q4194" s="224"/>
      <c r="S4194" s="202"/>
      <c r="T4194"/>
    </row>
    <row r="4195" spans="15:20">
      <c r="O4195" s="247"/>
      <c r="P4195"/>
      <c r="Q4195" s="224"/>
      <c r="S4195" s="202"/>
      <c r="T4195"/>
    </row>
    <row r="4196" spans="15:20">
      <c r="O4196" s="247"/>
      <c r="P4196"/>
      <c r="Q4196" s="224"/>
      <c r="S4196" s="202"/>
      <c r="T4196"/>
    </row>
    <row r="4197" spans="15:20">
      <c r="O4197" s="247"/>
      <c r="P4197"/>
      <c r="Q4197" s="224"/>
      <c r="S4197" s="202"/>
      <c r="T4197"/>
    </row>
    <row r="4198" spans="15:20">
      <c r="O4198" s="247"/>
      <c r="P4198"/>
      <c r="Q4198" s="224"/>
      <c r="S4198" s="202"/>
      <c r="T4198"/>
    </row>
    <row r="4199" spans="15:20">
      <c r="O4199" s="247"/>
      <c r="P4199"/>
      <c r="Q4199" s="224"/>
      <c r="S4199" s="202"/>
      <c r="T4199"/>
    </row>
    <row r="4200" spans="15:20">
      <c r="O4200" s="247"/>
      <c r="P4200"/>
      <c r="Q4200" s="224"/>
      <c r="S4200" s="202"/>
      <c r="T4200"/>
    </row>
    <row r="4201" spans="15:20">
      <c r="O4201" s="247"/>
      <c r="P4201"/>
      <c r="Q4201" s="224"/>
      <c r="S4201" s="202"/>
      <c r="T4201"/>
    </row>
    <row r="4202" spans="15:20">
      <c r="O4202" s="247"/>
      <c r="P4202"/>
      <c r="Q4202" s="224"/>
      <c r="S4202" s="202"/>
      <c r="T4202"/>
    </row>
    <row r="4203" spans="15:20">
      <c r="O4203" s="247"/>
      <c r="P4203"/>
      <c r="Q4203" s="224"/>
      <c r="S4203" s="202"/>
      <c r="T4203"/>
    </row>
    <row r="4204" spans="15:20">
      <c r="O4204" s="247"/>
      <c r="P4204"/>
      <c r="Q4204" s="224"/>
      <c r="S4204" s="202"/>
      <c r="T4204"/>
    </row>
    <row r="4205" spans="15:20">
      <c r="O4205" s="247"/>
      <c r="P4205"/>
      <c r="Q4205" s="224"/>
      <c r="S4205" s="202"/>
      <c r="T4205"/>
    </row>
    <row r="4206" spans="15:20">
      <c r="O4206" s="247"/>
      <c r="P4206"/>
      <c r="Q4206" s="224"/>
      <c r="S4206" s="202"/>
      <c r="T4206"/>
    </row>
    <row r="4207" spans="15:20">
      <c r="O4207" s="247"/>
      <c r="P4207"/>
      <c r="Q4207" s="224"/>
      <c r="S4207" s="202"/>
      <c r="T4207"/>
    </row>
    <row r="4208" spans="15:20">
      <c r="O4208" s="247"/>
      <c r="P4208"/>
      <c r="Q4208" s="224"/>
      <c r="S4208" s="202"/>
      <c r="T4208"/>
    </row>
    <row r="4209" spans="15:20">
      <c r="O4209" s="247"/>
      <c r="P4209"/>
      <c r="Q4209" s="224"/>
      <c r="S4209" s="202"/>
      <c r="T4209"/>
    </row>
    <row r="4210" spans="15:20">
      <c r="O4210" s="247"/>
      <c r="P4210"/>
      <c r="Q4210" s="224"/>
      <c r="S4210" s="202"/>
      <c r="T4210"/>
    </row>
    <row r="4211" spans="15:20">
      <c r="O4211" s="247"/>
      <c r="P4211"/>
      <c r="Q4211" s="224"/>
      <c r="S4211" s="202"/>
      <c r="T4211"/>
    </row>
    <row r="4212" spans="15:20">
      <c r="O4212" s="247"/>
      <c r="P4212"/>
      <c r="Q4212" s="224"/>
      <c r="S4212" s="202"/>
      <c r="T4212"/>
    </row>
    <row r="4213" spans="15:20">
      <c r="O4213" s="247"/>
      <c r="P4213"/>
      <c r="Q4213" s="224"/>
      <c r="S4213" s="202"/>
      <c r="T4213"/>
    </row>
    <row r="4214" spans="15:20">
      <c r="O4214" s="247"/>
      <c r="P4214"/>
      <c r="Q4214" s="224"/>
      <c r="S4214" s="202"/>
      <c r="T4214"/>
    </row>
    <row r="4215" spans="15:20">
      <c r="O4215" s="247"/>
      <c r="P4215"/>
      <c r="Q4215" s="224"/>
      <c r="S4215" s="202"/>
      <c r="T4215"/>
    </row>
    <row r="4216" spans="15:20">
      <c r="O4216" s="247"/>
      <c r="P4216"/>
      <c r="Q4216" s="224"/>
      <c r="S4216" s="202"/>
      <c r="T4216"/>
    </row>
    <row r="4217" spans="15:20">
      <c r="O4217" s="247"/>
      <c r="P4217"/>
      <c r="Q4217" s="224"/>
      <c r="S4217" s="202"/>
      <c r="T4217"/>
    </row>
    <row r="4218" spans="15:20">
      <c r="O4218" s="247"/>
      <c r="P4218"/>
      <c r="Q4218" s="224"/>
      <c r="S4218" s="202"/>
      <c r="T4218"/>
    </row>
    <row r="4219" spans="15:20">
      <c r="O4219" s="247"/>
      <c r="P4219"/>
      <c r="Q4219" s="224"/>
      <c r="S4219" s="202"/>
      <c r="T4219"/>
    </row>
    <row r="4220" spans="15:20">
      <c r="O4220" s="247"/>
      <c r="P4220"/>
      <c r="Q4220" s="224"/>
      <c r="S4220" s="202"/>
      <c r="T4220"/>
    </row>
    <row r="4221" spans="15:20">
      <c r="O4221" s="247"/>
      <c r="P4221"/>
      <c r="Q4221" s="224"/>
      <c r="S4221" s="202"/>
      <c r="T4221"/>
    </row>
    <row r="4222" spans="15:20">
      <c r="O4222" s="247"/>
      <c r="P4222"/>
      <c r="Q4222" s="224"/>
      <c r="S4222" s="202"/>
      <c r="T4222"/>
    </row>
    <row r="4223" spans="15:20">
      <c r="O4223" s="247"/>
      <c r="P4223"/>
      <c r="Q4223" s="224"/>
      <c r="S4223" s="202"/>
      <c r="T4223"/>
    </row>
    <row r="4224" spans="15:20">
      <c r="O4224" s="247"/>
      <c r="P4224"/>
      <c r="Q4224" s="224"/>
      <c r="S4224" s="202"/>
      <c r="T4224"/>
    </row>
    <row r="4225" spans="15:20">
      <c r="O4225" s="247"/>
      <c r="P4225"/>
      <c r="Q4225" s="224"/>
      <c r="S4225" s="202"/>
      <c r="T4225"/>
    </row>
    <row r="4226" spans="15:20">
      <c r="O4226" s="247"/>
      <c r="P4226"/>
      <c r="Q4226" s="224"/>
      <c r="S4226" s="202"/>
      <c r="T4226"/>
    </row>
    <row r="4227" spans="15:20">
      <c r="O4227" s="247"/>
      <c r="P4227"/>
      <c r="Q4227" s="224"/>
      <c r="S4227" s="202"/>
      <c r="T4227"/>
    </row>
    <row r="4228" spans="15:20">
      <c r="O4228" s="247"/>
      <c r="P4228"/>
      <c r="Q4228" s="224"/>
      <c r="S4228" s="202"/>
      <c r="T4228"/>
    </row>
    <row r="4229" spans="15:20">
      <c r="O4229" s="247"/>
      <c r="P4229"/>
      <c r="Q4229" s="224"/>
      <c r="S4229" s="202"/>
      <c r="T4229"/>
    </row>
    <row r="4230" spans="15:20">
      <c r="O4230" s="247"/>
      <c r="P4230"/>
      <c r="Q4230" s="224"/>
      <c r="S4230" s="202"/>
      <c r="T4230"/>
    </row>
    <row r="4231" spans="15:20">
      <c r="O4231" s="247"/>
      <c r="P4231"/>
      <c r="Q4231" s="224"/>
      <c r="S4231" s="202"/>
      <c r="T4231"/>
    </row>
    <row r="4232" spans="15:20">
      <c r="O4232" s="247"/>
      <c r="P4232"/>
      <c r="Q4232" s="224"/>
      <c r="S4232" s="202"/>
      <c r="T4232"/>
    </row>
    <row r="4233" spans="15:20">
      <c r="O4233" s="247"/>
      <c r="P4233"/>
      <c r="Q4233" s="224"/>
      <c r="S4233" s="202"/>
      <c r="T4233"/>
    </row>
    <row r="4234" spans="15:20">
      <c r="O4234" s="247"/>
      <c r="P4234"/>
      <c r="Q4234" s="224"/>
      <c r="S4234" s="202"/>
      <c r="T4234"/>
    </row>
    <row r="4235" spans="15:20">
      <c r="O4235" s="247"/>
      <c r="P4235"/>
      <c r="Q4235" s="224"/>
      <c r="S4235" s="202"/>
      <c r="T4235"/>
    </row>
    <row r="4236" spans="15:20">
      <c r="O4236" s="247"/>
      <c r="P4236"/>
      <c r="Q4236" s="224"/>
      <c r="S4236" s="202"/>
      <c r="T4236"/>
    </row>
    <row r="4237" spans="15:20">
      <c r="O4237" s="247"/>
      <c r="P4237"/>
      <c r="Q4237" s="224"/>
      <c r="S4237" s="202"/>
      <c r="T4237"/>
    </row>
    <row r="4238" spans="15:20">
      <c r="O4238" s="247"/>
      <c r="P4238"/>
      <c r="Q4238" s="224"/>
      <c r="S4238" s="202"/>
      <c r="T4238"/>
    </row>
    <row r="4239" spans="15:20">
      <c r="O4239" s="247"/>
      <c r="P4239"/>
      <c r="Q4239" s="224"/>
      <c r="S4239" s="202"/>
      <c r="T4239"/>
    </row>
    <row r="4240" spans="15:20">
      <c r="O4240" s="247"/>
      <c r="P4240"/>
      <c r="Q4240" s="224"/>
      <c r="S4240" s="202"/>
      <c r="T4240"/>
    </row>
    <row r="4241" spans="15:20">
      <c r="O4241" s="247"/>
      <c r="P4241"/>
      <c r="Q4241" s="224"/>
      <c r="S4241" s="202"/>
      <c r="T4241"/>
    </row>
    <row r="4242" spans="15:20">
      <c r="O4242" s="247"/>
      <c r="P4242"/>
      <c r="Q4242" s="224"/>
      <c r="S4242" s="202"/>
      <c r="T4242"/>
    </row>
    <row r="4243" spans="15:20">
      <c r="O4243" s="247"/>
      <c r="P4243"/>
      <c r="Q4243" s="224"/>
      <c r="S4243" s="202"/>
      <c r="T4243"/>
    </row>
    <row r="4244" spans="15:20">
      <c r="O4244" s="247"/>
      <c r="P4244"/>
      <c r="Q4244" s="224"/>
      <c r="S4244" s="202"/>
      <c r="T4244"/>
    </row>
    <row r="4245" spans="15:20">
      <c r="O4245" s="247"/>
      <c r="P4245"/>
      <c r="Q4245" s="224"/>
      <c r="S4245" s="202"/>
      <c r="T4245"/>
    </row>
    <row r="4246" spans="15:20">
      <c r="O4246" s="247"/>
      <c r="P4246"/>
      <c r="Q4246" s="224"/>
      <c r="S4246" s="202"/>
      <c r="T4246"/>
    </row>
    <row r="4247" spans="15:20">
      <c r="O4247" s="247"/>
      <c r="P4247"/>
      <c r="Q4247" s="224"/>
      <c r="S4247" s="202"/>
      <c r="T4247"/>
    </row>
    <row r="4248" spans="15:20">
      <c r="O4248" s="247"/>
      <c r="P4248"/>
      <c r="Q4248" s="224"/>
      <c r="S4248" s="202"/>
      <c r="T4248"/>
    </row>
    <row r="4249" spans="15:20">
      <c r="O4249" s="247"/>
      <c r="P4249"/>
      <c r="Q4249" s="224"/>
      <c r="S4249" s="202"/>
      <c r="T4249"/>
    </row>
    <row r="4250" spans="15:20">
      <c r="O4250" s="247"/>
      <c r="P4250"/>
      <c r="Q4250" s="224"/>
      <c r="S4250" s="202"/>
      <c r="T4250"/>
    </row>
    <row r="4251" spans="15:20">
      <c r="O4251" s="247"/>
      <c r="P4251"/>
      <c r="Q4251" s="224"/>
      <c r="S4251" s="202"/>
      <c r="T4251"/>
    </row>
    <row r="4252" spans="15:20">
      <c r="O4252" s="247"/>
      <c r="P4252"/>
      <c r="Q4252" s="224"/>
      <c r="S4252" s="202"/>
      <c r="T4252"/>
    </row>
    <row r="4253" spans="15:20">
      <c r="O4253" s="247"/>
      <c r="P4253"/>
      <c r="Q4253" s="224"/>
      <c r="S4253" s="202"/>
      <c r="T4253"/>
    </row>
    <row r="4254" spans="15:20">
      <c r="O4254" s="247"/>
      <c r="P4254"/>
      <c r="Q4254" s="224"/>
      <c r="S4254" s="202"/>
      <c r="T4254"/>
    </row>
    <row r="4255" spans="15:20">
      <c r="O4255" s="247"/>
      <c r="P4255"/>
      <c r="Q4255" s="224"/>
      <c r="S4255" s="202"/>
      <c r="T4255"/>
    </row>
    <row r="4256" spans="15:20">
      <c r="O4256" s="247"/>
      <c r="P4256"/>
      <c r="Q4256" s="224"/>
      <c r="S4256" s="202"/>
      <c r="T4256"/>
    </row>
    <row r="4257" spans="15:20">
      <c r="O4257" s="247"/>
      <c r="P4257"/>
      <c r="Q4257" s="224"/>
      <c r="S4257" s="202"/>
      <c r="T4257"/>
    </row>
    <row r="4258" spans="15:20">
      <c r="O4258" s="247"/>
      <c r="P4258"/>
      <c r="Q4258" s="224"/>
      <c r="S4258" s="202"/>
      <c r="T4258"/>
    </row>
    <row r="4259" spans="15:20">
      <c r="O4259" s="247"/>
      <c r="P4259"/>
      <c r="Q4259" s="224"/>
      <c r="S4259" s="202"/>
      <c r="T4259"/>
    </row>
    <row r="4260" spans="15:20">
      <c r="O4260" s="247"/>
      <c r="P4260"/>
      <c r="Q4260" s="224"/>
      <c r="S4260" s="202"/>
      <c r="T4260"/>
    </row>
    <row r="4261" spans="15:20">
      <c r="O4261" s="247"/>
      <c r="P4261"/>
      <c r="Q4261" s="224"/>
      <c r="S4261" s="202"/>
      <c r="T4261"/>
    </row>
    <row r="4262" spans="15:20">
      <c r="O4262" s="247"/>
      <c r="P4262"/>
      <c r="Q4262" s="224"/>
      <c r="S4262" s="202"/>
      <c r="T4262"/>
    </row>
    <row r="4263" spans="15:20">
      <c r="O4263" s="247"/>
      <c r="P4263"/>
      <c r="Q4263" s="224"/>
      <c r="S4263" s="202"/>
      <c r="T4263"/>
    </row>
    <row r="4264" spans="15:20">
      <c r="O4264" s="247"/>
      <c r="P4264"/>
      <c r="Q4264" s="224"/>
      <c r="S4264" s="202"/>
      <c r="T4264"/>
    </row>
    <row r="4265" spans="15:20">
      <c r="O4265" s="247"/>
      <c r="P4265"/>
      <c r="Q4265" s="224"/>
      <c r="S4265" s="202"/>
      <c r="T4265"/>
    </row>
    <row r="4266" spans="15:20">
      <c r="O4266" s="247"/>
      <c r="P4266"/>
      <c r="Q4266" s="224"/>
      <c r="S4266" s="202"/>
      <c r="T4266"/>
    </row>
    <row r="4267" spans="15:20">
      <c r="O4267" s="247"/>
      <c r="P4267"/>
      <c r="Q4267" s="224"/>
      <c r="S4267" s="202"/>
      <c r="T4267"/>
    </row>
    <row r="4268" spans="15:20">
      <c r="O4268" s="247"/>
      <c r="P4268"/>
      <c r="Q4268" s="224"/>
      <c r="S4268" s="202"/>
      <c r="T4268"/>
    </row>
    <row r="4269" spans="15:20">
      <c r="O4269" s="247"/>
      <c r="P4269"/>
      <c r="Q4269" s="224"/>
      <c r="S4269" s="202"/>
      <c r="T4269"/>
    </row>
    <row r="4270" spans="15:20">
      <c r="O4270" s="247"/>
      <c r="P4270"/>
      <c r="Q4270" s="224"/>
      <c r="S4270" s="202"/>
      <c r="T4270"/>
    </row>
    <row r="4271" spans="15:20">
      <c r="O4271" s="247"/>
      <c r="P4271"/>
      <c r="Q4271" s="224"/>
      <c r="S4271" s="202"/>
      <c r="T4271"/>
    </row>
    <row r="4272" spans="15:20">
      <c r="O4272" s="247"/>
      <c r="P4272"/>
      <c r="Q4272" s="224"/>
      <c r="S4272" s="202"/>
      <c r="T4272"/>
    </row>
    <row r="4273" spans="15:20">
      <c r="O4273" s="247"/>
      <c r="P4273"/>
      <c r="Q4273" s="224"/>
      <c r="S4273" s="202"/>
      <c r="T4273"/>
    </row>
    <row r="4274" spans="15:20">
      <c r="O4274" s="247"/>
      <c r="P4274"/>
      <c r="Q4274" s="224"/>
      <c r="S4274" s="202"/>
      <c r="T4274"/>
    </row>
    <row r="4275" spans="15:20">
      <c r="O4275" s="247"/>
      <c r="P4275"/>
      <c r="Q4275" s="224"/>
      <c r="S4275" s="202"/>
      <c r="T4275"/>
    </row>
    <row r="4276" spans="15:20">
      <c r="O4276" s="247"/>
      <c r="P4276"/>
      <c r="Q4276" s="224"/>
      <c r="S4276" s="202"/>
      <c r="T4276"/>
    </row>
    <row r="4277" spans="15:20">
      <c r="O4277" s="247"/>
      <c r="P4277"/>
      <c r="Q4277" s="224"/>
      <c r="S4277" s="202"/>
      <c r="T4277"/>
    </row>
    <row r="4278" spans="15:20">
      <c r="O4278" s="247"/>
      <c r="P4278"/>
      <c r="Q4278" s="224"/>
      <c r="S4278" s="202"/>
      <c r="T4278"/>
    </row>
    <row r="4279" spans="15:20">
      <c r="O4279" s="247"/>
      <c r="P4279"/>
      <c r="Q4279" s="224"/>
      <c r="S4279" s="202"/>
      <c r="T4279"/>
    </row>
    <row r="4280" spans="15:20">
      <c r="O4280" s="247"/>
      <c r="P4280"/>
      <c r="Q4280" s="224"/>
      <c r="S4280" s="202"/>
      <c r="T4280"/>
    </row>
    <row r="4281" spans="15:20">
      <c r="O4281" s="247"/>
      <c r="P4281"/>
      <c r="Q4281" s="224"/>
      <c r="S4281" s="202"/>
      <c r="T4281"/>
    </row>
    <row r="4282" spans="15:20">
      <c r="O4282" s="247"/>
      <c r="P4282"/>
      <c r="Q4282" s="224"/>
      <c r="S4282" s="202"/>
      <c r="T4282"/>
    </row>
    <row r="4283" spans="15:20">
      <c r="O4283" s="247"/>
      <c r="P4283"/>
      <c r="Q4283" s="224"/>
      <c r="S4283" s="202"/>
      <c r="T4283"/>
    </row>
    <row r="4284" spans="15:20">
      <c r="O4284" s="247"/>
      <c r="P4284"/>
      <c r="Q4284" s="224"/>
      <c r="S4284" s="202"/>
      <c r="T4284"/>
    </row>
    <row r="4285" spans="15:20">
      <c r="O4285" s="247"/>
      <c r="P4285"/>
      <c r="Q4285" s="224"/>
      <c r="S4285" s="202"/>
      <c r="T4285"/>
    </row>
    <row r="4286" spans="15:20">
      <c r="O4286" s="247"/>
      <c r="P4286"/>
      <c r="Q4286" s="224"/>
      <c r="S4286" s="202"/>
      <c r="T4286"/>
    </row>
    <row r="4287" spans="15:20">
      <c r="O4287" s="247"/>
      <c r="P4287"/>
      <c r="Q4287" s="224"/>
      <c r="S4287" s="202"/>
      <c r="T4287"/>
    </row>
    <row r="4288" spans="15:20">
      <c r="O4288" s="247"/>
      <c r="P4288"/>
      <c r="Q4288" s="224"/>
      <c r="S4288" s="202"/>
      <c r="T4288"/>
    </row>
    <row r="4289" spans="15:20">
      <c r="O4289" s="247"/>
      <c r="P4289"/>
      <c r="Q4289" s="224"/>
      <c r="S4289" s="202"/>
      <c r="T4289"/>
    </row>
    <row r="4290" spans="15:20">
      <c r="O4290" s="247"/>
      <c r="P4290"/>
      <c r="Q4290" s="224"/>
      <c r="S4290" s="202"/>
      <c r="T4290"/>
    </row>
    <row r="4291" spans="15:20">
      <c r="O4291" s="247"/>
      <c r="P4291"/>
      <c r="Q4291" s="224"/>
      <c r="S4291" s="202"/>
      <c r="T4291"/>
    </row>
    <row r="4292" spans="15:20">
      <c r="O4292" s="247"/>
      <c r="P4292"/>
      <c r="Q4292" s="224"/>
      <c r="S4292" s="202"/>
      <c r="T4292"/>
    </row>
    <row r="4293" spans="15:20">
      <c r="O4293" s="247"/>
      <c r="P4293"/>
      <c r="Q4293" s="224"/>
      <c r="S4293" s="202"/>
      <c r="T4293"/>
    </row>
    <row r="4294" spans="15:20">
      <c r="O4294" s="247"/>
      <c r="P4294"/>
      <c r="Q4294" s="224"/>
      <c r="S4294" s="202"/>
      <c r="T4294"/>
    </row>
    <row r="4295" spans="15:20">
      <c r="O4295" s="247"/>
      <c r="P4295"/>
      <c r="Q4295" s="224"/>
      <c r="S4295" s="202"/>
      <c r="T4295"/>
    </row>
    <row r="4296" spans="15:20">
      <c r="O4296" s="247"/>
      <c r="P4296"/>
      <c r="Q4296" s="224"/>
      <c r="S4296" s="202"/>
      <c r="T4296"/>
    </row>
    <row r="4297" spans="15:20">
      <c r="O4297" s="247"/>
      <c r="P4297"/>
      <c r="Q4297" s="224"/>
      <c r="S4297" s="202"/>
      <c r="T4297"/>
    </row>
    <row r="4298" spans="15:20">
      <c r="O4298" s="247"/>
      <c r="P4298"/>
      <c r="Q4298" s="224"/>
      <c r="S4298" s="202"/>
      <c r="T4298"/>
    </row>
    <row r="4299" spans="15:20">
      <c r="O4299" s="247"/>
      <c r="P4299"/>
      <c r="Q4299" s="224"/>
      <c r="S4299" s="202"/>
      <c r="T4299"/>
    </row>
    <row r="4300" spans="15:20">
      <c r="O4300" s="247"/>
      <c r="P4300"/>
      <c r="Q4300" s="224"/>
      <c r="S4300" s="202"/>
      <c r="T4300"/>
    </row>
    <row r="4301" spans="15:20">
      <c r="O4301" s="247"/>
      <c r="P4301"/>
      <c r="Q4301" s="224"/>
      <c r="S4301" s="202"/>
      <c r="T4301"/>
    </row>
    <row r="4302" spans="15:20">
      <c r="O4302" s="247"/>
      <c r="P4302"/>
      <c r="Q4302" s="224"/>
      <c r="S4302" s="202"/>
      <c r="T4302"/>
    </row>
    <row r="4303" spans="15:20">
      <c r="O4303" s="247"/>
      <c r="P4303"/>
      <c r="Q4303" s="224"/>
      <c r="S4303" s="202"/>
      <c r="T4303"/>
    </row>
    <row r="4304" spans="15:20">
      <c r="O4304" s="247"/>
      <c r="P4304"/>
      <c r="Q4304" s="224"/>
      <c r="S4304" s="202"/>
      <c r="T4304"/>
    </row>
    <row r="4305" spans="15:20">
      <c r="O4305" s="247"/>
      <c r="P4305"/>
      <c r="Q4305" s="224"/>
      <c r="S4305" s="202"/>
      <c r="T4305"/>
    </row>
    <row r="4306" spans="15:20">
      <c r="O4306" s="247"/>
      <c r="P4306"/>
      <c r="Q4306" s="224"/>
      <c r="S4306" s="202"/>
      <c r="T4306"/>
    </row>
    <row r="4307" spans="15:20">
      <c r="O4307" s="247"/>
      <c r="P4307"/>
      <c r="Q4307" s="224"/>
      <c r="S4307" s="202"/>
      <c r="T4307"/>
    </row>
    <row r="4308" spans="15:20">
      <c r="O4308" s="247"/>
      <c r="P4308"/>
      <c r="Q4308" s="224"/>
      <c r="S4308" s="202"/>
      <c r="T4308"/>
    </row>
    <row r="4309" spans="15:20">
      <c r="O4309" s="247"/>
      <c r="P4309"/>
      <c r="Q4309" s="224"/>
      <c r="S4309" s="202"/>
      <c r="T4309"/>
    </row>
    <row r="4310" spans="15:20">
      <c r="O4310" s="247"/>
      <c r="P4310"/>
      <c r="Q4310" s="224"/>
      <c r="S4310" s="202"/>
      <c r="T4310"/>
    </row>
    <row r="4311" spans="15:20">
      <c r="O4311" s="247"/>
      <c r="P4311"/>
      <c r="Q4311" s="224"/>
      <c r="S4311" s="202"/>
      <c r="T4311"/>
    </row>
    <row r="4312" spans="15:20">
      <c r="O4312" s="247"/>
      <c r="P4312"/>
      <c r="Q4312" s="224"/>
      <c r="S4312" s="202"/>
      <c r="T4312"/>
    </row>
    <row r="4313" spans="15:20">
      <c r="O4313" s="247"/>
      <c r="P4313"/>
      <c r="Q4313" s="224"/>
      <c r="S4313" s="202"/>
      <c r="T4313"/>
    </row>
    <row r="4314" spans="15:20">
      <c r="O4314" s="247"/>
      <c r="P4314"/>
      <c r="Q4314" s="224"/>
      <c r="S4314" s="202"/>
      <c r="T4314"/>
    </row>
    <row r="4315" spans="15:20">
      <c r="O4315" s="247"/>
      <c r="P4315"/>
      <c r="Q4315" s="224"/>
      <c r="S4315" s="202"/>
      <c r="T4315"/>
    </row>
    <row r="4316" spans="15:20">
      <c r="O4316" s="247"/>
      <c r="P4316"/>
      <c r="Q4316" s="224"/>
      <c r="S4316" s="202"/>
      <c r="T4316"/>
    </row>
    <row r="4317" spans="15:20">
      <c r="O4317" s="247"/>
      <c r="P4317"/>
      <c r="Q4317" s="224"/>
      <c r="S4317" s="202"/>
      <c r="T4317"/>
    </row>
    <row r="4318" spans="15:20">
      <c r="O4318" s="247"/>
      <c r="P4318"/>
      <c r="Q4318" s="224"/>
      <c r="S4318" s="202"/>
      <c r="T4318"/>
    </row>
    <row r="4319" spans="15:20">
      <c r="O4319" s="247"/>
      <c r="P4319"/>
      <c r="Q4319" s="224"/>
      <c r="S4319" s="202"/>
      <c r="T4319"/>
    </row>
    <row r="4320" spans="15:20">
      <c r="O4320" s="247"/>
      <c r="P4320"/>
      <c r="Q4320" s="224"/>
      <c r="S4320" s="202"/>
      <c r="T4320"/>
    </row>
    <row r="4321" spans="15:20">
      <c r="O4321" s="247"/>
      <c r="P4321"/>
      <c r="Q4321" s="224"/>
      <c r="S4321" s="202"/>
      <c r="T4321"/>
    </row>
    <row r="4322" spans="15:20">
      <c r="O4322" s="247"/>
      <c r="P4322"/>
      <c r="Q4322" s="224"/>
      <c r="S4322" s="202"/>
      <c r="T4322"/>
    </row>
    <row r="4323" spans="15:20">
      <c r="O4323" s="247"/>
      <c r="P4323"/>
      <c r="Q4323" s="224"/>
      <c r="S4323" s="202"/>
      <c r="T4323"/>
    </row>
    <row r="4324" spans="15:20">
      <c r="O4324" s="247"/>
      <c r="P4324"/>
      <c r="Q4324" s="224"/>
      <c r="S4324" s="202"/>
      <c r="T4324"/>
    </row>
    <row r="4325" spans="15:20">
      <c r="O4325" s="247"/>
      <c r="P4325"/>
      <c r="Q4325" s="224"/>
      <c r="S4325" s="202"/>
      <c r="T4325"/>
    </row>
    <row r="4326" spans="15:20">
      <c r="O4326" s="247"/>
      <c r="P4326"/>
      <c r="Q4326" s="224"/>
      <c r="S4326" s="202"/>
      <c r="T4326"/>
    </row>
    <row r="4327" spans="15:20">
      <c r="O4327" s="247"/>
      <c r="P4327"/>
      <c r="Q4327" s="224"/>
      <c r="S4327" s="202"/>
      <c r="T4327"/>
    </row>
    <row r="4328" spans="15:20">
      <c r="O4328" s="247"/>
      <c r="P4328"/>
      <c r="Q4328" s="224"/>
      <c r="S4328" s="202"/>
      <c r="T4328"/>
    </row>
    <row r="4329" spans="15:20">
      <c r="O4329" s="247"/>
      <c r="P4329"/>
      <c r="Q4329" s="224"/>
      <c r="S4329" s="202"/>
      <c r="T4329"/>
    </row>
    <row r="4330" spans="15:20">
      <c r="O4330" s="247"/>
      <c r="P4330"/>
      <c r="Q4330" s="224"/>
      <c r="S4330" s="202"/>
      <c r="T4330"/>
    </row>
    <row r="4331" spans="15:20">
      <c r="O4331" s="247"/>
      <c r="P4331"/>
      <c r="Q4331" s="224"/>
      <c r="S4331" s="202"/>
      <c r="T4331"/>
    </row>
    <row r="4332" spans="15:20">
      <c r="O4332" s="247"/>
      <c r="P4332"/>
      <c r="Q4332" s="224"/>
      <c r="S4332" s="202"/>
      <c r="T4332"/>
    </row>
    <row r="4333" spans="15:20">
      <c r="O4333" s="247"/>
      <c r="P4333"/>
      <c r="Q4333" s="224"/>
      <c r="S4333" s="202"/>
      <c r="T4333"/>
    </row>
    <row r="4334" spans="15:20">
      <c r="O4334" s="247"/>
      <c r="P4334"/>
      <c r="Q4334" s="224"/>
      <c r="S4334" s="202"/>
      <c r="T4334"/>
    </row>
    <row r="4335" spans="15:20">
      <c r="O4335" s="247"/>
      <c r="P4335"/>
      <c r="Q4335" s="224"/>
      <c r="S4335" s="202"/>
      <c r="T4335"/>
    </row>
    <row r="4336" spans="15:20">
      <c r="O4336" s="247"/>
      <c r="P4336"/>
      <c r="Q4336" s="224"/>
      <c r="S4336" s="202"/>
      <c r="T4336"/>
    </row>
    <row r="4337" spans="15:20">
      <c r="O4337" s="247"/>
      <c r="P4337"/>
      <c r="Q4337" s="224"/>
      <c r="S4337" s="202"/>
      <c r="T4337"/>
    </row>
    <row r="4338" spans="15:20">
      <c r="O4338" s="247"/>
      <c r="P4338"/>
      <c r="Q4338" s="224"/>
      <c r="S4338" s="202"/>
      <c r="T4338"/>
    </row>
    <row r="4339" spans="15:20">
      <c r="O4339" s="247"/>
      <c r="P4339"/>
      <c r="Q4339" s="224"/>
      <c r="S4339" s="202"/>
      <c r="T4339"/>
    </row>
    <row r="4340" spans="15:20">
      <c r="O4340" s="247"/>
      <c r="P4340"/>
      <c r="Q4340" s="224"/>
      <c r="S4340" s="202"/>
      <c r="T4340"/>
    </row>
    <row r="4341" spans="15:20">
      <c r="O4341" s="247"/>
      <c r="P4341"/>
      <c r="Q4341" s="224"/>
      <c r="S4341" s="202"/>
      <c r="T4341"/>
    </row>
    <row r="4342" spans="15:20">
      <c r="O4342" s="247"/>
      <c r="P4342"/>
      <c r="Q4342" s="224"/>
      <c r="S4342" s="202"/>
      <c r="T4342"/>
    </row>
    <row r="4343" spans="15:20">
      <c r="O4343" s="247"/>
      <c r="P4343"/>
      <c r="Q4343" s="224"/>
      <c r="S4343" s="202"/>
      <c r="T4343"/>
    </row>
    <row r="4344" spans="15:20">
      <c r="O4344" s="247"/>
      <c r="P4344"/>
      <c r="Q4344" s="224"/>
      <c r="S4344" s="202"/>
      <c r="T4344"/>
    </row>
    <row r="4345" spans="15:20">
      <c r="O4345" s="247"/>
      <c r="P4345"/>
      <c r="Q4345" s="224"/>
      <c r="S4345" s="202"/>
      <c r="T4345"/>
    </row>
    <row r="4346" spans="15:20">
      <c r="O4346" s="247"/>
      <c r="P4346"/>
      <c r="Q4346" s="224"/>
      <c r="S4346" s="202"/>
      <c r="T4346"/>
    </row>
    <row r="4347" spans="15:20">
      <c r="O4347" s="247"/>
      <c r="P4347"/>
      <c r="Q4347" s="224"/>
      <c r="S4347" s="202"/>
      <c r="T4347"/>
    </row>
    <row r="4348" spans="15:20">
      <c r="O4348" s="247"/>
      <c r="P4348"/>
      <c r="Q4348" s="224"/>
      <c r="S4348" s="202"/>
      <c r="T4348"/>
    </row>
    <row r="4349" spans="15:20">
      <c r="O4349" s="247"/>
      <c r="P4349"/>
      <c r="Q4349" s="224"/>
      <c r="S4349" s="202"/>
      <c r="T4349"/>
    </row>
    <row r="4350" spans="15:20">
      <c r="O4350" s="247"/>
      <c r="P4350"/>
      <c r="Q4350" s="224"/>
      <c r="S4350" s="202"/>
      <c r="T4350"/>
    </row>
    <row r="4351" spans="15:20">
      <c r="O4351" s="247"/>
      <c r="P4351"/>
      <c r="Q4351" s="224"/>
      <c r="S4351" s="202"/>
      <c r="T4351"/>
    </row>
    <row r="4352" spans="15:20">
      <c r="O4352" s="247"/>
      <c r="P4352"/>
      <c r="Q4352" s="224"/>
      <c r="S4352" s="202"/>
      <c r="T4352"/>
    </row>
    <row r="4353" spans="15:20">
      <c r="O4353" s="247"/>
      <c r="P4353"/>
      <c r="Q4353" s="224"/>
      <c r="S4353" s="202"/>
      <c r="T4353"/>
    </row>
    <row r="4354" spans="15:20">
      <c r="O4354" s="247"/>
      <c r="P4354"/>
      <c r="Q4354" s="224"/>
      <c r="S4354" s="202"/>
      <c r="T4354"/>
    </row>
    <row r="4355" spans="15:20">
      <c r="O4355" s="247"/>
      <c r="P4355"/>
      <c r="Q4355" s="224"/>
      <c r="S4355" s="202"/>
      <c r="T4355"/>
    </row>
    <row r="4356" spans="15:20">
      <c r="O4356" s="247"/>
      <c r="P4356"/>
      <c r="Q4356" s="224"/>
      <c r="S4356" s="202"/>
      <c r="T4356"/>
    </row>
    <row r="4357" spans="15:20">
      <c r="O4357" s="247"/>
      <c r="P4357"/>
      <c r="Q4357" s="224"/>
      <c r="S4357" s="202"/>
      <c r="T4357"/>
    </row>
    <row r="4358" spans="15:20">
      <c r="O4358" s="247"/>
      <c r="P4358"/>
      <c r="Q4358" s="224"/>
      <c r="S4358" s="202"/>
      <c r="T4358"/>
    </row>
    <row r="4359" spans="15:20">
      <c r="O4359" s="247"/>
      <c r="P4359"/>
      <c r="Q4359" s="224"/>
      <c r="S4359" s="202"/>
      <c r="T4359"/>
    </row>
    <row r="4360" spans="15:20">
      <c r="O4360" s="247"/>
      <c r="P4360"/>
      <c r="Q4360" s="224"/>
      <c r="S4360" s="202"/>
      <c r="T4360"/>
    </row>
    <row r="4361" spans="15:20">
      <c r="O4361" s="247"/>
      <c r="P4361"/>
      <c r="Q4361" s="224"/>
      <c r="S4361" s="202"/>
      <c r="T4361"/>
    </row>
    <row r="4362" spans="15:20">
      <c r="O4362" s="247"/>
      <c r="P4362"/>
      <c r="Q4362" s="224"/>
      <c r="S4362" s="202"/>
      <c r="T4362"/>
    </row>
    <row r="4363" spans="15:20">
      <c r="O4363" s="247"/>
      <c r="P4363"/>
      <c r="Q4363" s="224"/>
      <c r="S4363" s="202"/>
      <c r="T4363"/>
    </row>
    <row r="4364" spans="15:20">
      <c r="O4364" s="247"/>
      <c r="P4364"/>
      <c r="Q4364" s="224"/>
      <c r="S4364" s="202"/>
      <c r="T4364"/>
    </row>
    <row r="4365" spans="15:20">
      <c r="O4365" s="247"/>
      <c r="P4365"/>
      <c r="Q4365" s="224"/>
      <c r="S4365" s="202"/>
      <c r="T4365"/>
    </row>
    <row r="4366" spans="15:20">
      <c r="O4366" s="247"/>
      <c r="P4366"/>
      <c r="Q4366" s="224"/>
      <c r="S4366" s="202"/>
      <c r="T4366"/>
    </row>
    <row r="4367" spans="15:20">
      <c r="O4367" s="247"/>
      <c r="P4367"/>
      <c r="Q4367" s="224"/>
      <c r="S4367" s="202"/>
      <c r="T4367"/>
    </row>
    <row r="4368" spans="15:20">
      <c r="O4368" s="247"/>
      <c r="P4368"/>
      <c r="Q4368" s="224"/>
      <c r="S4368" s="202"/>
      <c r="T4368"/>
    </row>
    <row r="4369" spans="15:20">
      <c r="O4369" s="247"/>
      <c r="P4369"/>
      <c r="Q4369" s="224"/>
      <c r="S4369" s="202"/>
      <c r="T4369"/>
    </row>
    <row r="4370" spans="15:20">
      <c r="O4370" s="247"/>
      <c r="P4370"/>
      <c r="Q4370" s="224"/>
      <c r="S4370" s="202"/>
      <c r="T4370"/>
    </row>
    <row r="4371" spans="15:20">
      <c r="O4371" s="247"/>
      <c r="P4371"/>
      <c r="Q4371" s="224"/>
      <c r="S4371" s="202"/>
      <c r="T4371"/>
    </row>
    <row r="4372" spans="15:20">
      <c r="O4372" s="247"/>
      <c r="P4372"/>
      <c r="Q4372" s="224"/>
      <c r="S4372" s="202"/>
      <c r="T4372"/>
    </row>
    <row r="4373" spans="15:20">
      <c r="O4373" s="247"/>
      <c r="P4373"/>
      <c r="Q4373" s="224"/>
      <c r="S4373" s="202"/>
      <c r="T4373"/>
    </row>
    <row r="4374" spans="15:20">
      <c r="O4374" s="247"/>
      <c r="P4374"/>
      <c r="Q4374" s="224"/>
      <c r="S4374" s="202"/>
      <c r="T4374"/>
    </row>
    <row r="4375" spans="15:20">
      <c r="O4375" s="247"/>
      <c r="P4375"/>
      <c r="Q4375" s="224"/>
      <c r="S4375" s="202"/>
      <c r="T4375"/>
    </row>
    <row r="4376" spans="15:20">
      <c r="O4376" s="247"/>
      <c r="P4376"/>
      <c r="Q4376" s="224"/>
      <c r="S4376" s="202"/>
      <c r="T4376"/>
    </row>
    <row r="4377" spans="15:20">
      <c r="O4377" s="247"/>
      <c r="P4377"/>
      <c r="Q4377" s="224"/>
      <c r="S4377" s="202"/>
      <c r="T4377"/>
    </row>
    <row r="4378" spans="15:20">
      <c r="O4378" s="247"/>
      <c r="P4378"/>
      <c r="Q4378" s="224"/>
      <c r="S4378" s="202"/>
      <c r="T4378"/>
    </row>
    <row r="4379" spans="15:20">
      <c r="O4379" s="247"/>
      <c r="P4379"/>
      <c r="Q4379" s="224"/>
      <c r="S4379" s="202"/>
      <c r="T4379"/>
    </row>
    <row r="4380" spans="15:20">
      <c r="O4380" s="247"/>
      <c r="P4380"/>
      <c r="Q4380" s="224"/>
      <c r="S4380" s="202"/>
      <c r="T4380"/>
    </row>
    <row r="4381" spans="15:20">
      <c r="O4381" s="247"/>
      <c r="P4381"/>
      <c r="Q4381" s="224"/>
      <c r="S4381" s="202"/>
      <c r="T4381"/>
    </row>
    <row r="4382" spans="15:20">
      <c r="O4382" s="247"/>
      <c r="P4382"/>
      <c r="Q4382" s="224"/>
      <c r="S4382" s="202"/>
      <c r="T4382"/>
    </row>
    <row r="4383" spans="15:20">
      <c r="O4383" s="247"/>
      <c r="P4383"/>
      <c r="Q4383" s="224"/>
      <c r="S4383" s="202"/>
      <c r="T4383"/>
    </row>
    <row r="4384" spans="15:20">
      <c r="O4384" s="247"/>
      <c r="P4384"/>
      <c r="Q4384" s="224"/>
      <c r="S4384" s="202"/>
      <c r="T4384"/>
    </row>
    <row r="4385" spans="15:20">
      <c r="O4385" s="247"/>
      <c r="P4385"/>
      <c r="Q4385" s="224"/>
      <c r="S4385" s="202"/>
      <c r="T4385"/>
    </row>
    <row r="4386" spans="15:20">
      <c r="O4386" s="247"/>
      <c r="P4386"/>
      <c r="Q4386" s="224"/>
      <c r="S4386" s="202"/>
      <c r="T4386"/>
    </row>
    <row r="4387" spans="15:20">
      <c r="O4387" s="247"/>
      <c r="P4387"/>
      <c r="Q4387" s="224"/>
      <c r="S4387" s="202"/>
      <c r="T4387"/>
    </row>
    <row r="4388" spans="15:20">
      <c r="O4388" s="247"/>
      <c r="P4388"/>
      <c r="Q4388" s="224"/>
      <c r="S4388" s="202"/>
      <c r="T4388"/>
    </row>
    <row r="4389" spans="15:20">
      <c r="O4389" s="247"/>
      <c r="P4389"/>
      <c r="Q4389" s="224"/>
      <c r="S4389" s="202"/>
      <c r="T4389"/>
    </row>
    <row r="4390" spans="15:20">
      <c r="O4390" s="247"/>
      <c r="P4390"/>
      <c r="Q4390" s="224"/>
      <c r="S4390" s="202"/>
      <c r="T4390"/>
    </row>
    <row r="4391" spans="15:20">
      <c r="O4391" s="247"/>
      <c r="P4391"/>
      <c r="Q4391" s="224"/>
      <c r="S4391" s="202"/>
      <c r="T4391"/>
    </row>
    <row r="4392" spans="15:20">
      <c r="O4392" s="247"/>
      <c r="P4392"/>
      <c r="Q4392" s="224"/>
      <c r="S4392" s="202"/>
      <c r="T4392"/>
    </row>
    <row r="4393" spans="15:20">
      <c r="O4393" s="247"/>
      <c r="P4393"/>
      <c r="Q4393" s="224"/>
      <c r="S4393" s="202"/>
      <c r="T4393"/>
    </row>
    <row r="4394" spans="15:20">
      <c r="O4394" s="247"/>
      <c r="P4394"/>
      <c r="Q4394" s="224"/>
      <c r="S4394" s="202"/>
      <c r="T4394"/>
    </row>
    <row r="4395" spans="15:20">
      <c r="O4395" s="247"/>
      <c r="P4395"/>
      <c r="Q4395" s="224"/>
      <c r="S4395" s="202"/>
      <c r="T4395"/>
    </row>
    <row r="4396" spans="15:20">
      <c r="O4396" s="247"/>
      <c r="P4396"/>
      <c r="Q4396" s="224"/>
      <c r="S4396" s="202"/>
      <c r="T4396"/>
    </row>
    <row r="4397" spans="15:20">
      <c r="O4397" s="247"/>
      <c r="P4397"/>
      <c r="Q4397" s="224"/>
      <c r="S4397" s="202"/>
      <c r="T4397"/>
    </row>
    <row r="4398" spans="15:20">
      <c r="O4398" s="247"/>
      <c r="P4398"/>
      <c r="Q4398" s="224"/>
      <c r="S4398" s="202"/>
      <c r="T4398"/>
    </row>
    <row r="4399" spans="15:20">
      <c r="O4399" s="247"/>
      <c r="P4399"/>
      <c r="Q4399" s="224"/>
      <c r="S4399" s="202"/>
      <c r="T4399"/>
    </row>
    <row r="4400" spans="15:20">
      <c r="O4400" s="247"/>
      <c r="P4400"/>
      <c r="Q4400" s="224"/>
      <c r="S4400" s="202"/>
      <c r="T4400"/>
    </row>
    <row r="4401" spans="15:20">
      <c r="O4401" s="247"/>
      <c r="P4401"/>
      <c r="Q4401" s="224"/>
      <c r="S4401" s="202"/>
      <c r="T4401"/>
    </row>
    <row r="4402" spans="15:20">
      <c r="O4402" s="247"/>
      <c r="P4402"/>
      <c r="Q4402" s="224"/>
      <c r="S4402" s="202"/>
      <c r="T4402"/>
    </row>
    <row r="4403" spans="15:20">
      <c r="O4403" s="247"/>
      <c r="P4403"/>
      <c r="Q4403" s="224"/>
      <c r="S4403" s="202"/>
      <c r="T4403"/>
    </row>
    <row r="4404" spans="15:20">
      <c r="O4404" s="247"/>
      <c r="P4404"/>
      <c r="Q4404" s="224"/>
      <c r="S4404" s="202"/>
      <c r="T4404"/>
    </row>
    <row r="4405" spans="15:20">
      <c r="O4405" s="247"/>
      <c r="P4405"/>
      <c r="Q4405" s="224"/>
      <c r="S4405" s="202"/>
      <c r="T4405"/>
    </row>
    <row r="4406" spans="15:20">
      <c r="O4406" s="247"/>
      <c r="P4406"/>
      <c r="Q4406" s="224"/>
      <c r="S4406" s="202"/>
      <c r="T4406"/>
    </row>
    <row r="4407" spans="15:20">
      <c r="O4407" s="247"/>
      <c r="P4407"/>
      <c r="Q4407" s="224"/>
      <c r="S4407" s="202"/>
      <c r="T4407"/>
    </row>
    <row r="4408" spans="15:20">
      <c r="O4408" s="247"/>
      <c r="P4408"/>
      <c r="Q4408" s="224"/>
      <c r="S4408" s="202"/>
      <c r="T4408"/>
    </row>
    <row r="4409" spans="15:20">
      <c r="O4409" s="247"/>
      <c r="P4409"/>
      <c r="Q4409" s="224"/>
      <c r="S4409" s="202"/>
      <c r="T4409"/>
    </row>
    <row r="4410" spans="15:20">
      <c r="O4410" s="247"/>
      <c r="P4410"/>
      <c r="Q4410" s="224"/>
      <c r="S4410" s="202"/>
      <c r="T4410"/>
    </row>
    <row r="4411" spans="15:20">
      <c r="O4411" s="247"/>
      <c r="P4411"/>
      <c r="Q4411" s="224"/>
      <c r="S4411" s="202"/>
      <c r="T4411"/>
    </row>
    <row r="4412" spans="15:20">
      <c r="O4412" s="247"/>
      <c r="P4412"/>
      <c r="Q4412" s="224"/>
      <c r="S4412" s="202"/>
      <c r="T4412"/>
    </row>
    <row r="4413" spans="15:20">
      <c r="O4413" s="247"/>
      <c r="P4413"/>
      <c r="Q4413" s="224"/>
      <c r="S4413" s="202"/>
      <c r="T4413"/>
    </row>
    <row r="4414" spans="15:20">
      <c r="O4414" s="247"/>
      <c r="P4414"/>
      <c r="Q4414" s="224"/>
      <c r="S4414" s="202"/>
      <c r="T4414"/>
    </row>
    <row r="4415" spans="15:20">
      <c r="O4415" s="247"/>
      <c r="P4415"/>
      <c r="Q4415" s="224"/>
      <c r="S4415" s="202"/>
      <c r="T4415"/>
    </row>
    <row r="4416" spans="15:20">
      <c r="O4416" s="247"/>
      <c r="P4416"/>
      <c r="Q4416" s="224"/>
      <c r="S4416" s="202"/>
      <c r="T4416"/>
    </row>
    <row r="4417" spans="15:20">
      <c r="O4417" s="247"/>
      <c r="P4417"/>
      <c r="Q4417" s="224"/>
      <c r="S4417" s="202"/>
      <c r="T4417"/>
    </row>
    <row r="4418" spans="15:20">
      <c r="O4418" s="247"/>
      <c r="P4418"/>
      <c r="Q4418" s="224"/>
      <c r="S4418" s="202"/>
      <c r="T4418"/>
    </row>
    <row r="4419" spans="15:20">
      <c r="O4419" s="247"/>
      <c r="P4419"/>
      <c r="Q4419" s="224"/>
      <c r="S4419" s="202"/>
      <c r="T4419"/>
    </row>
    <row r="4420" spans="15:20">
      <c r="O4420" s="247"/>
      <c r="P4420"/>
      <c r="Q4420" s="224"/>
      <c r="S4420" s="202"/>
      <c r="T4420"/>
    </row>
    <row r="4421" spans="15:20">
      <c r="O4421" s="247"/>
      <c r="P4421"/>
      <c r="Q4421" s="224"/>
      <c r="S4421" s="202"/>
      <c r="T4421"/>
    </row>
    <row r="4422" spans="15:20">
      <c r="O4422" s="247"/>
      <c r="P4422"/>
      <c r="Q4422" s="224"/>
      <c r="S4422" s="202"/>
      <c r="T4422"/>
    </row>
    <row r="4423" spans="15:20">
      <c r="O4423" s="247"/>
      <c r="P4423"/>
      <c r="Q4423" s="224"/>
      <c r="S4423" s="202"/>
      <c r="T4423"/>
    </row>
    <row r="4424" spans="15:20">
      <c r="O4424" s="247"/>
      <c r="P4424"/>
      <c r="Q4424" s="224"/>
      <c r="S4424" s="202"/>
      <c r="T4424"/>
    </row>
    <row r="4425" spans="15:20">
      <c r="O4425" s="247"/>
      <c r="P4425"/>
      <c r="Q4425" s="224"/>
      <c r="S4425" s="202"/>
      <c r="T4425"/>
    </row>
    <row r="4426" spans="15:20">
      <c r="O4426" s="247"/>
      <c r="P4426"/>
      <c r="Q4426" s="224"/>
      <c r="S4426" s="202"/>
      <c r="T4426"/>
    </row>
    <row r="4427" spans="15:20">
      <c r="O4427" s="247"/>
      <c r="P4427"/>
      <c r="Q4427" s="224"/>
      <c r="S4427" s="202"/>
      <c r="T4427"/>
    </row>
    <row r="4428" spans="15:20">
      <c r="O4428" s="247"/>
      <c r="P4428"/>
      <c r="Q4428" s="224"/>
      <c r="S4428" s="202"/>
      <c r="T4428"/>
    </row>
    <row r="4429" spans="15:20">
      <c r="O4429" s="247"/>
      <c r="P4429"/>
      <c r="Q4429" s="224"/>
      <c r="S4429" s="202"/>
      <c r="T4429"/>
    </row>
    <row r="4430" spans="15:20">
      <c r="O4430" s="247"/>
      <c r="P4430"/>
      <c r="Q4430" s="224"/>
      <c r="S4430" s="202"/>
      <c r="T4430"/>
    </row>
    <row r="4431" spans="15:20">
      <c r="O4431" s="247"/>
      <c r="P4431"/>
      <c r="Q4431" s="224"/>
      <c r="S4431" s="202"/>
      <c r="T4431"/>
    </row>
    <row r="4432" spans="15:20">
      <c r="O4432" s="247"/>
      <c r="P4432"/>
      <c r="Q4432" s="224"/>
      <c r="S4432" s="202"/>
      <c r="T4432"/>
    </row>
    <row r="4433" spans="15:20">
      <c r="O4433" s="247"/>
      <c r="P4433"/>
      <c r="Q4433" s="224"/>
      <c r="S4433" s="202"/>
      <c r="T4433"/>
    </row>
    <row r="4434" spans="15:20">
      <c r="O4434" s="247"/>
      <c r="P4434"/>
      <c r="Q4434" s="224"/>
      <c r="S4434" s="202"/>
      <c r="T4434"/>
    </row>
    <row r="4435" spans="15:20">
      <c r="O4435" s="247"/>
      <c r="P4435"/>
      <c r="Q4435" s="224"/>
      <c r="S4435" s="202"/>
      <c r="T4435"/>
    </row>
    <row r="4436" spans="15:20">
      <c r="O4436" s="247"/>
      <c r="P4436"/>
      <c r="Q4436" s="224"/>
      <c r="S4436" s="202"/>
      <c r="T4436"/>
    </row>
    <row r="4437" spans="15:20">
      <c r="O4437" s="247"/>
      <c r="P4437"/>
      <c r="Q4437" s="224"/>
      <c r="S4437" s="202"/>
      <c r="T4437"/>
    </row>
    <row r="4438" spans="15:20">
      <c r="O4438" s="247"/>
      <c r="P4438"/>
      <c r="Q4438" s="224"/>
      <c r="S4438" s="202"/>
      <c r="T4438"/>
    </row>
    <row r="4439" spans="15:20">
      <c r="O4439" s="247"/>
      <c r="P4439"/>
      <c r="Q4439" s="224"/>
      <c r="S4439" s="202"/>
      <c r="T4439"/>
    </row>
    <row r="4440" spans="15:20">
      <c r="O4440" s="247"/>
      <c r="P4440"/>
      <c r="Q4440" s="224"/>
      <c r="S4440" s="202"/>
      <c r="T4440"/>
    </row>
    <row r="4441" spans="15:20">
      <c r="O4441" s="247"/>
      <c r="P4441"/>
      <c r="Q4441" s="224"/>
      <c r="S4441" s="202"/>
      <c r="T4441"/>
    </row>
    <row r="4442" spans="15:20">
      <c r="O4442" s="247"/>
      <c r="P4442"/>
      <c r="Q4442" s="224"/>
      <c r="S4442" s="202"/>
      <c r="T4442"/>
    </row>
    <row r="4443" spans="15:20">
      <c r="O4443" s="247"/>
      <c r="P4443"/>
      <c r="Q4443" s="224"/>
      <c r="S4443" s="202"/>
      <c r="T4443"/>
    </row>
    <row r="4444" spans="15:20">
      <c r="O4444" s="247"/>
      <c r="P4444"/>
      <c r="Q4444" s="224"/>
      <c r="S4444" s="202"/>
      <c r="T4444"/>
    </row>
    <row r="4445" spans="15:20">
      <c r="O4445" s="247"/>
      <c r="P4445"/>
      <c r="Q4445" s="224"/>
      <c r="S4445" s="202"/>
      <c r="T4445"/>
    </row>
    <row r="4446" spans="15:20">
      <c r="O4446" s="247"/>
      <c r="P4446"/>
      <c r="Q4446" s="224"/>
      <c r="S4446" s="202"/>
      <c r="T4446"/>
    </row>
    <row r="4447" spans="15:20">
      <c r="O4447" s="247"/>
      <c r="P4447"/>
      <c r="Q4447" s="224"/>
      <c r="S4447" s="202"/>
      <c r="T4447"/>
    </row>
    <row r="4448" spans="15:20">
      <c r="O4448" s="247"/>
      <c r="P4448"/>
      <c r="Q4448" s="224"/>
      <c r="S4448" s="202"/>
      <c r="T4448"/>
    </row>
    <row r="4449" spans="15:20">
      <c r="O4449" s="247"/>
      <c r="P4449"/>
      <c r="Q4449" s="224"/>
      <c r="S4449" s="202"/>
      <c r="T4449"/>
    </row>
    <row r="4450" spans="15:20">
      <c r="O4450" s="247"/>
      <c r="P4450"/>
      <c r="Q4450" s="224"/>
      <c r="S4450" s="202"/>
      <c r="T4450"/>
    </row>
    <row r="4451" spans="15:20">
      <c r="O4451" s="247"/>
      <c r="P4451"/>
      <c r="Q4451" s="224"/>
      <c r="S4451" s="202"/>
      <c r="T4451"/>
    </row>
    <row r="4452" spans="15:20">
      <c r="O4452" s="247"/>
      <c r="P4452"/>
      <c r="Q4452" s="224"/>
      <c r="S4452" s="202"/>
      <c r="T4452"/>
    </row>
    <row r="4453" spans="15:20">
      <c r="O4453" s="247"/>
      <c r="P4453"/>
      <c r="Q4453" s="224"/>
      <c r="S4453" s="202"/>
      <c r="T4453"/>
    </row>
    <row r="4454" spans="15:20">
      <c r="O4454" s="247"/>
      <c r="P4454"/>
      <c r="Q4454" s="224"/>
      <c r="S4454" s="202"/>
      <c r="T4454"/>
    </row>
    <row r="4455" spans="15:20">
      <c r="O4455" s="247"/>
      <c r="P4455"/>
      <c r="Q4455" s="224"/>
      <c r="S4455" s="202"/>
      <c r="T4455"/>
    </row>
    <row r="4456" spans="15:20">
      <c r="O4456" s="247"/>
      <c r="P4456"/>
      <c r="Q4456" s="224"/>
      <c r="S4456" s="202"/>
      <c r="T4456"/>
    </row>
    <row r="4457" spans="15:20">
      <c r="O4457" s="247"/>
      <c r="P4457"/>
      <c r="Q4457" s="224"/>
      <c r="S4457" s="202"/>
      <c r="T4457"/>
    </row>
    <row r="4458" spans="15:20">
      <c r="O4458" s="247"/>
      <c r="P4458"/>
      <c r="Q4458" s="224"/>
      <c r="S4458" s="202"/>
      <c r="T4458"/>
    </row>
    <row r="4459" spans="15:20">
      <c r="O4459" s="247"/>
      <c r="P4459"/>
      <c r="Q4459" s="224"/>
      <c r="S4459" s="202"/>
      <c r="T4459"/>
    </row>
    <row r="4460" spans="15:20">
      <c r="O4460" s="247"/>
      <c r="P4460"/>
      <c r="Q4460" s="224"/>
      <c r="S4460" s="202"/>
      <c r="T4460"/>
    </row>
    <row r="4461" spans="15:20">
      <c r="O4461" s="247"/>
      <c r="P4461"/>
      <c r="Q4461" s="224"/>
      <c r="S4461" s="202"/>
      <c r="T4461"/>
    </row>
    <row r="4462" spans="15:20">
      <c r="O4462" s="247"/>
      <c r="P4462"/>
      <c r="Q4462" s="224"/>
      <c r="S4462" s="202"/>
      <c r="T4462"/>
    </row>
    <row r="4463" spans="15:20">
      <c r="O4463" s="247"/>
      <c r="P4463"/>
      <c r="Q4463" s="224"/>
      <c r="S4463" s="202"/>
      <c r="T4463"/>
    </row>
    <row r="4464" spans="15:20">
      <c r="O4464" s="247"/>
      <c r="P4464"/>
      <c r="Q4464" s="224"/>
      <c r="S4464" s="202"/>
      <c r="T4464"/>
    </row>
    <row r="4465" spans="15:20">
      <c r="O4465" s="247"/>
      <c r="P4465"/>
      <c r="Q4465" s="224"/>
      <c r="S4465" s="202"/>
      <c r="T4465"/>
    </row>
    <row r="4466" spans="15:20">
      <c r="O4466" s="247"/>
      <c r="P4466"/>
      <c r="Q4466" s="224"/>
      <c r="S4466" s="202"/>
      <c r="T4466"/>
    </row>
    <row r="4467" spans="15:20">
      <c r="O4467" s="247"/>
      <c r="P4467"/>
      <c r="Q4467" s="224"/>
      <c r="S4467" s="202"/>
      <c r="T4467"/>
    </row>
    <row r="4468" spans="15:20">
      <c r="O4468" s="247"/>
      <c r="P4468"/>
      <c r="Q4468" s="224"/>
      <c r="S4468" s="202"/>
      <c r="T4468"/>
    </row>
    <row r="4469" spans="15:20">
      <c r="O4469" s="247"/>
      <c r="P4469"/>
      <c r="Q4469" s="224"/>
      <c r="S4469" s="202"/>
      <c r="T4469"/>
    </row>
    <row r="4470" spans="15:20">
      <c r="O4470" s="247"/>
      <c r="P4470"/>
      <c r="Q4470" s="224"/>
      <c r="S4470" s="202"/>
      <c r="T4470"/>
    </row>
    <row r="4471" spans="15:20">
      <c r="O4471" s="247"/>
      <c r="P4471"/>
      <c r="Q4471" s="224"/>
      <c r="S4471" s="202"/>
      <c r="T4471"/>
    </row>
    <row r="4472" spans="15:20">
      <c r="O4472" s="247"/>
      <c r="P4472"/>
      <c r="Q4472" s="224"/>
      <c r="S4472" s="202"/>
      <c r="T4472"/>
    </row>
    <row r="4473" spans="15:20">
      <c r="O4473" s="247"/>
      <c r="P4473"/>
      <c r="Q4473" s="224"/>
      <c r="S4473" s="202"/>
      <c r="T4473"/>
    </row>
    <row r="4474" spans="15:20">
      <c r="O4474" s="247"/>
      <c r="P4474"/>
      <c r="Q4474" s="224"/>
      <c r="S4474" s="202"/>
      <c r="T4474"/>
    </row>
    <row r="4475" spans="15:20">
      <c r="O4475" s="247"/>
      <c r="P4475"/>
      <c r="Q4475" s="224"/>
      <c r="S4475" s="202"/>
      <c r="T4475"/>
    </row>
    <row r="4476" spans="15:20">
      <c r="O4476" s="247"/>
      <c r="P4476"/>
      <c r="Q4476" s="224"/>
      <c r="S4476" s="202"/>
      <c r="T4476"/>
    </row>
    <row r="4477" spans="15:20">
      <c r="O4477" s="247"/>
      <c r="P4477"/>
      <c r="Q4477" s="224"/>
      <c r="S4477" s="202"/>
      <c r="T4477"/>
    </row>
    <row r="4478" spans="15:20">
      <c r="O4478" s="247"/>
      <c r="P4478"/>
      <c r="Q4478" s="224"/>
      <c r="S4478" s="202"/>
      <c r="T4478"/>
    </row>
    <row r="4479" spans="15:20">
      <c r="O4479" s="247"/>
      <c r="P4479"/>
      <c r="Q4479" s="224"/>
      <c r="S4479" s="202"/>
      <c r="T4479"/>
    </row>
    <row r="4480" spans="15:20">
      <c r="O4480" s="247"/>
      <c r="P4480"/>
      <c r="Q4480" s="224"/>
      <c r="S4480" s="202"/>
      <c r="T4480"/>
    </row>
    <row r="4481" spans="15:20">
      <c r="O4481" s="247"/>
      <c r="P4481"/>
      <c r="Q4481" s="224"/>
      <c r="S4481" s="202"/>
      <c r="T4481"/>
    </row>
    <row r="4482" spans="15:20">
      <c r="O4482" s="247"/>
      <c r="P4482"/>
      <c r="Q4482" s="224"/>
      <c r="S4482" s="202"/>
      <c r="T4482"/>
    </row>
    <row r="4483" spans="15:20">
      <c r="O4483" s="247"/>
      <c r="P4483"/>
      <c r="Q4483" s="224"/>
      <c r="S4483" s="202"/>
      <c r="T4483"/>
    </row>
    <row r="4484" spans="15:20">
      <c r="O4484" s="247"/>
      <c r="P4484"/>
      <c r="Q4484" s="224"/>
      <c r="S4484" s="202"/>
      <c r="T4484"/>
    </row>
    <row r="4485" spans="15:20">
      <c r="O4485" s="247"/>
      <c r="P4485"/>
      <c r="Q4485" s="224"/>
      <c r="S4485" s="202"/>
      <c r="T4485"/>
    </row>
    <row r="4486" spans="15:20">
      <c r="O4486" s="247"/>
      <c r="P4486"/>
      <c r="Q4486" s="224"/>
      <c r="S4486" s="202"/>
      <c r="T4486"/>
    </row>
    <row r="4487" spans="15:20">
      <c r="O4487" s="247"/>
      <c r="P4487"/>
      <c r="Q4487" s="224"/>
      <c r="S4487" s="202"/>
      <c r="T4487"/>
    </row>
    <row r="4488" spans="15:20">
      <c r="O4488" s="247"/>
      <c r="P4488"/>
      <c r="Q4488" s="224"/>
      <c r="S4488" s="202"/>
      <c r="T4488"/>
    </row>
    <row r="4489" spans="15:20">
      <c r="O4489" s="247"/>
      <c r="P4489"/>
      <c r="Q4489" s="224"/>
      <c r="S4489" s="202"/>
      <c r="T4489"/>
    </row>
    <row r="4490" spans="15:20">
      <c r="O4490" s="247"/>
      <c r="P4490"/>
      <c r="Q4490" s="224"/>
      <c r="S4490" s="202"/>
      <c r="T4490"/>
    </row>
    <row r="4491" spans="15:20">
      <c r="O4491" s="247"/>
      <c r="P4491"/>
      <c r="Q4491" s="224"/>
      <c r="S4491" s="202"/>
      <c r="T4491"/>
    </row>
    <row r="4492" spans="15:20">
      <c r="O4492" s="247"/>
      <c r="P4492"/>
      <c r="Q4492" s="224"/>
      <c r="S4492" s="202"/>
      <c r="T4492"/>
    </row>
    <row r="4493" spans="15:20">
      <c r="O4493" s="247"/>
      <c r="P4493"/>
      <c r="Q4493" s="224"/>
      <c r="S4493" s="202"/>
      <c r="T4493"/>
    </row>
    <row r="4494" spans="15:20">
      <c r="O4494" s="247"/>
      <c r="P4494"/>
      <c r="Q4494" s="224"/>
      <c r="S4494" s="202"/>
      <c r="T4494"/>
    </row>
    <row r="4495" spans="15:20">
      <c r="O4495" s="247"/>
      <c r="P4495"/>
      <c r="Q4495" s="224"/>
      <c r="S4495" s="202"/>
      <c r="T4495"/>
    </row>
    <row r="4496" spans="15:20">
      <c r="O4496" s="247"/>
      <c r="P4496"/>
      <c r="Q4496" s="224"/>
      <c r="S4496" s="202"/>
      <c r="T4496"/>
    </row>
    <row r="4497" spans="15:20">
      <c r="O4497" s="247"/>
      <c r="P4497"/>
      <c r="Q4497" s="224"/>
      <c r="S4497" s="202"/>
      <c r="T4497"/>
    </row>
    <row r="4498" spans="15:20">
      <c r="O4498" s="247"/>
      <c r="P4498"/>
      <c r="Q4498" s="224"/>
      <c r="S4498" s="202"/>
      <c r="T4498"/>
    </row>
    <row r="4499" spans="15:20">
      <c r="O4499" s="247"/>
      <c r="P4499"/>
      <c r="Q4499" s="224"/>
      <c r="S4499" s="202"/>
      <c r="T4499"/>
    </row>
    <row r="4500" spans="15:20">
      <c r="O4500" s="247"/>
      <c r="P4500"/>
      <c r="Q4500" s="224"/>
      <c r="S4500" s="202"/>
      <c r="T4500"/>
    </row>
    <row r="4501" spans="15:20">
      <c r="O4501" s="247"/>
      <c r="P4501"/>
      <c r="Q4501" s="224"/>
      <c r="S4501" s="202"/>
      <c r="T4501"/>
    </row>
    <row r="4502" spans="15:20">
      <c r="O4502" s="247"/>
      <c r="P4502"/>
      <c r="Q4502" s="224"/>
      <c r="S4502" s="202"/>
      <c r="T4502"/>
    </row>
    <row r="4503" spans="15:20">
      <c r="O4503" s="247"/>
      <c r="P4503"/>
      <c r="Q4503" s="224"/>
      <c r="S4503" s="202"/>
      <c r="T4503"/>
    </row>
    <row r="4504" spans="15:20">
      <c r="O4504" s="247"/>
      <c r="P4504"/>
      <c r="Q4504" s="224"/>
      <c r="S4504" s="202"/>
      <c r="T4504"/>
    </row>
    <row r="4505" spans="15:20">
      <c r="O4505" s="247"/>
      <c r="P4505"/>
      <c r="Q4505" s="224"/>
      <c r="S4505" s="202"/>
      <c r="T4505"/>
    </row>
    <row r="4506" spans="15:20">
      <c r="O4506" s="247"/>
      <c r="P4506"/>
      <c r="Q4506" s="224"/>
      <c r="S4506" s="202"/>
      <c r="T4506"/>
    </row>
    <row r="4507" spans="15:20">
      <c r="O4507" s="247"/>
      <c r="P4507"/>
      <c r="Q4507" s="224"/>
      <c r="S4507" s="202"/>
      <c r="T4507"/>
    </row>
    <row r="4508" spans="15:20">
      <c r="O4508" s="247"/>
      <c r="P4508"/>
      <c r="Q4508" s="224"/>
      <c r="S4508" s="202"/>
      <c r="T4508"/>
    </row>
    <row r="4509" spans="15:20">
      <c r="O4509" s="247"/>
      <c r="P4509"/>
      <c r="Q4509" s="224"/>
      <c r="S4509" s="202"/>
      <c r="T4509"/>
    </row>
    <row r="4510" spans="15:20">
      <c r="O4510" s="247"/>
      <c r="P4510"/>
      <c r="Q4510" s="224"/>
      <c r="S4510" s="202"/>
      <c r="T4510"/>
    </row>
    <row r="4511" spans="15:20">
      <c r="O4511" s="247"/>
      <c r="P4511"/>
      <c r="Q4511" s="224"/>
      <c r="S4511" s="202"/>
      <c r="T4511"/>
    </row>
    <row r="4512" spans="15:20">
      <c r="O4512" s="247"/>
      <c r="P4512"/>
      <c r="Q4512" s="224"/>
      <c r="S4512" s="202"/>
      <c r="T4512"/>
    </row>
    <row r="4513" spans="15:20">
      <c r="O4513" s="247"/>
      <c r="P4513"/>
      <c r="Q4513" s="224"/>
      <c r="S4513" s="202"/>
      <c r="T4513"/>
    </row>
    <row r="4514" spans="15:20">
      <c r="O4514" s="247"/>
      <c r="P4514"/>
      <c r="Q4514" s="224"/>
      <c r="S4514" s="202"/>
      <c r="T4514"/>
    </row>
    <row r="4515" spans="15:20">
      <c r="O4515" s="247"/>
      <c r="P4515"/>
      <c r="Q4515" s="224"/>
      <c r="S4515" s="202"/>
      <c r="T4515"/>
    </row>
    <row r="4516" spans="15:20">
      <c r="O4516" s="247"/>
      <c r="P4516"/>
      <c r="Q4516" s="224"/>
      <c r="S4516" s="202"/>
      <c r="T4516"/>
    </row>
    <row r="4517" spans="15:20">
      <c r="O4517" s="247"/>
      <c r="P4517"/>
      <c r="Q4517" s="224"/>
      <c r="S4517" s="202"/>
      <c r="T4517"/>
    </row>
    <row r="4518" spans="15:20">
      <c r="O4518" s="247"/>
      <c r="P4518"/>
      <c r="Q4518" s="224"/>
      <c r="S4518" s="202"/>
      <c r="T4518"/>
    </row>
    <row r="4519" spans="15:20">
      <c r="O4519" s="247"/>
      <c r="P4519"/>
      <c r="Q4519" s="224"/>
      <c r="S4519" s="202"/>
      <c r="T4519"/>
    </row>
    <row r="4520" spans="15:20">
      <c r="O4520" s="247"/>
      <c r="P4520"/>
      <c r="Q4520" s="224"/>
      <c r="S4520" s="202"/>
      <c r="T4520"/>
    </row>
    <row r="4521" spans="15:20">
      <c r="O4521" s="247"/>
      <c r="P4521"/>
      <c r="Q4521" s="224"/>
      <c r="S4521" s="202"/>
      <c r="T4521"/>
    </row>
    <row r="4522" spans="15:20">
      <c r="O4522" s="247"/>
      <c r="P4522"/>
      <c r="Q4522" s="224"/>
      <c r="S4522" s="202"/>
      <c r="T4522"/>
    </row>
    <row r="4523" spans="15:20">
      <c r="O4523" s="247"/>
      <c r="P4523"/>
      <c r="Q4523" s="224"/>
      <c r="S4523" s="202"/>
      <c r="T4523"/>
    </row>
    <row r="4524" spans="15:20">
      <c r="O4524" s="247"/>
      <c r="P4524"/>
      <c r="Q4524" s="224"/>
      <c r="S4524" s="202"/>
      <c r="T4524"/>
    </row>
    <row r="4525" spans="15:20">
      <c r="O4525" s="247"/>
      <c r="P4525"/>
      <c r="Q4525" s="224"/>
      <c r="S4525" s="202"/>
      <c r="T4525"/>
    </row>
    <row r="4526" spans="15:20">
      <c r="O4526" s="247"/>
      <c r="P4526"/>
      <c r="Q4526" s="224"/>
      <c r="S4526" s="202"/>
      <c r="T4526"/>
    </row>
    <row r="4527" spans="15:20">
      <c r="O4527" s="247"/>
      <c r="P4527"/>
      <c r="Q4527" s="224"/>
      <c r="S4527" s="202"/>
      <c r="T4527"/>
    </row>
    <row r="4528" spans="15:20">
      <c r="O4528" s="247"/>
      <c r="P4528"/>
      <c r="Q4528" s="224"/>
      <c r="S4528" s="202"/>
      <c r="T4528"/>
    </row>
    <row r="4529" spans="15:20">
      <c r="O4529" s="247"/>
      <c r="P4529"/>
      <c r="Q4529" s="224"/>
      <c r="S4529" s="202"/>
      <c r="T4529"/>
    </row>
    <row r="4530" spans="15:20">
      <c r="O4530" s="247"/>
      <c r="P4530"/>
      <c r="Q4530" s="224"/>
      <c r="S4530" s="202"/>
      <c r="T4530"/>
    </row>
    <row r="4531" spans="15:20">
      <c r="O4531" s="247"/>
      <c r="P4531"/>
      <c r="Q4531" s="224"/>
      <c r="S4531" s="202"/>
      <c r="T4531"/>
    </row>
    <row r="4532" spans="15:20">
      <c r="O4532" s="247"/>
      <c r="P4532"/>
      <c r="Q4532" s="224"/>
      <c r="S4532" s="202"/>
      <c r="T4532"/>
    </row>
    <row r="4533" spans="15:20">
      <c r="O4533" s="247"/>
      <c r="P4533"/>
      <c r="Q4533" s="224"/>
      <c r="S4533" s="202"/>
      <c r="T4533"/>
    </row>
    <row r="4534" spans="15:20">
      <c r="O4534" s="247"/>
      <c r="P4534"/>
      <c r="Q4534" s="224"/>
      <c r="S4534" s="202"/>
      <c r="T4534"/>
    </row>
    <row r="4535" spans="15:20">
      <c r="O4535" s="247"/>
      <c r="P4535"/>
      <c r="Q4535" s="224"/>
      <c r="S4535" s="202"/>
      <c r="T4535"/>
    </row>
    <row r="4536" spans="15:20">
      <c r="O4536" s="247"/>
      <c r="P4536"/>
      <c r="Q4536" s="224"/>
      <c r="S4536" s="202"/>
      <c r="T4536"/>
    </row>
    <row r="4537" spans="15:20">
      <c r="O4537" s="247"/>
      <c r="P4537"/>
      <c r="Q4537" s="224"/>
      <c r="S4537" s="202"/>
      <c r="T4537"/>
    </row>
    <row r="4538" spans="15:20">
      <c r="O4538" s="247"/>
      <c r="P4538"/>
      <c r="Q4538" s="224"/>
      <c r="S4538" s="202"/>
      <c r="T4538"/>
    </row>
    <row r="4539" spans="15:20">
      <c r="O4539" s="247"/>
      <c r="P4539"/>
      <c r="Q4539" s="224"/>
      <c r="S4539" s="202"/>
      <c r="T4539"/>
    </row>
    <row r="4540" spans="15:20">
      <c r="O4540" s="247"/>
      <c r="P4540"/>
      <c r="Q4540" s="224"/>
      <c r="S4540" s="202"/>
      <c r="T4540"/>
    </row>
    <row r="4541" spans="15:20">
      <c r="O4541" s="247"/>
      <c r="P4541"/>
      <c r="Q4541" s="224"/>
      <c r="S4541" s="202"/>
      <c r="T4541"/>
    </row>
    <row r="4542" spans="15:20">
      <c r="O4542" s="247"/>
      <c r="P4542"/>
      <c r="Q4542" s="224"/>
      <c r="S4542" s="202"/>
      <c r="T4542"/>
    </row>
    <row r="4543" spans="15:20">
      <c r="O4543" s="247"/>
      <c r="P4543"/>
      <c r="Q4543" s="224"/>
      <c r="S4543" s="202"/>
      <c r="T4543"/>
    </row>
    <row r="4544" spans="15:20">
      <c r="O4544" s="247"/>
      <c r="P4544"/>
      <c r="Q4544" s="224"/>
      <c r="S4544" s="202"/>
      <c r="T4544"/>
    </row>
    <row r="4545" spans="15:20">
      <c r="O4545" s="247"/>
      <c r="P4545"/>
      <c r="Q4545" s="224"/>
      <c r="S4545" s="202"/>
      <c r="T4545"/>
    </row>
    <row r="4546" spans="15:20">
      <c r="O4546" s="247"/>
      <c r="P4546"/>
      <c r="Q4546" s="224"/>
      <c r="S4546" s="202"/>
      <c r="T4546"/>
    </row>
    <row r="4547" spans="15:20">
      <c r="O4547" s="247"/>
      <c r="P4547"/>
      <c r="Q4547" s="224"/>
      <c r="S4547" s="202"/>
      <c r="T4547"/>
    </row>
    <row r="4548" spans="15:20">
      <c r="O4548" s="247"/>
      <c r="P4548"/>
      <c r="Q4548" s="224"/>
      <c r="S4548" s="202"/>
      <c r="T4548"/>
    </row>
    <row r="4549" spans="15:20">
      <c r="O4549" s="247"/>
      <c r="P4549"/>
      <c r="Q4549" s="224"/>
      <c r="S4549" s="202"/>
      <c r="T4549"/>
    </row>
    <row r="4550" spans="15:20">
      <c r="O4550" s="247"/>
      <c r="P4550"/>
      <c r="Q4550" s="224"/>
      <c r="S4550" s="202"/>
      <c r="T4550"/>
    </row>
    <row r="4551" spans="15:20">
      <c r="O4551" s="247"/>
      <c r="P4551"/>
      <c r="Q4551" s="224"/>
      <c r="S4551" s="202"/>
      <c r="T4551"/>
    </row>
    <row r="4552" spans="15:20">
      <c r="O4552" s="247"/>
      <c r="P4552"/>
      <c r="Q4552" s="224"/>
      <c r="S4552" s="202"/>
      <c r="T4552"/>
    </row>
    <row r="4553" spans="15:20">
      <c r="O4553" s="247"/>
      <c r="P4553"/>
      <c r="Q4553" s="224"/>
      <c r="S4553" s="202"/>
      <c r="T4553"/>
    </row>
    <row r="4554" spans="15:20">
      <c r="O4554" s="247"/>
      <c r="P4554"/>
      <c r="Q4554" s="224"/>
      <c r="S4554" s="202"/>
      <c r="T4554"/>
    </row>
    <row r="4555" spans="15:20">
      <c r="O4555" s="247"/>
      <c r="P4555"/>
      <c r="Q4555" s="224"/>
      <c r="S4555" s="202"/>
      <c r="T4555"/>
    </row>
    <row r="4556" spans="15:20">
      <c r="O4556" s="247"/>
      <c r="P4556"/>
      <c r="Q4556" s="224"/>
      <c r="S4556" s="202"/>
      <c r="T4556"/>
    </row>
    <row r="4557" spans="15:20">
      <c r="O4557" s="247"/>
      <c r="P4557"/>
      <c r="Q4557" s="224"/>
      <c r="S4557" s="202"/>
      <c r="T4557"/>
    </row>
    <row r="4558" spans="15:20">
      <c r="O4558" s="247"/>
      <c r="P4558"/>
      <c r="Q4558" s="224"/>
      <c r="S4558" s="202"/>
      <c r="T4558"/>
    </row>
    <row r="4559" spans="15:20">
      <c r="O4559" s="247"/>
      <c r="P4559"/>
      <c r="Q4559" s="224"/>
      <c r="S4559" s="202"/>
      <c r="T4559"/>
    </row>
    <row r="4560" spans="15:20">
      <c r="O4560" s="247"/>
      <c r="P4560"/>
      <c r="Q4560" s="224"/>
      <c r="S4560" s="202"/>
      <c r="T4560"/>
    </row>
    <row r="4561" spans="15:20">
      <c r="O4561" s="247"/>
      <c r="P4561"/>
      <c r="Q4561" s="224"/>
      <c r="S4561" s="202"/>
      <c r="T4561"/>
    </row>
    <row r="4562" spans="15:20">
      <c r="O4562" s="247"/>
      <c r="P4562"/>
      <c r="Q4562" s="224"/>
      <c r="S4562" s="202"/>
      <c r="T4562"/>
    </row>
    <row r="4563" spans="15:20">
      <c r="O4563" s="247"/>
      <c r="P4563"/>
      <c r="Q4563" s="224"/>
      <c r="S4563" s="202"/>
      <c r="T4563"/>
    </row>
    <row r="4564" spans="15:20">
      <c r="O4564" s="247"/>
      <c r="P4564"/>
      <c r="Q4564" s="224"/>
      <c r="S4564" s="202"/>
      <c r="T4564"/>
    </row>
    <row r="4565" spans="15:20">
      <c r="O4565" s="247"/>
      <c r="P4565"/>
      <c r="Q4565" s="224"/>
      <c r="S4565" s="202"/>
      <c r="T4565"/>
    </row>
    <row r="4566" spans="15:20">
      <c r="O4566" s="247"/>
      <c r="P4566"/>
      <c r="Q4566" s="224"/>
      <c r="S4566" s="202"/>
      <c r="T4566"/>
    </row>
    <row r="4567" spans="15:20">
      <c r="O4567" s="247"/>
      <c r="P4567"/>
      <c r="Q4567" s="224"/>
      <c r="S4567" s="202"/>
      <c r="T4567"/>
    </row>
    <row r="4568" spans="15:20">
      <c r="O4568" s="247"/>
      <c r="P4568"/>
      <c r="Q4568" s="224"/>
      <c r="S4568" s="202"/>
      <c r="T4568"/>
    </row>
    <row r="4569" spans="15:20">
      <c r="O4569" s="247"/>
      <c r="P4569"/>
      <c r="Q4569" s="224"/>
      <c r="S4569" s="202"/>
      <c r="T4569"/>
    </row>
    <row r="4570" spans="15:20">
      <c r="O4570" s="247"/>
      <c r="P4570"/>
      <c r="Q4570" s="224"/>
      <c r="S4570" s="202"/>
      <c r="T4570"/>
    </row>
    <row r="4571" spans="15:20">
      <c r="O4571" s="247"/>
      <c r="P4571"/>
      <c r="Q4571" s="224"/>
      <c r="S4571" s="202"/>
      <c r="T4571"/>
    </row>
    <row r="4572" spans="15:20">
      <c r="O4572" s="247"/>
      <c r="P4572"/>
      <c r="Q4572" s="224"/>
      <c r="S4572" s="202"/>
      <c r="T4572"/>
    </row>
    <row r="4573" spans="15:20">
      <c r="O4573" s="247"/>
      <c r="P4573"/>
      <c r="Q4573" s="224"/>
      <c r="S4573" s="202"/>
      <c r="T4573"/>
    </row>
    <row r="4574" spans="15:20">
      <c r="O4574" s="247"/>
      <c r="P4574"/>
      <c r="Q4574" s="224"/>
      <c r="S4574" s="202"/>
      <c r="T4574"/>
    </row>
    <row r="4575" spans="15:20">
      <c r="O4575" s="247"/>
      <c r="P4575"/>
      <c r="Q4575" s="224"/>
      <c r="S4575" s="202"/>
      <c r="T4575"/>
    </row>
    <row r="4576" spans="15:20">
      <c r="O4576" s="247"/>
      <c r="P4576"/>
      <c r="Q4576" s="224"/>
      <c r="S4576" s="202"/>
      <c r="T4576"/>
    </row>
    <row r="4577" spans="15:20">
      <c r="O4577" s="247"/>
      <c r="P4577"/>
      <c r="Q4577" s="224"/>
      <c r="S4577" s="202"/>
      <c r="T4577"/>
    </row>
    <row r="4578" spans="15:20">
      <c r="O4578" s="247"/>
      <c r="P4578"/>
      <c r="Q4578" s="224"/>
      <c r="S4578" s="202"/>
      <c r="T4578"/>
    </row>
    <row r="4579" spans="15:20">
      <c r="O4579" s="247"/>
      <c r="P4579"/>
      <c r="Q4579" s="224"/>
      <c r="S4579" s="202"/>
      <c r="T4579"/>
    </row>
    <row r="4580" spans="15:20">
      <c r="O4580" s="247"/>
      <c r="P4580"/>
      <c r="Q4580" s="224"/>
      <c r="S4580" s="202"/>
      <c r="T4580"/>
    </row>
    <row r="4581" spans="15:20">
      <c r="O4581" s="247"/>
      <c r="P4581"/>
      <c r="Q4581" s="224"/>
      <c r="S4581" s="202"/>
      <c r="T4581"/>
    </row>
    <row r="4582" spans="15:20">
      <c r="O4582" s="247"/>
      <c r="P4582"/>
      <c r="Q4582" s="224"/>
      <c r="S4582" s="202"/>
      <c r="T4582"/>
    </row>
    <row r="4583" spans="15:20">
      <c r="O4583" s="247"/>
      <c r="P4583"/>
      <c r="Q4583" s="224"/>
      <c r="S4583" s="202"/>
      <c r="T4583"/>
    </row>
    <row r="4584" spans="15:20">
      <c r="O4584" s="247"/>
      <c r="P4584"/>
      <c r="Q4584" s="224"/>
      <c r="S4584" s="202"/>
      <c r="T4584"/>
    </row>
    <row r="4585" spans="15:20">
      <c r="O4585" s="247"/>
      <c r="P4585"/>
      <c r="Q4585" s="224"/>
      <c r="S4585" s="202"/>
      <c r="T4585"/>
    </row>
    <row r="4586" spans="15:20">
      <c r="O4586" s="247"/>
      <c r="P4586"/>
      <c r="Q4586" s="224"/>
      <c r="S4586" s="202"/>
      <c r="T4586"/>
    </row>
    <row r="4587" spans="15:20">
      <c r="O4587" s="247"/>
      <c r="P4587"/>
      <c r="Q4587" s="224"/>
      <c r="S4587" s="202"/>
      <c r="T4587"/>
    </row>
    <row r="4588" spans="15:20">
      <c r="O4588" s="247"/>
      <c r="P4588"/>
      <c r="Q4588" s="224"/>
      <c r="S4588" s="202"/>
      <c r="T4588"/>
    </row>
    <row r="4589" spans="15:20">
      <c r="O4589" s="247"/>
      <c r="P4589"/>
      <c r="Q4589" s="224"/>
      <c r="S4589" s="202"/>
      <c r="T4589"/>
    </row>
    <row r="4590" spans="15:20">
      <c r="O4590" s="247"/>
      <c r="P4590"/>
      <c r="Q4590" s="224"/>
      <c r="S4590" s="202"/>
      <c r="T4590"/>
    </row>
    <row r="4591" spans="15:20">
      <c r="O4591" s="247"/>
      <c r="P4591"/>
      <c r="Q4591" s="224"/>
      <c r="S4591" s="202"/>
      <c r="T4591"/>
    </row>
    <row r="4592" spans="15:20">
      <c r="O4592" s="247"/>
      <c r="P4592"/>
      <c r="Q4592" s="224"/>
      <c r="S4592" s="202"/>
      <c r="T4592"/>
    </row>
    <row r="4593" spans="15:20">
      <c r="O4593" s="247"/>
      <c r="P4593"/>
      <c r="Q4593" s="224"/>
      <c r="S4593" s="202"/>
      <c r="T4593"/>
    </row>
    <row r="4594" spans="15:20">
      <c r="O4594" s="247"/>
      <c r="P4594"/>
      <c r="Q4594" s="224"/>
      <c r="S4594" s="202"/>
      <c r="T4594"/>
    </row>
    <row r="4595" spans="15:20">
      <c r="O4595" s="247"/>
      <c r="P4595"/>
      <c r="Q4595" s="224"/>
      <c r="S4595" s="202"/>
      <c r="T4595"/>
    </row>
    <row r="4596" spans="15:20">
      <c r="O4596" s="247"/>
      <c r="P4596"/>
      <c r="Q4596" s="224"/>
      <c r="S4596" s="202"/>
      <c r="T4596"/>
    </row>
    <row r="4597" spans="15:20">
      <c r="O4597" s="247"/>
      <c r="P4597"/>
      <c r="Q4597" s="224"/>
      <c r="S4597" s="202"/>
      <c r="T4597"/>
    </row>
    <row r="4598" spans="15:20">
      <c r="O4598" s="247"/>
      <c r="P4598"/>
      <c r="Q4598" s="224"/>
      <c r="S4598" s="202"/>
      <c r="T4598"/>
    </row>
    <row r="4599" spans="15:20">
      <c r="O4599" s="247"/>
      <c r="P4599"/>
      <c r="Q4599" s="224"/>
      <c r="S4599" s="202"/>
      <c r="T4599"/>
    </row>
    <row r="4600" spans="15:20">
      <c r="O4600" s="247"/>
      <c r="P4600"/>
      <c r="Q4600" s="224"/>
      <c r="S4600" s="202"/>
      <c r="T4600"/>
    </row>
    <row r="4601" spans="15:20">
      <c r="O4601" s="247"/>
      <c r="P4601"/>
      <c r="Q4601" s="224"/>
      <c r="S4601" s="202"/>
      <c r="T4601"/>
    </row>
    <row r="4602" spans="15:20">
      <c r="O4602" s="247"/>
      <c r="P4602"/>
      <c r="Q4602" s="224"/>
      <c r="S4602" s="202"/>
      <c r="T4602"/>
    </row>
    <row r="4603" spans="15:20">
      <c r="O4603" s="247"/>
      <c r="P4603"/>
      <c r="Q4603" s="224"/>
      <c r="S4603" s="202"/>
      <c r="T4603"/>
    </row>
    <row r="4604" spans="15:20">
      <c r="O4604" s="247"/>
      <c r="P4604"/>
      <c r="Q4604" s="224"/>
      <c r="S4604" s="202"/>
      <c r="T4604"/>
    </row>
    <row r="4605" spans="15:20">
      <c r="O4605" s="247"/>
      <c r="P4605"/>
      <c r="Q4605" s="224"/>
      <c r="S4605" s="202"/>
      <c r="T4605"/>
    </row>
    <row r="4606" spans="15:20">
      <c r="O4606" s="247"/>
      <c r="P4606"/>
      <c r="Q4606" s="224"/>
      <c r="S4606" s="202"/>
      <c r="T4606"/>
    </row>
    <row r="4607" spans="15:20">
      <c r="O4607" s="247"/>
      <c r="P4607"/>
      <c r="Q4607" s="224"/>
      <c r="S4607" s="202"/>
      <c r="T4607"/>
    </row>
    <row r="4608" spans="15:20">
      <c r="O4608" s="247"/>
      <c r="P4608"/>
      <c r="Q4608" s="224"/>
      <c r="S4608" s="202"/>
      <c r="T4608"/>
    </row>
    <row r="4609" spans="15:20">
      <c r="O4609" s="247"/>
      <c r="P4609"/>
      <c r="Q4609" s="224"/>
      <c r="S4609" s="202"/>
      <c r="T4609"/>
    </row>
    <row r="4610" spans="15:20">
      <c r="O4610" s="247"/>
      <c r="P4610"/>
      <c r="Q4610" s="224"/>
      <c r="S4610" s="202"/>
      <c r="T4610"/>
    </row>
    <row r="4611" spans="15:20">
      <c r="O4611" s="247"/>
      <c r="P4611"/>
      <c r="Q4611" s="224"/>
      <c r="S4611" s="202"/>
      <c r="T4611"/>
    </row>
    <row r="4612" spans="15:20">
      <c r="O4612" s="247"/>
      <c r="P4612"/>
      <c r="Q4612" s="224"/>
      <c r="S4612" s="202"/>
      <c r="T4612"/>
    </row>
    <row r="4613" spans="15:20">
      <c r="O4613" s="247"/>
      <c r="P4613"/>
      <c r="Q4613" s="224"/>
      <c r="S4613" s="202"/>
      <c r="T4613"/>
    </row>
    <row r="4614" spans="15:20">
      <c r="O4614" s="247"/>
      <c r="P4614"/>
      <c r="Q4614" s="224"/>
      <c r="S4614" s="202"/>
      <c r="T4614"/>
    </row>
    <row r="4615" spans="15:20">
      <c r="O4615" s="247"/>
      <c r="P4615"/>
      <c r="Q4615" s="224"/>
      <c r="S4615" s="202"/>
      <c r="T4615"/>
    </row>
    <row r="4616" spans="15:20">
      <c r="O4616" s="247"/>
      <c r="P4616"/>
      <c r="Q4616" s="224"/>
      <c r="S4616" s="202"/>
      <c r="T4616"/>
    </row>
    <row r="4617" spans="15:20">
      <c r="O4617" s="247"/>
      <c r="P4617"/>
      <c r="Q4617" s="224"/>
      <c r="S4617" s="202"/>
      <c r="T4617"/>
    </row>
    <row r="4618" spans="15:20">
      <c r="O4618" s="247"/>
      <c r="P4618"/>
      <c r="Q4618" s="224"/>
      <c r="S4618" s="202"/>
      <c r="T4618"/>
    </row>
    <row r="4619" spans="15:20">
      <c r="O4619" s="247"/>
      <c r="P4619"/>
      <c r="Q4619" s="224"/>
      <c r="S4619" s="202"/>
      <c r="T4619"/>
    </row>
    <row r="4620" spans="15:20">
      <c r="O4620" s="247"/>
      <c r="P4620"/>
      <c r="Q4620" s="224"/>
      <c r="S4620" s="202"/>
      <c r="T4620"/>
    </row>
    <row r="4621" spans="15:20">
      <c r="O4621" s="247"/>
      <c r="P4621"/>
      <c r="Q4621" s="224"/>
      <c r="S4621" s="202"/>
      <c r="T4621"/>
    </row>
    <row r="4622" spans="15:20">
      <c r="O4622" s="247"/>
      <c r="P4622"/>
      <c r="Q4622" s="224"/>
      <c r="S4622" s="202"/>
      <c r="T4622"/>
    </row>
    <row r="4623" spans="15:20">
      <c r="O4623" s="247"/>
      <c r="P4623"/>
      <c r="Q4623" s="224"/>
      <c r="S4623" s="202"/>
      <c r="T4623"/>
    </row>
    <row r="4624" spans="15:20">
      <c r="O4624" s="247"/>
      <c r="P4624"/>
      <c r="Q4624" s="224"/>
      <c r="S4624" s="202"/>
      <c r="T4624"/>
    </row>
    <row r="4625" spans="15:20">
      <c r="O4625" s="247"/>
      <c r="P4625"/>
      <c r="Q4625" s="224"/>
      <c r="S4625" s="202"/>
      <c r="T4625"/>
    </row>
    <row r="4626" spans="15:20">
      <c r="O4626" s="247"/>
      <c r="P4626"/>
      <c r="Q4626" s="224"/>
      <c r="S4626" s="202"/>
      <c r="T4626"/>
    </row>
    <row r="4627" spans="15:20">
      <c r="O4627" s="247"/>
      <c r="P4627"/>
      <c r="Q4627" s="224"/>
      <c r="S4627" s="202"/>
      <c r="T4627"/>
    </row>
    <row r="4628" spans="15:20">
      <c r="O4628" s="247"/>
      <c r="P4628"/>
      <c r="Q4628" s="224"/>
      <c r="S4628" s="202"/>
      <c r="T4628"/>
    </row>
    <row r="4629" spans="15:20">
      <c r="O4629" s="247"/>
      <c r="P4629"/>
      <c r="Q4629" s="224"/>
      <c r="S4629" s="202"/>
      <c r="T4629"/>
    </row>
    <row r="4630" spans="15:20">
      <c r="O4630" s="247"/>
      <c r="P4630"/>
      <c r="Q4630" s="224"/>
      <c r="S4630" s="202"/>
      <c r="T4630"/>
    </row>
    <row r="4631" spans="15:20">
      <c r="O4631" s="247"/>
      <c r="P4631"/>
      <c r="Q4631" s="224"/>
      <c r="S4631" s="202"/>
      <c r="T4631"/>
    </row>
    <row r="4632" spans="15:20">
      <c r="O4632" s="247"/>
      <c r="P4632"/>
      <c r="Q4632" s="224"/>
      <c r="S4632" s="202"/>
      <c r="T4632"/>
    </row>
    <row r="4633" spans="15:20">
      <c r="O4633" s="247"/>
      <c r="P4633"/>
      <c r="Q4633" s="224"/>
      <c r="S4633" s="202"/>
      <c r="T4633"/>
    </row>
    <row r="4634" spans="15:20">
      <c r="O4634" s="247"/>
      <c r="P4634"/>
      <c r="Q4634" s="224"/>
      <c r="S4634" s="202"/>
      <c r="T4634"/>
    </row>
    <row r="4635" spans="15:20">
      <c r="O4635" s="247"/>
      <c r="P4635"/>
      <c r="Q4635" s="224"/>
      <c r="S4635" s="202"/>
      <c r="T4635"/>
    </row>
    <row r="4636" spans="15:20">
      <c r="O4636" s="247"/>
      <c r="P4636"/>
      <c r="Q4636" s="224"/>
      <c r="S4636" s="202"/>
      <c r="T4636"/>
    </row>
    <row r="4637" spans="15:20">
      <c r="O4637" s="247"/>
      <c r="P4637"/>
      <c r="Q4637" s="224"/>
      <c r="S4637" s="202"/>
      <c r="T4637"/>
    </row>
    <row r="4638" spans="15:20">
      <c r="O4638" s="247"/>
      <c r="P4638"/>
      <c r="Q4638" s="224"/>
      <c r="S4638" s="202"/>
      <c r="T4638"/>
    </row>
    <row r="4639" spans="15:20">
      <c r="O4639" s="247"/>
      <c r="P4639"/>
      <c r="Q4639" s="224"/>
      <c r="S4639" s="202"/>
      <c r="T4639"/>
    </row>
    <row r="4640" spans="15:20">
      <c r="O4640" s="247"/>
      <c r="P4640"/>
      <c r="Q4640" s="224"/>
      <c r="S4640" s="202"/>
      <c r="T4640"/>
    </row>
    <row r="4641" spans="15:20">
      <c r="O4641" s="247"/>
      <c r="P4641"/>
      <c r="Q4641" s="224"/>
      <c r="S4641" s="202"/>
      <c r="T4641"/>
    </row>
    <row r="4642" spans="15:20">
      <c r="O4642" s="247"/>
      <c r="P4642"/>
      <c r="Q4642" s="224"/>
      <c r="S4642" s="202"/>
      <c r="T4642"/>
    </row>
    <row r="4643" spans="15:20">
      <c r="O4643" s="247"/>
      <c r="P4643"/>
      <c r="Q4643" s="224"/>
      <c r="S4643" s="202"/>
      <c r="T4643"/>
    </row>
    <row r="4644" spans="15:20">
      <c r="O4644" s="247"/>
      <c r="P4644"/>
      <c r="Q4644" s="224"/>
      <c r="S4644" s="202"/>
      <c r="T4644"/>
    </row>
    <row r="4645" spans="15:20">
      <c r="O4645" s="247"/>
      <c r="P4645"/>
      <c r="Q4645" s="224"/>
      <c r="S4645" s="202"/>
      <c r="T4645"/>
    </row>
    <row r="4646" spans="15:20">
      <c r="O4646" s="247"/>
      <c r="P4646"/>
      <c r="Q4646" s="224"/>
      <c r="S4646" s="202"/>
      <c r="T4646"/>
    </row>
    <row r="4647" spans="15:20">
      <c r="O4647" s="247"/>
      <c r="P4647"/>
      <c r="Q4647" s="224"/>
      <c r="S4647" s="202"/>
      <c r="T4647"/>
    </row>
    <row r="4648" spans="15:20">
      <c r="O4648" s="247"/>
      <c r="P4648"/>
      <c r="Q4648" s="224"/>
      <c r="S4648" s="202"/>
      <c r="T4648"/>
    </row>
    <row r="4649" spans="15:20">
      <c r="O4649" s="247"/>
      <c r="P4649"/>
      <c r="Q4649" s="224"/>
      <c r="S4649" s="202"/>
      <c r="T4649"/>
    </row>
    <row r="4650" spans="15:20">
      <c r="O4650" s="247"/>
      <c r="P4650"/>
      <c r="Q4650" s="224"/>
      <c r="S4650" s="202"/>
      <c r="T4650"/>
    </row>
    <row r="4651" spans="15:20">
      <c r="O4651" s="247"/>
      <c r="P4651"/>
      <c r="Q4651" s="224"/>
      <c r="S4651" s="202"/>
      <c r="T4651"/>
    </row>
    <row r="4652" spans="15:20">
      <c r="O4652" s="247"/>
      <c r="P4652"/>
      <c r="Q4652" s="224"/>
      <c r="S4652" s="202"/>
      <c r="T4652"/>
    </row>
    <row r="4653" spans="15:20">
      <c r="O4653" s="247"/>
      <c r="P4653"/>
      <c r="Q4653" s="224"/>
      <c r="S4653" s="202"/>
      <c r="T4653"/>
    </row>
    <row r="4654" spans="15:20">
      <c r="O4654" s="247"/>
      <c r="P4654"/>
      <c r="Q4654" s="224"/>
      <c r="S4654" s="202"/>
      <c r="T4654"/>
    </row>
    <row r="4655" spans="15:20">
      <c r="O4655" s="247"/>
      <c r="P4655"/>
      <c r="Q4655" s="224"/>
      <c r="S4655" s="202"/>
      <c r="T4655"/>
    </row>
    <row r="4656" spans="15:20">
      <c r="O4656" s="247"/>
      <c r="P4656"/>
      <c r="Q4656" s="224"/>
      <c r="S4656" s="202"/>
      <c r="T4656"/>
    </row>
    <row r="4657" spans="15:20">
      <c r="O4657" s="247"/>
      <c r="P4657"/>
      <c r="Q4657" s="224"/>
      <c r="S4657" s="202"/>
      <c r="T4657"/>
    </row>
    <row r="4658" spans="15:20">
      <c r="O4658" s="247"/>
      <c r="P4658"/>
      <c r="Q4658" s="224"/>
      <c r="S4658" s="202"/>
      <c r="T4658"/>
    </row>
    <row r="4659" spans="15:20">
      <c r="O4659" s="247"/>
      <c r="P4659"/>
      <c r="Q4659" s="224"/>
      <c r="S4659" s="202"/>
      <c r="T4659"/>
    </row>
    <row r="4660" spans="15:20">
      <c r="O4660" s="247"/>
      <c r="P4660"/>
      <c r="Q4660" s="224"/>
      <c r="S4660" s="202"/>
      <c r="T4660"/>
    </row>
    <row r="4661" spans="15:20">
      <c r="O4661" s="247"/>
      <c r="P4661"/>
      <c r="Q4661" s="224"/>
      <c r="S4661" s="202"/>
      <c r="T4661"/>
    </row>
    <row r="4662" spans="15:20">
      <c r="O4662" s="247"/>
      <c r="P4662"/>
      <c r="Q4662" s="224"/>
      <c r="S4662" s="202"/>
      <c r="T4662"/>
    </row>
    <row r="4663" spans="15:20">
      <c r="O4663" s="247"/>
      <c r="P4663"/>
      <c r="Q4663" s="224"/>
      <c r="S4663" s="202"/>
      <c r="T4663"/>
    </row>
    <row r="4664" spans="15:20">
      <c r="O4664" s="247"/>
      <c r="P4664"/>
      <c r="Q4664" s="224"/>
      <c r="S4664" s="202"/>
      <c r="T4664"/>
    </row>
    <row r="4665" spans="15:20">
      <c r="O4665" s="247"/>
      <c r="P4665"/>
      <c r="Q4665" s="224"/>
      <c r="S4665" s="202"/>
      <c r="T4665"/>
    </row>
    <row r="4666" spans="15:20">
      <c r="O4666" s="247"/>
      <c r="P4666"/>
      <c r="Q4666" s="224"/>
      <c r="S4666" s="202"/>
      <c r="T4666"/>
    </row>
    <row r="4667" spans="15:20">
      <c r="O4667" s="247"/>
      <c r="P4667"/>
      <c r="Q4667" s="224"/>
      <c r="S4667" s="202"/>
      <c r="T4667"/>
    </row>
    <row r="4668" spans="15:20">
      <c r="O4668" s="247"/>
      <c r="P4668"/>
      <c r="Q4668" s="224"/>
      <c r="S4668" s="202"/>
      <c r="T4668"/>
    </row>
    <row r="4669" spans="15:20">
      <c r="O4669" s="247"/>
      <c r="P4669"/>
      <c r="Q4669" s="224"/>
      <c r="S4669" s="202"/>
      <c r="T4669"/>
    </row>
    <row r="4670" spans="15:20">
      <c r="O4670" s="247"/>
      <c r="P4670"/>
      <c r="Q4670" s="224"/>
      <c r="S4670" s="202"/>
      <c r="T4670"/>
    </row>
    <row r="4671" spans="15:20">
      <c r="O4671" s="247"/>
      <c r="P4671"/>
      <c r="Q4671" s="224"/>
      <c r="S4671" s="202"/>
      <c r="T4671"/>
    </row>
    <row r="4672" spans="15:20">
      <c r="O4672" s="247"/>
      <c r="P4672"/>
      <c r="Q4672" s="224"/>
      <c r="S4672" s="202"/>
      <c r="T4672"/>
    </row>
    <row r="4673" spans="15:20">
      <c r="O4673" s="247"/>
      <c r="P4673"/>
      <c r="Q4673" s="224"/>
      <c r="S4673" s="202"/>
      <c r="T4673"/>
    </row>
    <row r="4674" spans="15:20">
      <c r="O4674" s="247"/>
      <c r="P4674"/>
      <c r="Q4674" s="224"/>
      <c r="S4674" s="202"/>
      <c r="T4674"/>
    </row>
    <row r="4675" spans="15:20">
      <c r="O4675" s="247"/>
      <c r="P4675"/>
      <c r="Q4675" s="224"/>
      <c r="S4675" s="202"/>
      <c r="T4675"/>
    </row>
    <row r="4676" spans="15:20">
      <c r="O4676" s="247"/>
      <c r="P4676"/>
      <c r="Q4676" s="224"/>
      <c r="S4676" s="202"/>
      <c r="T4676"/>
    </row>
    <row r="4677" spans="15:20">
      <c r="O4677" s="247"/>
      <c r="P4677"/>
      <c r="Q4677" s="224"/>
      <c r="S4677" s="202"/>
      <c r="T4677"/>
    </row>
    <row r="4678" spans="15:20">
      <c r="O4678" s="247"/>
      <c r="P4678"/>
      <c r="Q4678" s="224"/>
      <c r="S4678" s="202"/>
      <c r="T4678"/>
    </row>
    <row r="4679" spans="15:20">
      <c r="O4679" s="247"/>
      <c r="P4679"/>
      <c r="Q4679" s="224"/>
      <c r="S4679" s="202"/>
      <c r="T4679"/>
    </row>
    <row r="4680" spans="15:20">
      <c r="O4680" s="247"/>
      <c r="P4680"/>
      <c r="Q4680" s="224"/>
      <c r="S4680" s="202"/>
      <c r="T4680"/>
    </row>
    <row r="4681" spans="15:20">
      <c r="O4681" s="247"/>
      <c r="P4681"/>
      <c r="Q4681" s="224"/>
      <c r="S4681" s="202"/>
      <c r="T4681"/>
    </row>
    <row r="4682" spans="15:20">
      <c r="O4682" s="247"/>
      <c r="P4682"/>
      <c r="Q4682" s="224"/>
      <c r="S4682" s="202"/>
      <c r="T4682"/>
    </row>
    <row r="4683" spans="15:20">
      <c r="O4683" s="247"/>
      <c r="P4683"/>
      <c r="Q4683" s="224"/>
      <c r="S4683" s="202"/>
      <c r="T4683"/>
    </row>
    <row r="4684" spans="15:20">
      <c r="O4684" s="247"/>
      <c r="P4684"/>
      <c r="Q4684" s="224"/>
      <c r="S4684" s="202"/>
      <c r="T4684"/>
    </row>
    <row r="4685" spans="15:20">
      <c r="O4685" s="247"/>
      <c r="P4685"/>
      <c r="Q4685" s="224"/>
      <c r="S4685" s="202"/>
      <c r="T4685"/>
    </row>
    <row r="4686" spans="15:20">
      <c r="O4686" s="247"/>
      <c r="P4686"/>
      <c r="Q4686" s="224"/>
      <c r="S4686" s="202"/>
      <c r="T4686"/>
    </row>
    <row r="4687" spans="15:20">
      <c r="O4687" s="247"/>
      <c r="P4687"/>
      <c r="Q4687" s="224"/>
      <c r="S4687" s="202"/>
      <c r="T4687"/>
    </row>
    <row r="4688" spans="15:20">
      <c r="O4688" s="247"/>
      <c r="P4688"/>
      <c r="Q4688" s="224"/>
      <c r="S4688" s="202"/>
      <c r="T4688"/>
    </row>
    <row r="4689" spans="15:20">
      <c r="O4689" s="247"/>
      <c r="P4689"/>
      <c r="Q4689" s="224"/>
      <c r="S4689" s="202"/>
      <c r="T4689"/>
    </row>
    <row r="4690" spans="15:20">
      <c r="O4690" s="247"/>
      <c r="P4690"/>
      <c r="Q4690" s="224"/>
      <c r="S4690" s="202"/>
      <c r="T4690"/>
    </row>
    <row r="4691" spans="15:20">
      <c r="O4691" s="247"/>
      <c r="P4691"/>
      <c r="Q4691" s="224"/>
      <c r="S4691" s="202"/>
      <c r="T4691"/>
    </row>
    <row r="4692" spans="15:20">
      <c r="O4692" s="247"/>
      <c r="P4692"/>
      <c r="Q4692" s="224"/>
      <c r="S4692" s="202"/>
      <c r="T4692"/>
    </row>
    <row r="4693" spans="15:20">
      <c r="O4693" s="247"/>
      <c r="P4693"/>
      <c r="Q4693" s="224"/>
      <c r="S4693" s="202"/>
      <c r="T4693"/>
    </row>
    <row r="4694" spans="15:20">
      <c r="O4694" s="247"/>
      <c r="P4694"/>
      <c r="Q4694" s="224"/>
      <c r="S4694" s="202"/>
      <c r="T4694"/>
    </row>
    <row r="4695" spans="15:20">
      <c r="O4695" s="247"/>
      <c r="P4695"/>
      <c r="Q4695" s="224"/>
      <c r="S4695" s="202"/>
      <c r="T4695"/>
    </row>
    <row r="4696" spans="15:20">
      <c r="O4696" s="247"/>
      <c r="P4696"/>
      <c r="Q4696" s="224"/>
      <c r="S4696" s="202"/>
      <c r="T4696"/>
    </row>
    <row r="4697" spans="15:20">
      <c r="O4697" s="247"/>
      <c r="P4697"/>
      <c r="Q4697" s="224"/>
      <c r="S4697" s="202"/>
      <c r="T4697"/>
    </row>
    <row r="4698" spans="15:20">
      <c r="O4698" s="247"/>
      <c r="P4698"/>
      <c r="Q4698" s="224"/>
      <c r="S4698" s="202"/>
      <c r="T4698"/>
    </row>
    <row r="4699" spans="15:20">
      <c r="O4699" s="247"/>
      <c r="P4699"/>
      <c r="Q4699" s="224"/>
      <c r="S4699" s="202"/>
      <c r="T4699"/>
    </row>
    <row r="4700" spans="15:20">
      <c r="O4700" s="247"/>
      <c r="P4700"/>
      <c r="Q4700" s="224"/>
      <c r="S4700" s="202"/>
      <c r="T4700"/>
    </row>
    <row r="4701" spans="15:20">
      <c r="O4701" s="247"/>
      <c r="P4701"/>
      <c r="Q4701" s="224"/>
      <c r="S4701" s="202"/>
      <c r="T4701"/>
    </row>
    <row r="4702" spans="15:20">
      <c r="O4702" s="247"/>
      <c r="P4702"/>
      <c r="Q4702" s="224"/>
      <c r="S4702" s="202"/>
      <c r="T4702"/>
    </row>
    <row r="4703" spans="15:20">
      <c r="O4703" s="247"/>
      <c r="P4703"/>
      <c r="Q4703" s="224"/>
      <c r="S4703" s="202"/>
      <c r="T4703"/>
    </row>
    <row r="4704" spans="15:20">
      <c r="O4704" s="247"/>
      <c r="P4704"/>
      <c r="Q4704" s="224"/>
      <c r="S4704" s="202"/>
      <c r="T4704"/>
    </row>
    <row r="4705" spans="15:20">
      <c r="O4705" s="247"/>
      <c r="P4705"/>
      <c r="Q4705" s="224"/>
      <c r="S4705" s="202"/>
      <c r="T4705"/>
    </row>
    <row r="4706" spans="15:20">
      <c r="O4706" s="247"/>
      <c r="P4706"/>
      <c r="Q4706" s="224"/>
      <c r="S4706" s="202"/>
      <c r="T4706"/>
    </row>
    <row r="4707" spans="15:20">
      <c r="O4707" s="247"/>
      <c r="P4707"/>
      <c r="Q4707" s="224"/>
      <c r="S4707" s="202"/>
      <c r="T4707"/>
    </row>
    <row r="4708" spans="15:20">
      <c r="O4708" s="247"/>
      <c r="P4708"/>
      <c r="Q4708" s="224"/>
      <c r="S4708" s="202"/>
      <c r="T4708"/>
    </row>
    <row r="4709" spans="15:20">
      <c r="O4709" s="247"/>
      <c r="P4709"/>
      <c r="Q4709" s="224"/>
      <c r="S4709" s="202"/>
      <c r="T4709"/>
    </row>
    <row r="4710" spans="15:20">
      <c r="O4710" s="247"/>
      <c r="P4710"/>
      <c r="Q4710" s="224"/>
      <c r="S4710" s="202"/>
      <c r="T4710"/>
    </row>
    <row r="4711" spans="15:20">
      <c r="O4711" s="247"/>
      <c r="P4711"/>
      <c r="Q4711" s="224"/>
      <c r="S4711" s="202"/>
      <c r="T4711"/>
    </row>
    <row r="4712" spans="15:20">
      <c r="O4712" s="247"/>
      <c r="P4712"/>
      <c r="Q4712" s="224"/>
      <c r="S4712" s="202"/>
      <c r="T4712"/>
    </row>
    <row r="4713" spans="15:20">
      <c r="O4713" s="247"/>
      <c r="P4713"/>
      <c r="Q4713" s="224"/>
      <c r="S4713" s="202"/>
      <c r="T4713"/>
    </row>
    <row r="4714" spans="15:20">
      <c r="O4714" s="247"/>
      <c r="P4714"/>
      <c r="Q4714" s="224"/>
      <c r="S4714" s="202"/>
      <c r="T4714"/>
    </row>
    <row r="4715" spans="15:20">
      <c r="O4715" s="247"/>
      <c r="P4715"/>
      <c r="Q4715" s="224"/>
      <c r="S4715" s="202"/>
      <c r="T4715"/>
    </row>
    <row r="4716" spans="15:20">
      <c r="O4716" s="247"/>
      <c r="P4716"/>
      <c r="Q4716" s="224"/>
      <c r="S4716" s="202"/>
      <c r="T4716"/>
    </row>
    <row r="4717" spans="15:20">
      <c r="O4717" s="247"/>
      <c r="P4717"/>
      <c r="Q4717" s="224"/>
      <c r="S4717" s="202"/>
      <c r="T4717"/>
    </row>
    <row r="4718" spans="15:20">
      <c r="O4718" s="247"/>
      <c r="P4718"/>
      <c r="Q4718" s="224"/>
      <c r="S4718" s="202"/>
      <c r="T4718"/>
    </row>
    <row r="4719" spans="15:20">
      <c r="O4719" s="247"/>
      <c r="P4719"/>
      <c r="Q4719" s="224"/>
      <c r="S4719" s="202"/>
      <c r="T4719"/>
    </row>
    <row r="4720" spans="15:20">
      <c r="O4720" s="247"/>
      <c r="P4720"/>
      <c r="Q4720" s="224"/>
      <c r="S4720" s="202"/>
      <c r="T4720"/>
    </row>
    <row r="4721" spans="15:20">
      <c r="O4721" s="247"/>
      <c r="P4721"/>
      <c r="Q4721" s="224"/>
      <c r="S4721" s="202"/>
      <c r="T4721"/>
    </row>
    <row r="4722" spans="15:20">
      <c r="O4722" s="247"/>
      <c r="P4722"/>
      <c r="Q4722" s="224"/>
      <c r="S4722" s="202"/>
      <c r="T4722"/>
    </row>
    <row r="4723" spans="15:20">
      <c r="O4723" s="247"/>
      <c r="P4723"/>
      <c r="Q4723" s="224"/>
      <c r="S4723" s="202"/>
      <c r="T4723"/>
    </row>
    <row r="4724" spans="15:20">
      <c r="O4724" s="247"/>
      <c r="P4724"/>
      <c r="Q4724" s="224"/>
      <c r="S4724" s="202"/>
      <c r="T4724"/>
    </row>
    <row r="4725" spans="15:20">
      <c r="O4725" s="247"/>
      <c r="P4725"/>
      <c r="Q4725" s="224"/>
      <c r="S4725" s="202"/>
      <c r="T4725"/>
    </row>
    <row r="4726" spans="15:20">
      <c r="O4726" s="247"/>
      <c r="P4726"/>
      <c r="Q4726" s="224"/>
      <c r="S4726" s="202"/>
      <c r="T4726"/>
    </row>
    <row r="4727" spans="15:20">
      <c r="O4727" s="247"/>
      <c r="P4727"/>
      <c r="Q4727" s="224"/>
      <c r="S4727" s="202"/>
      <c r="T4727"/>
    </row>
    <row r="4728" spans="15:20">
      <c r="O4728" s="247"/>
      <c r="P4728"/>
      <c r="Q4728" s="224"/>
      <c r="S4728" s="202"/>
      <c r="T4728"/>
    </row>
    <row r="4729" spans="15:20">
      <c r="O4729" s="247"/>
      <c r="P4729"/>
      <c r="Q4729" s="224"/>
      <c r="S4729" s="202"/>
      <c r="T4729"/>
    </row>
    <row r="4730" spans="15:20">
      <c r="O4730" s="247"/>
      <c r="P4730"/>
      <c r="Q4730" s="224"/>
      <c r="S4730" s="202"/>
      <c r="T4730"/>
    </row>
    <row r="4731" spans="15:20">
      <c r="O4731" s="247"/>
      <c r="P4731"/>
      <c r="Q4731" s="224"/>
      <c r="S4731" s="202"/>
      <c r="T4731"/>
    </row>
    <row r="4732" spans="15:20">
      <c r="O4732" s="247"/>
      <c r="P4732"/>
      <c r="Q4732" s="224"/>
      <c r="S4732" s="202"/>
      <c r="T4732"/>
    </row>
    <row r="4733" spans="15:20">
      <c r="O4733" s="247"/>
      <c r="P4733"/>
      <c r="Q4733" s="224"/>
      <c r="S4733" s="202"/>
      <c r="T4733"/>
    </row>
    <row r="4734" spans="15:20">
      <c r="O4734" s="247"/>
      <c r="P4734"/>
      <c r="Q4734" s="224"/>
      <c r="S4734" s="202"/>
      <c r="T4734"/>
    </row>
    <row r="4735" spans="15:20">
      <c r="O4735" s="247"/>
      <c r="P4735"/>
      <c r="Q4735" s="224"/>
      <c r="S4735" s="202"/>
      <c r="T4735"/>
    </row>
    <row r="4736" spans="15:20">
      <c r="O4736" s="247"/>
      <c r="P4736"/>
      <c r="Q4736" s="224"/>
      <c r="S4736" s="202"/>
      <c r="T4736"/>
    </row>
    <row r="4737" spans="15:20">
      <c r="O4737" s="247"/>
      <c r="P4737"/>
      <c r="Q4737" s="224"/>
      <c r="S4737" s="202"/>
      <c r="T4737"/>
    </row>
    <row r="4738" spans="15:20">
      <c r="O4738" s="247"/>
      <c r="P4738"/>
      <c r="Q4738" s="224"/>
      <c r="S4738" s="202"/>
      <c r="T4738"/>
    </row>
    <row r="4739" spans="15:20">
      <c r="O4739" s="247"/>
      <c r="P4739"/>
      <c r="Q4739" s="224"/>
      <c r="S4739" s="202"/>
      <c r="T4739"/>
    </row>
    <row r="4740" spans="15:20">
      <c r="O4740" s="247"/>
      <c r="P4740"/>
      <c r="Q4740" s="224"/>
      <c r="S4740" s="202"/>
      <c r="T4740"/>
    </row>
    <row r="4741" spans="15:20">
      <c r="O4741" s="247"/>
      <c r="P4741"/>
      <c r="Q4741" s="224"/>
      <c r="S4741" s="202"/>
      <c r="T4741"/>
    </row>
    <row r="4742" spans="15:20">
      <c r="O4742" s="247"/>
      <c r="P4742"/>
      <c r="Q4742" s="224"/>
      <c r="S4742" s="202"/>
      <c r="T4742"/>
    </row>
    <row r="4743" spans="15:20">
      <c r="O4743" s="247"/>
      <c r="P4743"/>
      <c r="Q4743" s="224"/>
      <c r="S4743" s="202"/>
      <c r="T4743"/>
    </row>
    <row r="4744" spans="15:20">
      <c r="O4744" s="247"/>
      <c r="P4744"/>
      <c r="Q4744" s="224"/>
      <c r="S4744" s="202"/>
      <c r="T4744"/>
    </row>
    <row r="4745" spans="15:20">
      <c r="O4745" s="247"/>
      <c r="P4745"/>
      <c r="Q4745" s="224"/>
      <c r="S4745" s="202"/>
      <c r="T4745"/>
    </row>
    <row r="4746" spans="15:20">
      <c r="O4746" s="247"/>
      <c r="P4746"/>
      <c r="Q4746" s="224"/>
      <c r="S4746" s="202"/>
      <c r="T4746"/>
    </row>
    <row r="4747" spans="15:20">
      <c r="O4747" s="247"/>
      <c r="P4747"/>
      <c r="Q4747" s="224"/>
      <c r="S4747" s="202"/>
      <c r="T4747"/>
    </row>
    <row r="4748" spans="15:20">
      <c r="O4748" s="247"/>
      <c r="P4748"/>
      <c r="Q4748" s="224"/>
      <c r="S4748" s="202"/>
      <c r="T4748"/>
    </row>
    <row r="4749" spans="15:20">
      <c r="O4749" s="247"/>
      <c r="P4749"/>
      <c r="Q4749" s="224"/>
      <c r="S4749" s="202"/>
      <c r="T4749"/>
    </row>
    <row r="4750" spans="15:20">
      <c r="O4750" s="247"/>
      <c r="P4750"/>
      <c r="Q4750" s="224"/>
      <c r="S4750" s="202"/>
      <c r="T4750"/>
    </row>
    <row r="4751" spans="15:20">
      <c r="O4751" s="247"/>
      <c r="P4751"/>
      <c r="Q4751" s="224"/>
      <c r="S4751" s="202"/>
      <c r="T4751"/>
    </row>
    <row r="4752" spans="15:20">
      <c r="O4752" s="247"/>
      <c r="P4752"/>
      <c r="Q4752" s="224"/>
      <c r="S4752" s="202"/>
      <c r="T4752"/>
    </row>
    <row r="4753" spans="15:20">
      <c r="O4753" s="247"/>
      <c r="P4753"/>
      <c r="Q4753" s="224"/>
      <c r="S4753" s="202"/>
      <c r="T4753"/>
    </row>
    <row r="4754" spans="15:20">
      <c r="O4754" s="247"/>
      <c r="P4754"/>
      <c r="Q4754" s="224"/>
      <c r="S4754" s="202"/>
      <c r="T4754"/>
    </row>
    <row r="4755" spans="15:20">
      <c r="O4755" s="247"/>
      <c r="P4755"/>
      <c r="Q4755" s="224"/>
      <c r="S4755" s="202"/>
      <c r="T4755"/>
    </row>
    <row r="4756" spans="15:20">
      <c r="O4756" s="247"/>
      <c r="P4756"/>
      <c r="Q4756" s="224"/>
      <c r="S4756" s="202"/>
      <c r="T4756"/>
    </row>
    <row r="4757" spans="15:20">
      <c r="O4757" s="247"/>
      <c r="P4757"/>
      <c r="Q4757" s="224"/>
      <c r="S4757" s="202"/>
      <c r="T4757"/>
    </row>
    <row r="4758" spans="15:20">
      <c r="O4758" s="247"/>
      <c r="P4758"/>
      <c r="Q4758" s="224"/>
      <c r="S4758" s="202"/>
      <c r="T4758"/>
    </row>
    <row r="4759" spans="15:20">
      <c r="O4759" s="247"/>
      <c r="P4759"/>
      <c r="Q4759" s="224"/>
      <c r="S4759" s="202"/>
      <c r="T4759"/>
    </row>
    <row r="4760" spans="15:20">
      <c r="O4760" s="247"/>
      <c r="P4760"/>
      <c r="Q4760" s="224"/>
      <c r="S4760" s="202"/>
      <c r="T4760"/>
    </row>
    <row r="4761" spans="15:20">
      <c r="O4761" s="247"/>
      <c r="P4761"/>
      <c r="Q4761" s="224"/>
      <c r="S4761" s="202"/>
      <c r="T4761"/>
    </row>
    <row r="4762" spans="15:20">
      <c r="O4762" s="247"/>
      <c r="P4762"/>
      <c r="Q4762" s="224"/>
      <c r="S4762" s="202"/>
      <c r="T4762"/>
    </row>
    <row r="4763" spans="15:20">
      <c r="O4763" s="247"/>
      <c r="P4763"/>
      <c r="Q4763" s="224"/>
      <c r="S4763" s="202"/>
      <c r="T4763"/>
    </row>
    <row r="4764" spans="15:20">
      <c r="O4764" s="247"/>
      <c r="P4764"/>
      <c r="Q4764" s="224"/>
      <c r="S4764" s="202"/>
      <c r="T4764"/>
    </row>
    <row r="4765" spans="15:20">
      <c r="O4765" s="247"/>
      <c r="P4765"/>
      <c r="Q4765" s="224"/>
      <c r="S4765" s="202"/>
      <c r="T4765"/>
    </row>
    <row r="4766" spans="15:20">
      <c r="O4766" s="247"/>
      <c r="P4766"/>
      <c r="Q4766" s="224"/>
      <c r="S4766" s="202"/>
      <c r="T4766"/>
    </row>
    <row r="4767" spans="15:20">
      <c r="O4767" s="247"/>
      <c r="P4767"/>
      <c r="Q4767" s="224"/>
      <c r="S4767" s="202"/>
      <c r="T4767"/>
    </row>
    <row r="4768" spans="15:20">
      <c r="O4768" s="247"/>
      <c r="P4768"/>
      <c r="Q4768" s="224"/>
      <c r="S4768" s="202"/>
      <c r="T4768"/>
    </row>
    <row r="4769" spans="15:20">
      <c r="O4769" s="247"/>
      <c r="P4769"/>
      <c r="Q4769" s="224"/>
      <c r="S4769" s="202"/>
      <c r="T4769"/>
    </row>
    <row r="4770" spans="15:20">
      <c r="O4770" s="247"/>
      <c r="P4770"/>
      <c r="Q4770" s="224"/>
      <c r="S4770" s="202"/>
      <c r="T4770"/>
    </row>
    <row r="4771" spans="15:20">
      <c r="O4771" s="247"/>
      <c r="P4771"/>
      <c r="Q4771" s="224"/>
      <c r="S4771" s="202"/>
      <c r="T4771"/>
    </row>
    <row r="4772" spans="15:20">
      <c r="O4772" s="247"/>
      <c r="P4772"/>
      <c r="Q4772" s="224"/>
      <c r="S4772" s="202"/>
      <c r="T4772"/>
    </row>
    <row r="4773" spans="15:20">
      <c r="O4773" s="247"/>
      <c r="P4773"/>
      <c r="Q4773" s="224"/>
      <c r="S4773" s="202"/>
      <c r="T4773"/>
    </row>
    <row r="4774" spans="15:20">
      <c r="O4774" s="247"/>
      <c r="P4774"/>
      <c r="Q4774" s="224"/>
      <c r="S4774" s="202"/>
      <c r="T4774"/>
    </row>
    <row r="4775" spans="15:20">
      <c r="O4775" s="247"/>
      <c r="P4775"/>
      <c r="Q4775" s="224"/>
      <c r="S4775" s="202"/>
      <c r="T4775"/>
    </row>
    <row r="4776" spans="15:20">
      <c r="O4776" s="247"/>
      <c r="P4776"/>
      <c r="Q4776" s="224"/>
      <c r="S4776" s="202"/>
      <c r="T4776"/>
    </row>
    <row r="4777" spans="15:20">
      <c r="O4777" s="247"/>
      <c r="P4777"/>
      <c r="Q4777" s="224"/>
      <c r="S4777" s="202"/>
      <c r="T4777"/>
    </row>
    <row r="4778" spans="15:20">
      <c r="O4778" s="247"/>
      <c r="P4778"/>
      <c r="Q4778" s="224"/>
      <c r="S4778" s="202"/>
      <c r="T4778"/>
    </row>
    <row r="4779" spans="15:20">
      <c r="O4779" s="247"/>
      <c r="P4779"/>
      <c r="Q4779" s="224"/>
      <c r="S4779" s="202"/>
      <c r="T4779"/>
    </row>
    <row r="4780" spans="15:20">
      <c r="O4780" s="247"/>
      <c r="P4780"/>
      <c r="Q4780" s="224"/>
      <c r="S4780" s="202"/>
      <c r="T4780"/>
    </row>
    <row r="4781" spans="15:20">
      <c r="O4781" s="247"/>
      <c r="P4781"/>
      <c r="Q4781" s="224"/>
      <c r="S4781" s="202"/>
      <c r="T4781"/>
    </row>
    <row r="4782" spans="15:20">
      <c r="O4782" s="247"/>
      <c r="P4782"/>
      <c r="Q4782" s="224"/>
      <c r="S4782" s="202"/>
      <c r="T4782"/>
    </row>
    <row r="4783" spans="15:20">
      <c r="O4783" s="247"/>
      <c r="P4783"/>
      <c r="Q4783" s="224"/>
      <c r="S4783" s="202"/>
      <c r="T4783"/>
    </row>
    <row r="4784" spans="15:20">
      <c r="O4784" s="247"/>
      <c r="P4784"/>
      <c r="Q4784" s="224"/>
      <c r="S4784" s="202"/>
      <c r="T4784"/>
    </row>
    <row r="4785" spans="15:20">
      <c r="O4785" s="247"/>
      <c r="P4785"/>
      <c r="Q4785" s="224"/>
      <c r="S4785" s="202"/>
      <c r="T4785"/>
    </row>
    <row r="4786" spans="15:20">
      <c r="O4786" s="247"/>
      <c r="P4786"/>
      <c r="Q4786" s="224"/>
      <c r="S4786" s="202"/>
      <c r="T4786"/>
    </row>
    <row r="4787" spans="15:20">
      <c r="O4787" s="247"/>
      <c r="P4787"/>
      <c r="Q4787" s="224"/>
      <c r="S4787" s="202"/>
      <c r="T4787"/>
    </row>
    <row r="4788" spans="15:20">
      <c r="O4788" s="247"/>
      <c r="P4788"/>
      <c r="Q4788" s="224"/>
      <c r="S4788" s="202"/>
      <c r="T4788"/>
    </row>
    <row r="4789" spans="15:20">
      <c r="O4789" s="247"/>
      <c r="P4789"/>
      <c r="Q4789" s="224"/>
      <c r="S4789" s="202"/>
      <c r="T4789"/>
    </row>
    <row r="4790" spans="15:20">
      <c r="O4790" s="247"/>
      <c r="P4790"/>
      <c r="Q4790" s="224"/>
      <c r="S4790" s="202"/>
      <c r="T4790"/>
    </row>
    <row r="4791" spans="15:20">
      <c r="O4791" s="247"/>
      <c r="P4791"/>
      <c r="Q4791" s="224"/>
      <c r="S4791" s="202"/>
      <c r="T4791"/>
    </row>
    <row r="4792" spans="15:20">
      <c r="O4792" s="247"/>
      <c r="P4792"/>
      <c r="Q4792" s="224"/>
      <c r="S4792" s="202"/>
      <c r="T4792"/>
    </row>
    <row r="4793" spans="15:20">
      <c r="O4793" s="247"/>
      <c r="P4793"/>
      <c r="Q4793" s="224"/>
      <c r="S4793" s="202"/>
      <c r="T4793"/>
    </row>
    <row r="4794" spans="15:20">
      <c r="O4794" s="247"/>
      <c r="P4794"/>
      <c r="Q4794" s="224"/>
      <c r="S4794" s="202"/>
      <c r="T4794"/>
    </row>
    <row r="4795" spans="15:20">
      <c r="O4795" s="247"/>
      <c r="P4795"/>
      <c r="Q4795" s="224"/>
      <c r="S4795" s="202"/>
      <c r="T4795"/>
    </row>
    <row r="4796" spans="15:20">
      <c r="O4796" s="247"/>
      <c r="P4796"/>
      <c r="Q4796" s="224"/>
      <c r="S4796" s="202"/>
      <c r="T4796"/>
    </row>
    <row r="4797" spans="15:20">
      <c r="O4797" s="247"/>
      <c r="P4797"/>
      <c r="Q4797" s="224"/>
      <c r="S4797" s="202"/>
      <c r="T4797"/>
    </row>
    <row r="4798" spans="15:20">
      <c r="O4798" s="247"/>
      <c r="P4798"/>
      <c r="Q4798" s="224"/>
      <c r="S4798" s="202"/>
      <c r="T4798"/>
    </row>
    <row r="4799" spans="15:20">
      <c r="O4799" s="247"/>
      <c r="P4799"/>
      <c r="Q4799" s="224"/>
      <c r="S4799" s="202"/>
      <c r="T4799"/>
    </row>
    <row r="4800" spans="15:20">
      <c r="O4800" s="247"/>
      <c r="P4800"/>
      <c r="Q4800" s="224"/>
      <c r="S4800" s="202"/>
      <c r="T4800"/>
    </row>
    <row r="4801" spans="15:20">
      <c r="O4801" s="247"/>
      <c r="P4801"/>
      <c r="Q4801" s="224"/>
      <c r="S4801" s="202"/>
      <c r="T4801"/>
    </row>
    <row r="4802" spans="15:20">
      <c r="O4802" s="247"/>
      <c r="P4802"/>
      <c r="Q4802" s="224"/>
      <c r="S4802" s="202"/>
      <c r="T4802"/>
    </row>
    <row r="4803" spans="15:20">
      <c r="O4803" s="247"/>
      <c r="P4803"/>
      <c r="Q4803" s="224"/>
      <c r="S4803" s="202"/>
      <c r="T4803"/>
    </row>
    <row r="4804" spans="15:20">
      <c r="O4804" s="247"/>
      <c r="P4804"/>
      <c r="Q4804" s="224"/>
      <c r="S4804" s="202"/>
      <c r="T4804"/>
    </row>
    <row r="4805" spans="15:20">
      <c r="O4805" s="247"/>
      <c r="P4805"/>
      <c r="Q4805" s="224"/>
      <c r="S4805" s="202"/>
      <c r="T4805"/>
    </row>
    <row r="4806" spans="15:20">
      <c r="O4806" s="247"/>
      <c r="P4806"/>
      <c r="Q4806" s="224"/>
      <c r="S4806" s="202"/>
      <c r="T4806"/>
    </row>
    <row r="4807" spans="15:20">
      <c r="O4807" s="247"/>
      <c r="P4807"/>
      <c r="Q4807" s="224"/>
      <c r="S4807" s="202"/>
      <c r="T4807"/>
    </row>
    <row r="4808" spans="15:20">
      <c r="O4808" s="247"/>
      <c r="P4808"/>
      <c r="Q4808" s="224"/>
      <c r="S4808" s="202"/>
      <c r="T4808"/>
    </row>
    <row r="4809" spans="15:20">
      <c r="O4809" s="247"/>
      <c r="P4809"/>
      <c r="Q4809" s="224"/>
      <c r="S4809" s="202"/>
      <c r="T4809"/>
    </row>
    <row r="4810" spans="15:20">
      <c r="O4810" s="247"/>
      <c r="P4810"/>
      <c r="Q4810" s="224"/>
      <c r="S4810" s="202"/>
      <c r="T4810"/>
    </row>
    <row r="4811" spans="15:20">
      <c r="O4811" s="247"/>
      <c r="P4811"/>
      <c r="Q4811" s="224"/>
      <c r="S4811" s="202"/>
      <c r="T4811"/>
    </row>
    <row r="4812" spans="15:20">
      <c r="O4812" s="247"/>
      <c r="P4812"/>
      <c r="Q4812" s="224"/>
      <c r="S4812" s="202"/>
      <c r="T4812"/>
    </row>
    <row r="4813" spans="15:20">
      <c r="O4813" s="247"/>
      <c r="P4813"/>
      <c r="Q4813" s="224"/>
      <c r="S4813" s="202"/>
      <c r="T4813"/>
    </row>
    <row r="4814" spans="15:20">
      <c r="O4814" s="247"/>
      <c r="P4814"/>
      <c r="Q4814" s="224"/>
      <c r="S4814" s="202"/>
      <c r="T4814"/>
    </row>
    <row r="4815" spans="15:20">
      <c r="O4815" s="247"/>
      <c r="P4815"/>
      <c r="Q4815" s="224"/>
      <c r="S4815" s="202"/>
      <c r="T4815"/>
    </row>
    <row r="4816" spans="15:20">
      <c r="O4816" s="247"/>
      <c r="P4816"/>
      <c r="Q4816" s="224"/>
      <c r="S4816" s="202"/>
      <c r="T4816"/>
    </row>
    <row r="4817" spans="15:20">
      <c r="O4817" s="247"/>
      <c r="P4817"/>
      <c r="Q4817" s="224"/>
      <c r="S4817" s="202"/>
      <c r="T4817"/>
    </row>
    <row r="4818" spans="15:20">
      <c r="O4818" s="247"/>
      <c r="P4818"/>
      <c r="Q4818" s="224"/>
      <c r="S4818" s="202"/>
      <c r="T4818"/>
    </row>
    <row r="4819" spans="15:20">
      <c r="O4819" s="247"/>
      <c r="P4819"/>
      <c r="Q4819" s="224"/>
      <c r="S4819" s="202"/>
      <c r="T4819"/>
    </row>
    <row r="4820" spans="15:20">
      <c r="O4820" s="247"/>
      <c r="P4820"/>
      <c r="Q4820" s="224"/>
      <c r="S4820" s="202"/>
      <c r="T4820"/>
    </row>
    <row r="4821" spans="15:20">
      <c r="O4821" s="247"/>
      <c r="P4821"/>
      <c r="Q4821" s="224"/>
      <c r="S4821" s="202"/>
      <c r="T4821"/>
    </row>
    <row r="4822" spans="15:20">
      <c r="O4822" s="247"/>
      <c r="P4822"/>
      <c r="Q4822" s="224"/>
      <c r="S4822" s="202"/>
      <c r="T4822"/>
    </row>
    <row r="4823" spans="15:20">
      <c r="O4823" s="247"/>
      <c r="P4823"/>
      <c r="Q4823" s="224"/>
      <c r="S4823" s="202"/>
      <c r="T4823"/>
    </row>
    <row r="4824" spans="15:20">
      <c r="O4824" s="247"/>
      <c r="P4824"/>
      <c r="Q4824" s="224"/>
      <c r="S4824" s="202"/>
      <c r="T4824"/>
    </row>
    <row r="4825" spans="15:20">
      <c r="O4825" s="247"/>
      <c r="P4825"/>
      <c r="Q4825" s="224"/>
      <c r="S4825" s="202"/>
      <c r="T4825"/>
    </row>
    <row r="4826" spans="15:20">
      <c r="O4826" s="247"/>
      <c r="P4826"/>
      <c r="Q4826" s="224"/>
      <c r="S4826" s="202"/>
      <c r="T4826"/>
    </row>
    <row r="4827" spans="15:20">
      <c r="O4827" s="247"/>
      <c r="P4827"/>
      <c r="Q4827" s="224"/>
      <c r="S4827" s="202"/>
      <c r="T4827"/>
    </row>
    <row r="4828" spans="15:20">
      <c r="O4828" s="247"/>
      <c r="P4828"/>
      <c r="Q4828" s="224"/>
      <c r="S4828" s="202"/>
      <c r="T4828"/>
    </row>
    <row r="4829" spans="15:20">
      <c r="O4829" s="247"/>
      <c r="P4829"/>
      <c r="Q4829" s="224"/>
      <c r="S4829" s="202"/>
      <c r="T4829"/>
    </row>
    <row r="4830" spans="15:20">
      <c r="O4830" s="247"/>
      <c r="P4830"/>
      <c r="Q4830" s="224"/>
      <c r="S4830" s="202"/>
      <c r="T4830"/>
    </row>
    <row r="4831" spans="15:20">
      <c r="O4831" s="247"/>
      <c r="P4831"/>
      <c r="Q4831" s="224"/>
      <c r="S4831" s="202"/>
      <c r="T4831"/>
    </row>
    <row r="4832" spans="15:20">
      <c r="O4832" s="247"/>
      <c r="P4832"/>
      <c r="Q4832" s="224"/>
      <c r="S4832" s="202"/>
      <c r="T4832"/>
    </row>
    <row r="4833" spans="15:20">
      <c r="O4833" s="247"/>
      <c r="P4833"/>
      <c r="Q4833" s="224"/>
      <c r="S4833" s="202"/>
      <c r="T4833"/>
    </row>
    <row r="4834" spans="15:20">
      <c r="O4834" s="247"/>
      <c r="P4834"/>
      <c r="Q4834" s="224"/>
      <c r="S4834" s="202"/>
      <c r="T4834"/>
    </row>
    <row r="4835" spans="15:20">
      <c r="O4835" s="247"/>
      <c r="P4835"/>
      <c r="Q4835" s="224"/>
      <c r="S4835" s="202"/>
      <c r="T4835"/>
    </row>
    <row r="4836" spans="15:20">
      <c r="O4836" s="247"/>
      <c r="P4836"/>
      <c r="Q4836" s="224"/>
      <c r="S4836" s="202"/>
      <c r="T4836"/>
    </row>
    <row r="4837" spans="15:20">
      <c r="O4837" s="247"/>
      <c r="P4837"/>
      <c r="Q4837" s="224"/>
      <c r="S4837" s="202"/>
      <c r="T4837"/>
    </row>
    <row r="4838" spans="15:20">
      <c r="O4838" s="247"/>
      <c r="P4838"/>
      <c r="Q4838" s="224"/>
      <c r="S4838" s="202"/>
      <c r="T4838"/>
    </row>
    <row r="4839" spans="15:20">
      <c r="O4839" s="247"/>
      <c r="P4839"/>
      <c r="Q4839" s="224"/>
      <c r="S4839" s="202"/>
      <c r="T4839"/>
    </row>
    <row r="4840" spans="15:20">
      <c r="O4840" s="247"/>
      <c r="P4840"/>
      <c r="Q4840" s="224"/>
      <c r="S4840" s="202"/>
      <c r="T4840"/>
    </row>
    <row r="4841" spans="15:20">
      <c r="O4841" s="247"/>
      <c r="P4841"/>
      <c r="Q4841" s="224"/>
      <c r="S4841" s="202"/>
      <c r="T4841"/>
    </row>
    <row r="4842" spans="15:20">
      <c r="O4842" s="247"/>
      <c r="P4842"/>
      <c r="Q4842" s="224"/>
      <c r="S4842" s="202"/>
      <c r="T4842"/>
    </row>
    <row r="4843" spans="15:20">
      <c r="O4843" s="247"/>
      <c r="P4843"/>
      <c r="Q4843" s="224"/>
      <c r="S4843" s="202"/>
      <c r="T4843"/>
    </row>
    <row r="4844" spans="15:20">
      <c r="O4844" s="247"/>
      <c r="P4844"/>
      <c r="Q4844" s="224"/>
      <c r="S4844" s="202"/>
      <c r="T4844"/>
    </row>
    <row r="4845" spans="15:20">
      <c r="O4845" s="247"/>
      <c r="P4845"/>
      <c r="Q4845" s="224"/>
      <c r="S4845" s="202"/>
      <c r="T4845"/>
    </row>
    <row r="4846" spans="15:20">
      <c r="O4846" s="247"/>
      <c r="P4846"/>
      <c r="Q4846" s="224"/>
      <c r="S4846" s="202"/>
      <c r="T4846"/>
    </row>
    <row r="4847" spans="15:20">
      <c r="O4847" s="247"/>
      <c r="P4847"/>
      <c r="Q4847" s="224"/>
      <c r="S4847" s="202"/>
      <c r="T4847"/>
    </row>
    <row r="4848" spans="15:20">
      <c r="O4848" s="247"/>
      <c r="P4848"/>
      <c r="Q4848" s="224"/>
      <c r="S4848" s="202"/>
      <c r="T4848"/>
    </row>
    <row r="4849" spans="15:20">
      <c r="O4849" s="247"/>
      <c r="P4849"/>
      <c r="Q4849" s="224"/>
      <c r="S4849" s="202"/>
      <c r="T4849"/>
    </row>
    <row r="4850" spans="15:20">
      <c r="O4850" s="247"/>
      <c r="P4850"/>
      <c r="Q4850" s="224"/>
      <c r="S4850" s="202"/>
      <c r="T4850"/>
    </row>
    <row r="4851" spans="15:20">
      <c r="O4851" s="247"/>
      <c r="P4851"/>
      <c r="Q4851" s="224"/>
      <c r="S4851" s="202"/>
      <c r="T4851"/>
    </row>
    <row r="4852" spans="15:20">
      <c r="O4852" s="247"/>
      <c r="P4852"/>
      <c r="Q4852" s="224"/>
      <c r="S4852" s="202"/>
      <c r="T4852"/>
    </row>
    <row r="4853" spans="15:20">
      <c r="O4853" s="247"/>
      <c r="P4853"/>
      <c r="Q4853" s="224"/>
      <c r="S4853" s="202"/>
      <c r="T4853"/>
    </row>
    <row r="4854" spans="15:20">
      <c r="O4854" s="247"/>
      <c r="P4854"/>
      <c r="Q4854" s="224"/>
      <c r="S4854" s="202"/>
      <c r="T4854"/>
    </row>
    <row r="4855" spans="15:20">
      <c r="O4855" s="247"/>
      <c r="P4855"/>
      <c r="Q4855" s="224"/>
      <c r="S4855" s="202"/>
      <c r="T4855"/>
    </row>
    <row r="4856" spans="15:20">
      <c r="O4856" s="247"/>
      <c r="P4856"/>
      <c r="Q4856" s="224"/>
      <c r="S4856" s="202"/>
      <c r="T4856"/>
    </row>
    <row r="4857" spans="15:20">
      <c r="O4857" s="247"/>
      <c r="P4857"/>
      <c r="Q4857" s="224"/>
      <c r="S4857" s="202"/>
      <c r="T4857"/>
    </row>
    <row r="4858" spans="15:20">
      <c r="O4858" s="247"/>
      <c r="P4858"/>
      <c r="Q4858" s="224"/>
      <c r="S4858" s="202"/>
      <c r="T4858"/>
    </row>
    <row r="4859" spans="15:20">
      <c r="O4859" s="247"/>
      <c r="P4859"/>
      <c r="Q4859" s="224"/>
      <c r="S4859" s="202"/>
      <c r="T4859"/>
    </row>
    <row r="4860" spans="15:20">
      <c r="O4860" s="247"/>
      <c r="P4860"/>
      <c r="Q4860" s="224"/>
      <c r="S4860" s="202"/>
      <c r="T4860"/>
    </row>
    <row r="4861" spans="15:20">
      <c r="O4861" s="247"/>
      <c r="P4861"/>
      <c r="Q4861" s="224"/>
      <c r="S4861" s="202"/>
      <c r="T4861"/>
    </row>
    <row r="4862" spans="15:20">
      <c r="O4862" s="247"/>
      <c r="P4862"/>
      <c r="Q4862" s="224"/>
      <c r="S4862" s="202"/>
      <c r="T4862"/>
    </row>
    <row r="4863" spans="15:20">
      <c r="O4863" s="247"/>
      <c r="P4863"/>
      <c r="Q4863" s="224"/>
      <c r="S4863" s="202"/>
      <c r="T4863"/>
    </row>
    <row r="4864" spans="15:20">
      <c r="O4864" s="247"/>
      <c r="P4864"/>
      <c r="Q4864" s="224"/>
      <c r="S4864" s="202"/>
      <c r="T4864"/>
    </row>
    <row r="4865" spans="15:20">
      <c r="O4865" s="247"/>
      <c r="P4865"/>
      <c r="Q4865" s="224"/>
      <c r="S4865" s="202"/>
      <c r="T4865"/>
    </row>
    <row r="4866" spans="15:20">
      <c r="O4866" s="247"/>
      <c r="P4866"/>
      <c r="Q4866" s="224"/>
      <c r="S4866" s="202"/>
      <c r="T4866"/>
    </row>
    <row r="4867" spans="15:20">
      <c r="O4867" s="247"/>
      <c r="P4867"/>
      <c r="Q4867" s="224"/>
      <c r="S4867" s="202"/>
      <c r="T4867"/>
    </row>
    <row r="4868" spans="15:20">
      <c r="O4868" s="247"/>
      <c r="P4868"/>
      <c r="Q4868" s="224"/>
      <c r="S4868" s="202"/>
      <c r="T4868"/>
    </row>
    <row r="4869" spans="15:20">
      <c r="O4869" s="247"/>
      <c r="P4869"/>
      <c r="Q4869" s="224"/>
      <c r="S4869" s="202"/>
      <c r="T4869"/>
    </row>
    <row r="4870" spans="15:20">
      <c r="O4870" s="247"/>
      <c r="P4870"/>
      <c r="Q4870" s="224"/>
      <c r="S4870" s="202"/>
      <c r="T4870"/>
    </row>
    <row r="4871" spans="15:20">
      <c r="O4871" s="247"/>
      <c r="P4871"/>
      <c r="Q4871" s="224"/>
      <c r="S4871" s="202"/>
      <c r="T4871"/>
    </row>
    <row r="4872" spans="15:20">
      <c r="O4872" s="247"/>
      <c r="P4872"/>
      <c r="Q4872" s="224"/>
      <c r="S4872" s="202"/>
      <c r="T4872"/>
    </row>
    <row r="4873" spans="15:20">
      <c r="O4873" s="247"/>
      <c r="P4873"/>
      <c r="Q4873" s="224"/>
      <c r="S4873" s="202"/>
      <c r="T4873"/>
    </row>
    <row r="4874" spans="15:20">
      <c r="O4874" s="247"/>
      <c r="P4874"/>
      <c r="Q4874" s="224"/>
      <c r="S4874" s="202"/>
      <c r="T4874"/>
    </row>
    <row r="4875" spans="15:20">
      <c r="O4875" s="247"/>
      <c r="P4875"/>
      <c r="Q4875" s="224"/>
      <c r="S4875" s="202"/>
      <c r="T4875"/>
    </row>
    <row r="4876" spans="15:20">
      <c r="O4876" s="247"/>
      <c r="P4876"/>
      <c r="Q4876" s="224"/>
      <c r="S4876" s="202"/>
      <c r="T4876"/>
    </row>
    <row r="4877" spans="15:20">
      <c r="O4877" s="247"/>
      <c r="P4877"/>
      <c r="Q4877" s="224"/>
      <c r="S4877" s="202"/>
      <c r="T4877"/>
    </row>
    <row r="4878" spans="15:20">
      <c r="O4878" s="247"/>
      <c r="P4878"/>
      <c r="Q4878" s="224"/>
      <c r="S4878" s="202"/>
      <c r="T4878"/>
    </row>
    <row r="4879" spans="15:20">
      <c r="O4879" s="247"/>
      <c r="P4879"/>
      <c r="Q4879" s="224"/>
      <c r="S4879" s="202"/>
      <c r="T4879"/>
    </row>
    <row r="4880" spans="15:20">
      <c r="O4880" s="247"/>
      <c r="P4880"/>
      <c r="Q4880" s="224"/>
      <c r="S4880" s="202"/>
      <c r="T4880"/>
    </row>
    <row r="4881" spans="15:20">
      <c r="O4881" s="247"/>
      <c r="P4881"/>
      <c r="Q4881" s="224"/>
      <c r="S4881" s="202"/>
      <c r="T4881"/>
    </row>
    <row r="4882" spans="15:20">
      <c r="O4882" s="247"/>
      <c r="P4882"/>
      <c r="Q4882" s="224"/>
      <c r="S4882" s="202"/>
      <c r="T4882"/>
    </row>
    <row r="4883" spans="15:20">
      <c r="O4883" s="247"/>
      <c r="P4883"/>
      <c r="Q4883" s="224"/>
      <c r="S4883" s="202"/>
      <c r="T4883"/>
    </row>
    <row r="4884" spans="15:20">
      <c r="O4884" s="247"/>
      <c r="P4884"/>
      <c r="Q4884" s="224"/>
      <c r="S4884" s="202"/>
      <c r="T4884"/>
    </row>
    <row r="4885" spans="15:20">
      <c r="O4885" s="247"/>
      <c r="P4885"/>
      <c r="Q4885" s="224"/>
      <c r="S4885" s="202"/>
      <c r="T4885"/>
    </row>
    <row r="4886" spans="15:20">
      <c r="O4886" s="247"/>
      <c r="P4886"/>
      <c r="Q4886" s="224"/>
      <c r="S4886" s="202"/>
      <c r="T4886"/>
    </row>
    <row r="4887" spans="15:20">
      <c r="O4887" s="247"/>
      <c r="P4887"/>
      <c r="Q4887" s="224"/>
      <c r="S4887" s="202"/>
      <c r="T4887"/>
    </row>
    <row r="4888" spans="15:20">
      <c r="O4888" s="247"/>
      <c r="P4888"/>
      <c r="Q4888" s="224"/>
      <c r="S4888" s="202"/>
      <c r="T4888"/>
    </row>
    <row r="4889" spans="15:20">
      <c r="O4889" s="247"/>
      <c r="P4889"/>
      <c r="Q4889" s="224"/>
      <c r="S4889" s="202"/>
      <c r="T4889"/>
    </row>
    <row r="4890" spans="15:20">
      <c r="O4890" s="247"/>
      <c r="P4890"/>
      <c r="Q4890" s="224"/>
      <c r="S4890" s="202"/>
      <c r="T4890"/>
    </row>
    <row r="4891" spans="15:20">
      <c r="O4891" s="247"/>
      <c r="P4891"/>
      <c r="Q4891" s="224"/>
      <c r="S4891" s="202"/>
      <c r="T4891"/>
    </row>
    <row r="4892" spans="15:20">
      <c r="O4892" s="247"/>
      <c r="P4892"/>
      <c r="Q4892" s="224"/>
      <c r="S4892" s="202"/>
      <c r="T4892"/>
    </row>
    <row r="4893" spans="15:20">
      <c r="O4893" s="247"/>
      <c r="P4893"/>
      <c r="Q4893" s="224"/>
      <c r="S4893" s="202"/>
      <c r="T4893"/>
    </row>
    <row r="4894" spans="15:20">
      <c r="O4894" s="247"/>
      <c r="P4894"/>
      <c r="Q4894" s="224"/>
      <c r="S4894" s="202"/>
      <c r="T4894"/>
    </row>
    <row r="4895" spans="15:20">
      <c r="O4895" s="247"/>
      <c r="P4895"/>
      <c r="Q4895" s="224"/>
      <c r="S4895" s="202"/>
      <c r="T4895"/>
    </row>
    <row r="4896" spans="15:20">
      <c r="O4896" s="247"/>
      <c r="P4896"/>
      <c r="Q4896" s="224"/>
      <c r="S4896" s="202"/>
      <c r="T4896"/>
    </row>
    <row r="4897" spans="15:20">
      <c r="O4897" s="247"/>
      <c r="P4897"/>
      <c r="Q4897" s="224"/>
      <c r="S4897" s="202"/>
      <c r="T4897"/>
    </row>
    <row r="4898" spans="15:20">
      <c r="O4898" s="247"/>
      <c r="P4898"/>
      <c r="Q4898" s="224"/>
      <c r="S4898" s="202"/>
      <c r="T4898"/>
    </row>
    <row r="4899" spans="15:20">
      <c r="O4899" s="247"/>
      <c r="P4899"/>
      <c r="Q4899" s="224"/>
      <c r="S4899" s="202"/>
      <c r="T4899"/>
    </row>
    <row r="4900" spans="15:20">
      <c r="O4900" s="247"/>
      <c r="P4900"/>
      <c r="Q4900" s="224"/>
      <c r="S4900" s="202"/>
      <c r="T4900"/>
    </row>
    <row r="4901" spans="15:20">
      <c r="O4901" s="247"/>
      <c r="P4901"/>
      <c r="Q4901" s="224"/>
      <c r="S4901" s="202"/>
      <c r="T4901"/>
    </row>
    <row r="4902" spans="15:20">
      <c r="O4902" s="247"/>
      <c r="P4902"/>
      <c r="Q4902" s="224"/>
      <c r="S4902" s="202"/>
      <c r="T4902"/>
    </row>
    <row r="4903" spans="15:20">
      <c r="O4903" s="247"/>
      <c r="P4903"/>
      <c r="Q4903" s="224"/>
      <c r="S4903" s="202"/>
      <c r="T4903"/>
    </row>
    <row r="4904" spans="15:20">
      <c r="O4904" s="247"/>
      <c r="P4904"/>
      <c r="Q4904" s="224"/>
      <c r="S4904" s="202"/>
      <c r="T4904"/>
    </row>
    <row r="4905" spans="15:20">
      <c r="O4905" s="247"/>
      <c r="P4905"/>
      <c r="Q4905" s="224"/>
      <c r="S4905" s="202"/>
      <c r="T4905"/>
    </row>
    <row r="4906" spans="15:20">
      <c r="O4906" s="247"/>
      <c r="P4906"/>
      <c r="Q4906" s="224"/>
      <c r="S4906" s="202"/>
      <c r="T4906"/>
    </row>
    <row r="4907" spans="15:20">
      <c r="O4907" s="247"/>
      <c r="P4907"/>
      <c r="Q4907" s="224"/>
      <c r="S4907" s="202"/>
      <c r="T4907"/>
    </row>
    <row r="4908" spans="15:20">
      <c r="O4908" s="247"/>
      <c r="P4908"/>
      <c r="Q4908" s="224"/>
      <c r="S4908" s="202"/>
      <c r="T4908"/>
    </row>
    <row r="4909" spans="15:20">
      <c r="O4909" s="247"/>
      <c r="P4909"/>
      <c r="Q4909" s="224"/>
      <c r="S4909" s="202"/>
      <c r="T4909"/>
    </row>
    <row r="4910" spans="15:20">
      <c r="O4910" s="247"/>
      <c r="P4910"/>
      <c r="Q4910" s="224"/>
      <c r="S4910" s="202"/>
      <c r="T4910"/>
    </row>
    <row r="4911" spans="15:20">
      <c r="O4911" s="247"/>
      <c r="P4911"/>
      <c r="Q4911" s="224"/>
      <c r="S4911" s="202"/>
      <c r="T4911"/>
    </row>
    <row r="4912" spans="15:20">
      <c r="O4912" s="247"/>
      <c r="P4912"/>
      <c r="Q4912" s="224"/>
      <c r="S4912" s="202"/>
      <c r="T4912"/>
    </row>
    <row r="4913" spans="15:20">
      <c r="O4913" s="247"/>
      <c r="P4913"/>
      <c r="Q4913" s="224"/>
      <c r="S4913" s="202"/>
      <c r="T4913"/>
    </row>
    <row r="4914" spans="15:20">
      <c r="O4914" s="247"/>
      <c r="P4914"/>
      <c r="Q4914" s="224"/>
      <c r="S4914" s="202"/>
      <c r="T4914"/>
    </row>
    <row r="4915" spans="15:20">
      <c r="O4915" s="247"/>
      <c r="P4915"/>
      <c r="Q4915" s="224"/>
      <c r="S4915" s="202"/>
      <c r="T4915"/>
    </row>
    <row r="4916" spans="15:20">
      <c r="O4916" s="247"/>
      <c r="P4916"/>
      <c r="Q4916" s="224"/>
      <c r="S4916" s="202"/>
      <c r="T4916"/>
    </row>
    <row r="4917" spans="15:20">
      <c r="O4917" s="247"/>
      <c r="P4917"/>
      <c r="Q4917" s="224"/>
      <c r="S4917" s="202"/>
      <c r="T4917"/>
    </row>
    <row r="4918" spans="15:20">
      <c r="O4918" s="247"/>
      <c r="P4918"/>
      <c r="Q4918" s="224"/>
      <c r="S4918" s="202"/>
      <c r="T4918"/>
    </row>
    <row r="4919" spans="15:20">
      <c r="O4919" s="247"/>
      <c r="P4919"/>
      <c r="Q4919" s="224"/>
      <c r="S4919" s="202"/>
      <c r="T4919"/>
    </row>
    <row r="4920" spans="15:20">
      <c r="O4920" s="247"/>
      <c r="P4920"/>
      <c r="Q4920" s="224"/>
      <c r="S4920" s="202"/>
      <c r="T4920"/>
    </row>
    <row r="4921" spans="15:20">
      <c r="O4921" s="247"/>
      <c r="P4921"/>
      <c r="Q4921" s="224"/>
      <c r="S4921" s="202"/>
      <c r="T4921"/>
    </row>
    <row r="4922" spans="15:20">
      <c r="O4922" s="247"/>
      <c r="P4922"/>
      <c r="Q4922" s="224"/>
      <c r="S4922" s="202"/>
      <c r="T4922"/>
    </row>
    <row r="4923" spans="15:20">
      <c r="O4923" s="247"/>
      <c r="P4923"/>
      <c r="Q4923" s="224"/>
      <c r="S4923" s="202"/>
      <c r="T4923"/>
    </row>
    <row r="4924" spans="15:20">
      <c r="O4924" s="247"/>
      <c r="P4924"/>
      <c r="Q4924" s="224"/>
      <c r="S4924" s="202"/>
      <c r="T4924"/>
    </row>
    <row r="4925" spans="15:20">
      <c r="O4925" s="247"/>
      <c r="P4925"/>
      <c r="Q4925" s="224"/>
      <c r="S4925" s="202"/>
      <c r="T4925"/>
    </row>
    <row r="4926" spans="15:20">
      <c r="O4926" s="247"/>
      <c r="P4926"/>
      <c r="Q4926" s="224"/>
      <c r="S4926" s="202"/>
      <c r="T4926"/>
    </row>
    <row r="4927" spans="15:20">
      <c r="O4927" s="247"/>
      <c r="P4927"/>
      <c r="Q4927" s="224"/>
      <c r="S4927" s="202"/>
      <c r="T4927"/>
    </row>
    <row r="4928" spans="15:20">
      <c r="O4928" s="247"/>
      <c r="P4928"/>
      <c r="Q4928" s="224"/>
      <c r="S4928" s="202"/>
      <c r="T4928"/>
    </row>
    <row r="4929" spans="15:20">
      <c r="O4929" s="247"/>
      <c r="P4929"/>
      <c r="Q4929" s="224"/>
      <c r="S4929" s="202"/>
      <c r="T4929"/>
    </row>
    <row r="4930" spans="15:20">
      <c r="O4930" s="247"/>
      <c r="P4930"/>
      <c r="Q4930" s="224"/>
      <c r="S4930" s="202"/>
      <c r="T4930"/>
    </row>
    <row r="4931" spans="15:20">
      <c r="O4931" s="247"/>
      <c r="P4931"/>
      <c r="Q4931" s="224"/>
      <c r="S4931" s="202"/>
      <c r="T4931"/>
    </row>
    <row r="4932" spans="15:20">
      <c r="O4932" s="247"/>
      <c r="P4932"/>
      <c r="Q4932" s="224"/>
      <c r="S4932" s="202"/>
      <c r="T4932"/>
    </row>
    <row r="4933" spans="15:20">
      <c r="O4933" s="247"/>
      <c r="P4933"/>
      <c r="Q4933" s="224"/>
      <c r="S4933" s="202"/>
      <c r="T4933"/>
    </row>
    <row r="4934" spans="15:20">
      <c r="O4934" s="247"/>
      <c r="P4934"/>
      <c r="Q4934" s="224"/>
      <c r="S4934" s="202"/>
      <c r="T4934"/>
    </row>
    <row r="4935" spans="15:20">
      <c r="O4935" s="247"/>
      <c r="P4935"/>
      <c r="Q4935" s="224"/>
      <c r="S4935" s="202"/>
      <c r="T4935"/>
    </row>
    <row r="4936" spans="15:20">
      <c r="O4936" s="247"/>
      <c r="P4936"/>
      <c r="Q4936" s="224"/>
      <c r="S4936" s="202"/>
      <c r="T4936"/>
    </row>
    <row r="4937" spans="15:20">
      <c r="O4937" s="247"/>
      <c r="P4937"/>
      <c r="Q4937" s="224"/>
      <c r="S4937" s="202"/>
      <c r="T4937"/>
    </row>
    <row r="4938" spans="15:20">
      <c r="O4938" s="247"/>
      <c r="P4938"/>
      <c r="Q4938" s="224"/>
      <c r="S4938" s="202"/>
      <c r="T4938"/>
    </row>
    <row r="4939" spans="15:20">
      <c r="O4939" s="247"/>
      <c r="P4939"/>
      <c r="Q4939" s="224"/>
      <c r="S4939" s="202"/>
      <c r="T4939"/>
    </row>
    <row r="4940" spans="15:20">
      <c r="O4940" s="247"/>
      <c r="P4940"/>
      <c r="Q4940" s="224"/>
      <c r="S4940" s="202"/>
      <c r="T4940"/>
    </row>
    <row r="4941" spans="15:20">
      <c r="O4941" s="247"/>
      <c r="P4941"/>
      <c r="Q4941" s="224"/>
      <c r="S4941" s="202"/>
      <c r="T4941"/>
    </row>
    <row r="4942" spans="15:20">
      <c r="O4942" s="247"/>
      <c r="P4942"/>
      <c r="Q4942" s="224"/>
      <c r="S4942" s="202"/>
      <c r="T4942"/>
    </row>
    <row r="4943" spans="15:20">
      <c r="O4943" s="247"/>
      <c r="P4943"/>
      <c r="Q4943" s="224"/>
      <c r="S4943" s="202"/>
      <c r="T4943"/>
    </row>
    <row r="4944" spans="15:20">
      <c r="O4944" s="247"/>
      <c r="P4944"/>
      <c r="Q4944" s="224"/>
      <c r="S4944" s="202"/>
      <c r="T4944"/>
    </row>
    <row r="4945" spans="15:20">
      <c r="O4945" s="247"/>
      <c r="P4945"/>
      <c r="Q4945" s="224"/>
      <c r="S4945" s="202"/>
      <c r="T4945"/>
    </row>
    <row r="4946" spans="15:20">
      <c r="O4946" s="247"/>
      <c r="P4946"/>
      <c r="Q4946" s="224"/>
      <c r="S4946" s="202"/>
      <c r="T4946"/>
    </row>
    <row r="4947" spans="15:20">
      <c r="O4947" s="247"/>
      <c r="P4947"/>
      <c r="Q4947" s="224"/>
      <c r="S4947" s="202"/>
      <c r="T4947"/>
    </row>
    <row r="4948" spans="15:20">
      <c r="O4948" s="247"/>
      <c r="P4948"/>
      <c r="Q4948" s="224"/>
      <c r="S4948" s="202"/>
      <c r="T4948"/>
    </row>
    <row r="4949" spans="15:20">
      <c r="O4949" s="247"/>
      <c r="P4949"/>
      <c r="Q4949" s="224"/>
      <c r="S4949" s="202"/>
      <c r="T4949"/>
    </row>
    <row r="4950" spans="15:20">
      <c r="O4950" s="247"/>
      <c r="P4950"/>
      <c r="Q4950" s="224"/>
      <c r="S4950" s="202"/>
      <c r="T4950"/>
    </row>
    <row r="4951" spans="15:20">
      <c r="O4951" s="247"/>
      <c r="P4951"/>
      <c r="Q4951" s="224"/>
      <c r="S4951" s="202"/>
      <c r="T4951"/>
    </row>
    <row r="4952" spans="15:20">
      <c r="O4952" s="247"/>
      <c r="P4952"/>
      <c r="Q4952" s="224"/>
      <c r="S4952" s="202"/>
      <c r="T4952"/>
    </row>
    <row r="4953" spans="15:20">
      <c r="O4953" s="247"/>
      <c r="P4953"/>
      <c r="Q4953" s="224"/>
      <c r="S4953" s="202"/>
      <c r="T4953"/>
    </row>
    <row r="4954" spans="15:20">
      <c r="O4954" s="247"/>
      <c r="P4954"/>
      <c r="Q4954" s="224"/>
      <c r="S4954" s="202"/>
      <c r="T4954"/>
    </row>
    <row r="4955" spans="15:20">
      <c r="O4955" s="247"/>
      <c r="P4955"/>
      <c r="Q4955" s="224"/>
      <c r="S4955" s="202"/>
      <c r="T4955"/>
    </row>
    <row r="4956" spans="15:20">
      <c r="O4956" s="247"/>
      <c r="P4956"/>
      <c r="Q4956" s="224"/>
      <c r="S4956" s="202"/>
      <c r="T4956"/>
    </row>
    <row r="4957" spans="15:20">
      <c r="O4957" s="247"/>
      <c r="P4957"/>
      <c r="Q4957" s="224"/>
      <c r="S4957" s="202"/>
      <c r="T4957"/>
    </row>
    <row r="4958" spans="15:20">
      <c r="O4958" s="247"/>
      <c r="P4958"/>
      <c r="Q4958" s="224"/>
      <c r="S4958" s="202"/>
      <c r="T4958"/>
    </row>
    <row r="4959" spans="15:20">
      <c r="O4959" s="247"/>
      <c r="P4959"/>
      <c r="Q4959" s="224"/>
      <c r="S4959" s="202"/>
      <c r="T4959"/>
    </row>
    <row r="4960" spans="15:20">
      <c r="O4960" s="247"/>
      <c r="P4960"/>
      <c r="Q4960" s="224"/>
      <c r="S4960" s="202"/>
      <c r="T4960"/>
    </row>
    <row r="4961" spans="15:20">
      <c r="O4961" s="247"/>
      <c r="P4961"/>
      <c r="Q4961" s="224"/>
      <c r="S4961" s="202"/>
      <c r="T4961"/>
    </row>
    <row r="4962" spans="15:20">
      <c r="O4962" s="247"/>
      <c r="P4962"/>
      <c r="Q4962" s="224"/>
      <c r="S4962" s="202"/>
      <c r="T4962"/>
    </row>
    <row r="4963" spans="15:20">
      <c r="O4963" s="247"/>
      <c r="P4963"/>
      <c r="Q4963" s="224"/>
      <c r="S4963" s="202"/>
      <c r="T4963"/>
    </row>
    <row r="4964" spans="15:20">
      <c r="O4964" s="247"/>
      <c r="P4964"/>
      <c r="Q4964" s="224"/>
      <c r="S4964" s="202"/>
      <c r="T4964"/>
    </row>
    <row r="4965" spans="15:20">
      <c r="O4965" s="247"/>
      <c r="P4965"/>
      <c r="Q4965" s="224"/>
      <c r="S4965" s="202"/>
      <c r="T4965"/>
    </row>
    <row r="4966" spans="15:20">
      <c r="O4966" s="247"/>
      <c r="P4966"/>
      <c r="Q4966" s="224"/>
      <c r="S4966" s="202"/>
      <c r="T4966"/>
    </row>
    <row r="4967" spans="15:20">
      <c r="O4967" s="247"/>
      <c r="P4967"/>
      <c r="Q4967" s="224"/>
      <c r="S4967" s="202"/>
      <c r="T4967"/>
    </row>
    <row r="4968" spans="15:20">
      <c r="O4968" s="247"/>
      <c r="P4968"/>
      <c r="Q4968" s="224"/>
      <c r="S4968" s="202"/>
      <c r="T4968"/>
    </row>
    <row r="4969" spans="15:20">
      <c r="O4969" s="247"/>
      <c r="P4969"/>
      <c r="Q4969" s="224"/>
      <c r="S4969" s="202"/>
      <c r="T4969"/>
    </row>
    <row r="4970" spans="15:20">
      <c r="O4970" s="247"/>
      <c r="P4970"/>
      <c r="Q4970" s="224"/>
      <c r="S4970" s="202"/>
      <c r="T4970"/>
    </row>
    <row r="4971" spans="15:20">
      <c r="O4971" s="247"/>
      <c r="P4971"/>
      <c r="Q4971" s="224"/>
      <c r="S4971" s="202"/>
      <c r="T4971"/>
    </row>
    <row r="4972" spans="15:20">
      <c r="O4972" s="247"/>
      <c r="P4972"/>
      <c r="Q4972" s="224"/>
      <c r="S4972" s="202"/>
      <c r="T4972"/>
    </row>
    <row r="4973" spans="15:20">
      <c r="O4973" s="247"/>
      <c r="P4973"/>
      <c r="Q4973" s="224"/>
      <c r="S4973" s="202"/>
      <c r="T4973"/>
    </row>
    <row r="4974" spans="15:20">
      <c r="O4974" s="247"/>
      <c r="P4974"/>
      <c r="Q4974" s="224"/>
      <c r="S4974" s="202"/>
      <c r="T4974"/>
    </row>
    <row r="4975" spans="15:20">
      <c r="O4975" s="247"/>
      <c r="P4975"/>
      <c r="Q4975" s="224"/>
      <c r="S4975" s="202"/>
      <c r="T4975"/>
    </row>
    <row r="4976" spans="15:20">
      <c r="O4976" s="247"/>
      <c r="P4976"/>
      <c r="Q4976" s="224"/>
      <c r="S4976" s="202"/>
      <c r="T4976"/>
    </row>
    <row r="4977" spans="15:20">
      <c r="O4977" s="247"/>
      <c r="P4977"/>
      <c r="Q4977" s="224"/>
      <c r="S4977" s="202"/>
      <c r="T4977"/>
    </row>
    <row r="4978" spans="15:20">
      <c r="O4978" s="247"/>
      <c r="P4978"/>
      <c r="Q4978" s="224"/>
      <c r="S4978" s="202"/>
      <c r="T4978"/>
    </row>
    <row r="4979" spans="15:20">
      <c r="O4979" s="247"/>
      <c r="P4979"/>
      <c r="Q4979" s="224"/>
      <c r="S4979" s="202"/>
      <c r="T4979"/>
    </row>
    <row r="4980" spans="15:20">
      <c r="O4980" s="247"/>
      <c r="P4980"/>
      <c r="Q4980" s="224"/>
      <c r="S4980" s="202"/>
      <c r="T4980"/>
    </row>
    <row r="4981" spans="15:20">
      <c r="O4981" s="247"/>
      <c r="P4981"/>
      <c r="Q4981" s="224"/>
      <c r="S4981" s="202"/>
      <c r="T4981"/>
    </row>
    <row r="4982" spans="15:20">
      <c r="O4982" s="247"/>
      <c r="P4982"/>
      <c r="Q4982" s="224"/>
      <c r="S4982" s="202"/>
      <c r="T4982"/>
    </row>
    <row r="4983" spans="15:20">
      <c r="O4983" s="247"/>
      <c r="P4983"/>
      <c r="Q4983" s="224"/>
      <c r="S4983" s="202"/>
      <c r="T4983"/>
    </row>
    <row r="4984" spans="15:20">
      <c r="O4984" s="247"/>
      <c r="P4984"/>
      <c r="Q4984" s="224"/>
      <c r="S4984" s="202"/>
      <c r="T4984"/>
    </row>
    <row r="4985" spans="15:20">
      <c r="O4985" s="247"/>
      <c r="P4985"/>
      <c r="Q4985" s="224"/>
      <c r="S4985" s="202"/>
      <c r="T4985"/>
    </row>
    <row r="4986" spans="15:20">
      <c r="O4986" s="247"/>
      <c r="P4986"/>
      <c r="Q4986" s="224"/>
      <c r="S4986" s="202"/>
      <c r="T4986"/>
    </row>
    <row r="4987" spans="15:20">
      <c r="O4987" s="247"/>
      <c r="P4987"/>
      <c r="Q4987" s="224"/>
      <c r="S4987" s="202"/>
      <c r="T4987"/>
    </row>
    <row r="4988" spans="15:20">
      <c r="O4988" s="247"/>
      <c r="P4988"/>
      <c r="Q4988" s="224"/>
      <c r="S4988" s="202"/>
      <c r="T4988"/>
    </row>
    <row r="4989" spans="15:20">
      <c r="O4989" s="247"/>
      <c r="P4989"/>
      <c r="Q4989" s="224"/>
      <c r="S4989" s="202"/>
      <c r="T4989"/>
    </row>
    <row r="4990" spans="15:20">
      <c r="O4990" s="247"/>
      <c r="P4990"/>
      <c r="Q4990" s="224"/>
      <c r="S4990" s="202"/>
      <c r="T4990"/>
    </row>
    <row r="4991" spans="15:20">
      <c r="O4991" s="247"/>
      <c r="P4991"/>
      <c r="Q4991" s="224"/>
      <c r="S4991" s="202"/>
      <c r="T4991"/>
    </row>
    <row r="4992" spans="15:20">
      <c r="O4992" s="247"/>
      <c r="P4992"/>
      <c r="Q4992" s="224"/>
      <c r="S4992" s="202"/>
      <c r="T4992"/>
    </row>
    <row r="4993" spans="15:20">
      <c r="O4993" s="247"/>
      <c r="P4993"/>
      <c r="Q4993" s="224"/>
      <c r="S4993" s="202"/>
      <c r="T4993"/>
    </row>
    <row r="4994" spans="15:20">
      <c r="O4994" s="247"/>
      <c r="P4994"/>
      <c r="Q4994" s="224"/>
      <c r="S4994" s="202"/>
      <c r="T4994"/>
    </row>
    <row r="4995" spans="15:20">
      <c r="O4995" s="247"/>
      <c r="P4995"/>
      <c r="Q4995" s="224"/>
      <c r="S4995" s="202"/>
      <c r="T4995"/>
    </row>
    <row r="4996" spans="15:20">
      <c r="O4996" s="247"/>
      <c r="P4996"/>
      <c r="Q4996" s="224"/>
      <c r="S4996" s="202"/>
      <c r="T4996"/>
    </row>
    <row r="4997" spans="15:20">
      <c r="O4997" s="247"/>
      <c r="P4997"/>
      <c r="Q4997" s="224"/>
      <c r="S4997" s="202"/>
      <c r="T4997"/>
    </row>
    <row r="4998" spans="15:20">
      <c r="O4998" s="247"/>
      <c r="P4998"/>
      <c r="Q4998" s="224"/>
      <c r="S4998" s="202"/>
      <c r="T4998"/>
    </row>
    <row r="4999" spans="15:20">
      <c r="O4999" s="247"/>
      <c r="P4999"/>
      <c r="Q4999" s="224"/>
      <c r="S4999" s="202"/>
      <c r="T4999"/>
    </row>
    <row r="5000" spans="15:20">
      <c r="O5000" s="247"/>
      <c r="P5000"/>
      <c r="Q5000" s="224"/>
      <c r="S5000" s="202"/>
      <c r="T5000"/>
    </row>
    <row r="5001" spans="15:20">
      <c r="O5001" s="247"/>
      <c r="P5001"/>
      <c r="Q5001" s="224"/>
      <c r="S5001" s="202"/>
      <c r="T5001"/>
    </row>
    <row r="5002" spans="15:20">
      <c r="O5002" s="247"/>
      <c r="P5002"/>
      <c r="Q5002" s="224"/>
      <c r="S5002" s="202"/>
      <c r="T5002"/>
    </row>
    <row r="5003" spans="15:20">
      <c r="O5003" s="247"/>
      <c r="P5003"/>
      <c r="Q5003" s="224"/>
      <c r="S5003" s="202"/>
      <c r="T5003"/>
    </row>
    <row r="5004" spans="15:20">
      <c r="O5004" s="247"/>
      <c r="P5004"/>
      <c r="Q5004" s="224"/>
      <c r="S5004" s="202"/>
      <c r="T5004"/>
    </row>
    <row r="5005" spans="15:20">
      <c r="O5005" s="247"/>
      <c r="P5005"/>
      <c r="Q5005" s="224"/>
      <c r="S5005" s="202"/>
      <c r="T5005"/>
    </row>
    <row r="5006" spans="15:20">
      <c r="O5006" s="247"/>
      <c r="P5006"/>
      <c r="Q5006" s="224"/>
      <c r="S5006" s="202"/>
      <c r="T5006"/>
    </row>
    <row r="5007" spans="15:20">
      <c r="O5007" s="247"/>
      <c r="P5007"/>
      <c r="Q5007" s="224"/>
      <c r="S5007" s="202"/>
      <c r="T5007"/>
    </row>
    <row r="5008" spans="15:20">
      <c r="O5008" s="247"/>
      <c r="P5008"/>
      <c r="Q5008" s="224"/>
      <c r="S5008" s="202"/>
      <c r="T5008"/>
    </row>
    <row r="5009" spans="15:20">
      <c r="O5009" s="247"/>
      <c r="P5009"/>
      <c r="Q5009" s="224"/>
      <c r="S5009" s="202"/>
      <c r="T5009"/>
    </row>
    <row r="5010" spans="15:20">
      <c r="O5010" s="247"/>
      <c r="P5010"/>
      <c r="Q5010" s="224"/>
      <c r="S5010" s="202"/>
      <c r="T5010"/>
    </row>
    <row r="5011" spans="15:20">
      <c r="O5011" s="247"/>
      <c r="P5011"/>
      <c r="Q5011" s="224"/>
      <c r="S5011" s="202"/>
      <c r="T5011"/>
    </row>
    <row r="5012" spans="15:20">
      <c r="O5012" s="247"/>
      <c r="P5012"/>
      <c r="Q5012" s="224"/>
      <c r="S5012" s="202"/>
      <c r="T5012"/>
    </row>
    <row r="5013" spans="15:20">
      <c r="O5013" s="247"/>
      <c r="P5013"/>
      <c r="Q5013" s="224"/>
      <c r="S5013" s="202"/>
      <c r="T5013"/>
    </row>
    <row r="5014" spans="15:20">
      <c r="O5014" s="247"/>
      <c r="P5014"/>
      <c r="Q5014" s="224"/>
      <c r="S5014" s="202"/>
      <c r="T5014"/>
    </row>
    <row r="5015" spans="15:20">
      <c r="O5015" s="247"/>
      <c r="P5015"/>
      <c r="Q5015" s="224"/>
      <c r="S5015" s="202"/>
      <c r="T5015"/>
    </row>
    <row r="5016" spans="15:20">
      <c r="O5016" s="247"/>
      <c r="P5016"/>
      <c r="Q5016" s="224"/>
      <c r="S5016" s="202"/>
      <c r="T5016"/>
    </row>
    <row r="5017" spans="15:20">
      <c r="O5017" s="247"/>
      <c r="P5017"/>
      <c r="Q5017" s="224"/>
      <c r="S5017" s="202"/>
      <c r="T5017"/>
    </row>
    <row r="5018" spans="15:20">
      <c r="O5018" s="247"/>
      <c r="P5018"/>
      <c r="Q5018" s="224"/>
      <c r="S5018" s="202"/>
      <c r="T5018"/>
    </row>
    <row r="5019" spans="15:20">
      <c r="O5019" s="247"/>
      <c r="P5019"/>
      <c r="Q5019" s="224"/>
      <c r="S5019" s="202"/>
      <c r="T5019"/>
    </row>
    <row r="5020" spans="15:20">
      <c r="O5020" s="247"/>
      <c r="P5020"/>
      <c r="Q5020" s="224"/>
      <c r="S5020" s="202"/>
      <c r="T5020"/>
    </row>
    <row r="5021" spans="15:20">
      <c r="O5021" s="247"/>
      <c r="P5021"/>
      <c r="Q5021" s="224"/>
      <c r="S5021" s="202"/>
      <c r="T5021"/>
    </row>
    <row r="5022" spans="15:20">
      <c r="O5022" s="247"/>
      <c r="P5022"/>
      <c r="Q5022" s="224"/>
      <c r="S5022" s="202"/>
      <c r="T5022"/>
    </row>
    <row r="5023" spans="15:20">
      <c r="O5023" s="247"/>
      <c r="P5023"/>
      <c r="Q5023" s="224"/>
      <c r="S5023" s="202"/>
      <c r="T5023"/>
    </row>
    <row r="5024" spans="15:20">
      <c r="O5024" s="247"/>
      <c r="P5024"/>
      <c r="Q5024" s="224"/>
      <c r="S5024" s="202"/>
      <c r="T5024"/>
    </row>
    <row r="5025" spans="15:20">
      <c r="O5025" s="247"/>
      <c r="P5025"/>
      <c r="Q5025" s="224"/>
      <c r="S5025" s="202"/>
      <c r="T5025"/>
    </row>
    <row r="5026" spans="15:20">
      <c r="O5026" s="247"/>
      <c r="P5026"/>
      <c r="Q5026" s="224"/>
      <c r="S5026" s="202"/>
      <c r="T5026"/>
    </row>
    <row r="5027" spans="15:20">
      <c r="O5027" s="247"/>
      <c r="P5027"/>
      <c r="Q5027" s="224"/>
      <c r="S5027" s="202"/>
      <c r="T5027"/>
    </row>
    <row r="5028" spans="15:20">
      <c r="O5028" s="247"/>
      <c r="P5028"/>
      <c r="Q5028" s="224"/>
      <c r="S5028" s="202"/>
      <c r="T5028"/>
    </row>
    <row r="5029" spans="15:20">
      <c r="O5029" s="247"/>
      <c r="P5029"/>
      <c r="Q5029" s="224"/>
      <c r="S5029" s="202"/>
      <c r="T5029"/>
    </row>
    <row r="5030" spans="15:20">
      <c r="O5030" s="247"/>
      <c r="P5030"/>
      <c r="Q5030" s="224"/>
      <c r="S5030" s="202"/>
      <c r="T5030"/>
    </row>
    <row r="5031" spans="15:20">
      <c r="O5031" s="247"/>
      <c r="P5031"/>
      <c r="Q5031" s="224"/>
      <c r="S5031" s="202"/>
      <c r="T5031"/>
    </row>
    <row r="5032" spans="15:20">
      <c r="O5032" s="247"/>
      <c r="P5032"/>
      <c r="Q5032" s="224"/>
      <c r="S5032" s="202"/>
      <c r="T5032"/>
    </row>
    <row r="5033" spans="15:20">
      <c r="O5033" s="247"/>
      <c r="P5033"/>
      <c r="Q5033" s="224"/>
      <c r="S5033" s="202"/>
      <c r="T5033"/>
    </row>
    <row r="5034" spans="15:20">
      <c r="O5034" s="247"/>
      <c r="P5034"/>
      <c r="Q5034" s="224"/>
      <c r="S5034" s="202"/>
      <c r="T5034"/>
    </row>
    <row r="5035" spans="15:20">
      <c r="O5035" s="247"/>
      <c r="P5035"/>
      <c r="Q5035" s="224"/>
      <c r="S5035" s="202"/>
      <c r="T5035"/>
    </row>
    <row r="5036" spans="15:20">
      <c r="O5036" s="247"/>
      <c r="P5036"/>
      <c r="Q5036" s="224"/>
      <c r="S5036" s="202"/>
      <c r="T5036"/>
    </row>
    <row r="5037" spans="15:20">
      <c r="O5037" s="247"/>
      <c r="P5037"/>
      <c r="Q5037" s="224"/>
      <c r="S5037" s="202"/>
      <c r="T5037"/>
    </row>
    <row r="5038" spans="15:20">
      <c r="O5038" s="247"/>
      <c r="P5038"/>
      <c r="Q5038" s="224"/>
      <c r="S5038" s="202"/>
      <c r="T5038"/>
    </row>
    <row r="5039" spans="15:20">
      <c r="O5039" s="247"/>
      <c r="P5039"/>
      <c r="Q5039" s="224"/>
      <c r="S5039" s="202"/>
      <c r="T5039"/>
    </row>
    <row r="5040" spans="15:20">
      <c r="O5040" s="247"/>
      <c r="P5040"/>
      <c r="Q5040" s="224"/>
      <c r="S5040" s="202"/>
      <c r="T5040"/>
    </row>
    <row r="5041" spans="15:20">
      <c r="O5041" s="247"/>
      <c r="P5041"/>
      <c r="Q5041" s="224"/>
      <c r="S5041" s="202"/>
      <c r="T5041"/>
    </row>
    <row r="5042" spans="15:20">
      <c r="O5042" s="247"/>
      <c r="P5042"/>
      <c r="Q5042" s="224"/>
      <c r="S5042" s="202"/>
      <c r="T5042"/>
    </row>
    <row r="5043" spans="15:20">
      <c r="O5043" s="247"/>
      <c r="P5043"/>
      <c r="Q5043" s="224"/>
      <c r="S5043" s="202"/>
      <c r="T5043"/>
    </row>
    <row r="5044" spans="15:20">
      <c r="O5044" s="247"/>
      <c r="P5044"/>
      <c r="Q5044" s="224"/>
      <c r="S5044" s="202"/>
      <c r="T5044"/>
    </row>
    <row r="5045" spans="15:20">
      <c r="O5045" s="247"/>
      <c r="P5045"/>
      <c r="Q5045" s="224"/>
      <c r="S5045" s="202"/>
      <c r="T5045"/>
    </row>
    <row r="5046" spans="15:20">
      <c r="O5046" s="247"/>
      <c r="P5046"/>
      <c r="Q5046" s="224"/>
      <c r="S5046" s="202"/>
      <c r="T5046"/>
    </row>
    <row r="5047" spans="15:20">
      <c r="O5047" s="247"/>
      <c r="P5047"/>
      <c r="Q5047" s="224"/>
      <c r="S5047" s="202"/>
      <c r="T5047"/>
    </row>
    <row r="5048" spans="15:20">
      <c r="O5048" s="247"/>
      <c r="P5048"/>
      <c r="Q5048" s="224"/>
      <c r="S5048" s="202"/>
      <c r="T5048"/>
    </row>
    <row r="5049" spans="15:20">
      <c r="O5049" s="247"/>
      <c r="P5049"/>
      <c r="Q5049" s="224"/>
      <c r="S5049" s="202"/>
      <c r="T5049"/>
    </row>
    <row r="5050" spans="15:20">
      <c r="O5050" s="247"/>
      <c r="P5050"/>
      <c r="Q5050" s="224"/>
      <c r="S5050" s="202"/>
      <c r="T5050"/>
    </row>
    <row r="5051" spans="15:20">
      <c r="O5051" s="247"/>
      <c r="P5051"/>
      <c r="Q5051" s="224"/>
      <c r="S5051" s="202"/>
      <c r="T5051"/>
    </row>
    <row r="5052" spans="15:20">
      <c r="O5052" s="247"/>
      <c r="P5052"/>
      <c r="Q5052" s="224"/>
      <c r="S5052" s="202"/>
      <c r="T5052"/>
    </row>
    <row r="5053" spans="15:20">
      <c r="O5053" s="247"/>
      <c r="P5053"/>
      <c r="Q5053" s="224"/>
      <c r="S5053" s="202"/>
      <c r="T5053"/>
    </row>
    <row r="5054" spans="15:20">
      <c r="O5054" s="247"/>
      <c r="P5054"/>
      <c r="Q5054" s="224"/>
      <c r="S5054" s="202"/>
      <c r="T5054"/>
    </row>
    <row r="5055" spans="15:20">
      <c r="O5055" s="247"/>
      <c r="P5055"/>
      <c r="Q5055" s="224"/>
      <c r="S5055" s="202"/>
      <c r="T5055"/>
    </row>
    <row r="5056" spans="15:20">
      <c r="O5056" s="247"/>
      <c r="P5056"/>
      <c r="Q5056" s="224"/>
      <c r="S5056" s="202"/>
      <c r="T5056"/>
    </row>
    <row r="5057" spans="15:20">
      <c r="O5057" s="247"/>
      <c r="P5057"/>
      <c r="Q5057" s="224"/>
      <c r="S5057" s="202"/>
      <c r="T5057"/>
    </row>
    <row r="5058" spans="15:20">
      <c r="O5058" s="247"/>
      <c r="P5058"/>
      <c r="Q5058" s="224"/>
      <c r="S5058" s="202"/>
      <c r="T5058"/>
    </row>
    <row r="5059" spans="15:20">
      <c r="O5059" s="247"/>
      <c r="P5059"/>
      <c r="Q5059" s="224"/>
      <c r="S5059" s="202"/>
      <c r="T5059"/>
    </row>
    <row r="5060" spans="15:20">
      <c r="O5060" s="247"/>
      <c r="P5060"/>
      <c r="Q5060" s="224"/>
      <c r="S5060" s="202"/>
      <c r="T5060"/>
    </row>
    <row r="5061" spans="15:20">
      <c r="O5061" s="247"/>
      <c r="P5061"/>
      <c r="Q5061" s="224"/>
      <c r="S5061" s="202"/>
      <c r="T5061"/>
    </row>
    <row r="5062" spans="15:20">
      <c r="O5062" s="247"/>
      <c r="P5062"/>
      <c r="Q5062" s="224"/>
      <c r="S5062" s="202"/>
      <c r="T5062"/>
    </row>
    <row r="5063" spans="15:20">
      <c r="O5063" s="247"/>
      <c r="P5063"/>
      <c r="Q5063" s="224"/>
      <c r="S5063" s="202"/>
      <c r="T5063"/>
    </row>
    <row r="5064" spans="15:20">
      <c r="O5064" s="247"/>
      <c r="P5064"/>
      <c r="Q5064" s="224"/>
      <c r="S5064" s="202"/>
      <c r="T5064"/>
    </row>
    <row r="5065" spans="15:20">
      <c r="O5065" s="247"/>
      <c r="P5065"/>
      <c r="Q5065" s="224"/>
      <c r="S5065" s="202"/>
      <c r="T5065"/>
    </row>
    <row r="5066" spans="15:20">
      <c r="O5066" s="247"/>
      <c r="P5066"/>
      <c r="Q5066" s="224"/>
      <c r="S5066" s="202"/>
      <c r="T5066"/>
    </row>
    <row r="5067" spans="15:20">
      <c r="O5067" s="247"/>
      <c r="P5067"/>
      <c r="Q5067" s="224"/>
      <c r="S5067" s="202"/>
      <c r="T5067"/>
    </row>
    <row r="5068" spans="15:20">
      <c r="O5068" s="247"/>
      <c r="P5068"/>
      <c r="Q5068" s="224"/>
      <c r="S5068" s="202"/>
      <c r="T5068"/>
    </row>
    <row r="5069" spans="15:20">
      <c r="O5069" s="247"/>
      <c r="P5069"/>
      <c r="Q5069" s="224"/>
      <c r="S5069" s="202"/>
      <c r="T5069"/>
    </row>
    <row r="5070" spans="15:20">
      <c r="O5070" s="247"/>
      <c r="P5070"/>
      <c r="Q5070" s="224"/>
      <c r="S5070" s="202"/>
      <c r="T5070"/>
    </row>
    <row r="5071" spans="15:20">
      <c r="O5071" s="247"/>
      <c r="P5071"/>
      <c r="Q5071" s="224"/>
      <c r="S5071" s="202"/>
      <c r="T5071"/>
    </row>
    <row r="5072" spans="15:20">
      <c r="O5072" s="247"/>
      <c r="P5072"/>
      <c r="Q5072" s="224"/>
      <c r="S5072" s="202"/>
      <c r="T5072"/>
    </row>
    <row r="5073" spans="15:20">
      <c r="O5073" s="247"/>
      <c r="P5073"/>
      <c r="Q5073" s="224"/>
      <c r="S5073" s="202"/>
      <c r="T5073"/>
    </row>
    <row r="5074" spans="15:20">
      <c r="O5074" s="247"/>
      <c r="P5074"/>
      <c r="Q5074" s="224"/>
      <c r="S5074" s="202"/>
      <c r="T5074"/>
    </row>
    <row r="5075" spans="15:20">
      <c r="O5075" s="247"/>
      <c r="P5075"/>
      <c r="Q5075" s="224"/>
      <c r="S5075" s="202"/>
      <c r="T5075"/>
    </row>
    <row r="5076" spans="15:20">
      <c r="O5076" s="247"/>
      <c r="P5076"/>
      <c r="Q5076" s="224"/>
      <c r="S5076" s="202"/>
      <c r="T5076"/>
    </row>
    <row r="5077" spans="15:20">
      <c r="O5077" s="247"/>
      <c r="P5077"/>
      <c r="Q5077" s="224"/>
      <c r="S5077" s="202"/>
      <c r="T5077"/>
    </row>
    <row r="5078" spans="15:20">
      <c r="O5078" s="247"/>
      <c r="P5078"/>
      <c r="Q5078" s="224"/>
      <c r="S5078" s="202"/>
      <c r="T5078"/>
    </row>
    <row r="5079" spans="15:20">
      <c r="O5079" s="247"/>
      <c r="P5079"/>
      <c r="Q5079" s="224"/>
      <c r="S5079" s="202"/>
      <c r="T5079"/>
    </row>
    <row r="5080" spans="15:20">
      <c r="O5080" s="247"/>
      <c r="P5080"/>
      <c r="Q5080" s="224"/>
      <c r="S5080" s="202"/>
      <c r="T5080"/>
    </row>
    <row r="5081" spans="15:20">
      <c r="O5081" s="247"/>
      <c r="P5081"/>
      <c r="Q5081" s="224"/>
      <c r="S5081" s="202"/>
      <c r="T5081"/>
    </row>
    <row r="5082" spans="15:20">
      <c r="O5082" s="247"/>
      <c r="P5082"/>
      <c r="Q5082" s="224"/>
      <c r="S5082" s="202"/>
      <c r="T5082"/>
    </row>
    <row r="5083" spans="15:20">
      <c r="O5083" s="247"/>
      <c r="P5083"/>
      <c r="Q5083" s="224"/>
      <c r="S5083" s="202"/>
      <c r="T5083"/>
    </row>
    <row r="5084" spans="15:20">
      <c r="O5084" s="247"/>
      <c r="P5084"/>
      <c r="Q5084" s="224"/>
      <c r="S5084" s="202"/>
      <c r="T5084"/>
    </row>
    <row r="5085" spans="15:20">
      <c r="O5085" s="247"/>
      <c r="P5085"/>
      <c r="Q5085" s="224"/>
      <c r="S5085" s="202"/>
      <c r="T5085"/>
    </row>
    <row r="5086" spans="15:20">
      <c r="O5086" s="247"/>
      <c r="P5086"/>
      <c r="Q5086" s="224"/>
      <c r="S5086" s="202"/>
      <c r="T5086"/>
    </row>
    <row r="5087" spans="15:20">
      <c r="O5087" s="247"/>
      <c r="P5087"/>
      <c r="Q5087" s="224"/>
      <c r="S5087" s="202"/>
      <c r="T5087"/>
    </row>
    <row r="5088" spans="15:20">
      <c r="O5088" s="247"/>
      <c r="P5088"/>
      <c r="Q5088" s="224"/>
      <c r="S5088" s="202"/>
      <c r="T5088"/>
    </row>
    <row r="5089" spans="15:20">
      <c r="O5089" s="247"/>
      <c r="P5089"/>
      <c r="Q5089" s="224"/>
      <c r="S5089" s="202"/>
      <c r="T5089"/>
    </row>
    <row r="5090" spans="15:20">
      <c r="O5090" s="247"/>
      <c r="P5090"/>
      <c r="Q5090" s="224"/>
      <c r="S5090" s="202"/>
      <c r="T5090"/>
    </row>
    <row r="5091" spans="15:20">
      <c r="O5091" s="247"/>
      <c r="P5091"/>
      <c r="Q5091" s="224"/>
      <c r="S5091" s="202"/>
      <c r="T5091"/>
    </row>
    <row r="5092" spans="15:20">
      <c r="O5092" s="247"/>
      <c r="P5092"/>
      <c r="Q5092" s="224"/>
      <c r="S5092" s="202"/>
      <c r="T5092"/>
    </row>
    <row r="5093" spans="15:20">
      <c r="O5093" s="247"/>
      <c r="P5093"/>
      <c r="Q5093" s="224"/>
      <c r="S5093" s="202"/>
      <c r="T5093"/>
    </row>
    <row r="5094" spans="15:20">
      <c r="O5094" s="247"/>
      <c r="P5094"/>
      <c r="Q5094" s="224"/>
      <c r="S5094" s="202"/>
      <c r="T5094"/>
    </row>
    <row r="5095" spans="15:20">
      <c r="O5095" s="247"/>
      <c r="P5095"/>
      <c r="Q5095" s="224"/>
      <c r="S5095" s="202"/>
      <c r="T5095"/>
    </row>
    <row r="5096" spans="15:20">
      <c r="O5096" s="247"/>
      <c r="P5096"/>
      <c r="Q5096" s="224"/>
      <c r="S5096" s="202"/>
      <c r="T5096"/>
    </row>
    <row r="5097" spans="15:20">
      <c r="O5097" s="247"/>
      <c r="P5097"/>
      <c r="Q5097" s="224"/>
      <c r="S5097" s="202"/>
      <c r="T5097"/>
    </row>
    <row r="5098" spans="15:20">
      <c r="O5098" s="247"/>
      <c r="P5098"/>
      <c r="Q5098" s="224"/>
      <c r="S5098" s="202"/>
      <c r="T5098"/>
    </row>
    <row r="5099" spans="15:20">
      <c r="O5099" s="247"/>
      <c r="P5099"/>
      <c r="Q5099" s="224"/>
      <c r="S5099" s="202"/>
      <c r="T5099"/>
    </row>
    <row r="5100" spans="15:20">
      <c r="O5100" s="247"/>
      <c r="P5100"/>
      <c r="Q5100" s="224"/>
      <c r="S5100" s="202"/>
      <c r="T5100"/>
    </row>
    <row r="5101" spans="15:20">
      <c r="O5101" s="247"/>
      <c r="P5101"/>
      <c r="Q5101" s="224"/>
      <c r="S5101" s="202"/>
      <c r="T5101"/>
    </row>
    <row r="5102" spans="15:20">
      <c r="O5102" s="247"/>
      <c r="P5102"/>
      <c r="Q5102" s="224"/>
      <c r="S5102" s="202"/>
      <c r="T5102"/>
    </row>
    <row r="5103" spans="15:20">
      <c r="O5103" s="247"/>
      <c r="P5103"/>
      <c r="Q5103" s="224"/>
      <c r="S5103" s="202"/>
      <c r="T5103"/>
    </row>
    <row r="5104" spans="15:20">
      <c r="O5104" s="247"/>
      <c r="P5104"/>
      <c r="Q5104" s="224"/>
      <c r="S5104" s="202"/>
      <c r="T5104"/>
    </row>
    <row r="5105" spans="15:20">
      <c r="O5105" s="247"/>
      <c r="P5105"/>
      <c r="Q5105" s="224"/>
      <c r="S5105" s="202"/>
      <c r="T5105"/>
    </row>
    <row r="5106" spans="15:20">
      <c r="O5106" s="247"/>
      <c r="P5106"/>
      <c r="Q5106" s="224"/>
      <c r="S5106" s="202"/>
      <c r="T5106"/>
    </row>
    <row r="5107" spans="15:20">
      <c r="O5107" s="247"/>
      <c r="P5107"/>
      <c r="Q5107" s="224"/>
      <c r="S5107" s="202"/>
      <c r="T5107"/>
    </row>
    <row r="5108" spans="15:20">
      <c r="O5108" s="247"/>
      <c r="P5108"/>
      <c r="Q5108" s="224"/>
      <c r="S5108" s="202"/>
      <c r="T5108"/>
    </row>
    <row r="5109" spans="15:20">
      <c r="O5109" s="247"/>
      <c r="P5109"/>
      <c r="Q5109" s="224"/>
      <c r="S5109" s="202"/>
      <c r="T5109"/>
    </row>
    <row r="5110" spans="15:20">
      <c r="O5110" s="247"/>
      <c r="P5110"/>
      <c r="Q5110" s="224"/>
      <c r="S5110" s="202"/>
      <c r="T5110"/>
    </row>
    <row r="5111" spans="15:20">
      <c r="O5111" s="247"/>
      <c r="P5111"/>
      <c r="Q5111" s="224"/>
      <c r="S5111" s="202"/>
      <c r="T5111"/>
    </row>
    <row r="5112" spans="15:20">
      <c r="O5112" s="247"/>
      <c r="P5112"/>
      <c r="Q5112" s="224"/>
      <c r="S5112" s="202"/>
      <c r="T5112"/>
    </row>
    <row r="5113" spans="15:20">
      <c r="O5113" s="247"/>
      <c r="P5113"/>
      <c r="Q5113" s="224"/>
      <c r="S5113" s="202"/>
      <c r="T5113"/>
    </row>
    <row r="5114" spans="15:20">
      <c r="O5114" s="247"/>
      <c r="P5114"/>
      <c r="Q5114" s="224"/>
      <c r="S5114" s="202"/>
      <c r="T5114"/>
    </row>
    <row r="5115" spans="15:20">
      <c r="O5115" s="247"/>
      <c r="P5115"/>
      <c r="Q5115" s="224"/>
      <c r="S5115" s="202"/>
      <c r="T5115"/>
    </row>
    <row r="5116" spans="15:20">
      <c r="O5116" s="247"/>
      <c r="P5116"/>
      <c r="Q5116" s="224"/>
      <c r="S5116" s="202"/>
      <c r="T5116"/>
    </row>
    <row r="5117" spans="15:20">
      <c r="O5117" s="247"/>
      <c r="P5117"/>
      <c r="Q5117" s="224"/>
      <c r="S5117" s="202"/>
      <c r="T5117"/>
    </row>
    <row r="5118" spans="15:20">
      <c r="O5118" s="247"/>
      <c r="P5118"/>
      <c r="Q5118" s="224"/>
      <c r="S5118" s="202"/>
      <c r="T5118"/>
    </row>
    <row r="5119" spans="15:20">
      <c r="O5119" s="247"/>
      <c r="P5119"/>
      <c r="Q5119" s="224"/>
      <c r="S5119" s="202"/>
      <c r="T5119"/>
    </row>
    <row r="5120" spans="15:20">
      <c r="O5120" s="247"/>
      <c r="P5120"/>
      <c r="Q5120" s="224"/>
      <c r="S5120" s="202"/>
      <c r="T5120"/>
    </row>
    <row r="5121" spans="15:20">
      <c r="O5121" s="247"/>
      <c r="P5121"/>
      <c r="Q5121" s="224"/>
      <c r="S5121" s="202"/>
      <c r="T5121"/>
    </row>
    <row r="5122" spans="15:20">
      <c r="O5122" s="247"/>
      <c r="P5122"/>
      <c r="Q5122" s="224"/>
      <c r="S5122" s="202"/>
      <c r="T5122"/>
    </row>
    <row r="5123" spans="15:20">
      <c r="O5123" s="247"/>
      <c r="P5123"/>
      <c r="Q5123" s="224"/>
      <c r="S5123" s="202"/>
      <c r="T5123"/>
    </row>
    <row r="5124" spans="15:20">
      <c r="O5124" s="247"/>
      <c r="P5124"/>
      <c r="Q5124" s="224"/>
      <c r="S5124" s="202"/>
      <c r="T5124"/>
    </row>
    <row r="5125" spans="15:20">
      <c r="O5125" s="247"/>
      <c r="P5125"/>
      <c r="Q5125" s="224"/>
      <c r="S5125" s="202"/>
      <c r="T5125"/>
    </row>
    <row r="5126" spans="15:20">
      <c r="O5126" s="247"/>
      <c r="P5126"/>
      <c r="Q5126" s="224"/>
      <c r="S5126" s="202"/>
      <c r="T5126"/>
    </row>
    <row r="5127" spans="15:20">
      <c r="O5127" s="247"/>
      <c r="P5127"/>
      <c r="Q5127" s="224"/>
      <c r="S5127" s="202"/>
      <c r="T5127"/>
    </row>
    <row r="5128" spans="15:20">
      <c r="O5128" s="247"/>
      <c r="P5128"/>
      <c r="Q5128" s="224"/>
      <c r="S5128" s="202"/>
      <c r="T5128"/>
    </row>
    <row r="5129" spans="15:20">
      <c r="O5129" s="247"/>
      <c r="P5129"/>
      <c r="Q5129" s="224"/>
      <c r="S5129" s="202"/>
      <c r="T5129"/>
    </row>
    <row r="5130" spans="15:20">
      <c r="O5130" s="247"/>
      <c r="P5130"/>
      <c r="Q5130" s="224"/>
      <c r="S5130" s="202"/>
      <c r="T5130"/>
    </row>
    <row r="5131" spans="15:20">
      <c r="O5131" s="247"/>
      <c r="P5131"/>
      <c r="Q5131" s="224"/>
      <c r="S5131" s="202"/>
      <c r="T5131"/>
    </row>
    <row r="5132" spans="15:20">
      <c r="O5132" s="247"/>
      <c r="P5132"/>
      <c r="Q5132" s="224"/>
      <c r="S5132" s="202"/>
      <c r="T5132"/>
    </row>
    <row r="5133" spans="15:20">
      <c r="O5133" s="247"/>
      <c r="P5133"/>
      <c r="Q5133" s="224"/>
      <c r="S5133" s="202"/>
      <c r="T5133"/>
    </row>
    <row r="5134" spans="15:20">
      <c r="O5134" s="247"/>
      <c r="P5134"/>
      <c r="Q5134" s="224"/>
      <c r="S5134" s="202"/>
      <c r="T5134"/>
    </row>
    <row r="5135" spans="15:20">
      <c r="O5135" s="247"/>
      <c r="P5135"/>
      <c r="Q5135" s="224"/>
      <c r="S5135" s="202"/>
      <c r="T5135"/>
    </row>
    <row r="5136" spans="15:20">
      <c r="O5136" s="247"/>
      <c r="P5136"/>
      <c r="Q5136" s="224"/>
      <c r="S5136" s="202"/>
      <c r="T5136"/>
    </row>
    <row r="5137" spans="15:20">
      <c r="O5137" s="247"/>
      <c r="P5137"/>
      <c r="Q5137" s="224"/>
      <c r="S5137" s="202"/>
      <c r="T5137"/>
    </row>
    <row r="5138" spans="15:20">
      <c r="O5138" s="247"/>
      <c r="P5138"/>
      <c r="Q5138" s="224"/>
      <c r="S5138" s="202"/>
      <c r="T5138"/>
    </row>
    <row r="5139" spans="15:20">
      <c r="O5139" s="247"/>
      <c r="P5139"/>
      <c r="Q5139" s="224"/>
      <c r="S5139" s="202"/>
      <c r="T5139"/>
    </row>
    <row r="5140" spans="15:20">
      <c r="O5140" s="247"/>
      <c r="P5140"/>
      <c r="Q5140" s="224"/>
      <c r="S5140" s="202"/>
      <c r="T5140"/>
    </row>
    <row r="5141" spans="15:20">
      <c r="O5141" s="247"/>
      <c r="P5141"/>
      <c r="Q5141" s="224"/>
      <c r="S5141" s="202"/>
      <c r="T5141"/>
    </row>
    <row r="5142" spans="15:20">
      <c r="O5142" s="247"/>
      <c r="P5142"/>
      <c r="Q5142" s="224"/>
      <c r="S5142" s="202"/>
      <c r="T5142"/>
    </row>
    <row r="5143" spans="15:20">
      <c r="O5143" s="247"/>
      <c r="P5143"/>
      <c r="Q5143" s="224"/>
      <c r="S5143" s="202"/>
      <c r="T5143"/>
    </row>
    <row r="5144" spans="15:20">
      <c r="O5144" s="247"/>
      <c r="P5144"/>
      <c r="Q5144" s="224"/>
      <c r="S5144" s="202"/>
      <c r="T5144"/>
    </row>
    <row r="5145" spans="15:20">
      <c r="O5145" s="247"/>
      <c r="P5145"/>
      <c r="Q5145" s="224"/>
      <c r="S5145" s="202"/>
      <c r="T5145"/>
    </row>
    <row r="5146" spans="15:20">
      <c r="O5146" s="247"/>
      <c r="P5146"/>
      <c r="Q5146" s="224"/>
      <c r="S5146" s="202"/>
      <c r="T5146"/>
    </row>
    <row r="5147" spans="15:20">
      <c r="O5147" s="247"/>
      <c r="P5147"/>
      <c r="Q5147" s="224"/>
      <c r="S5147" s="202"/>
      <c r="T5147"/>
    </row>
    <row r="5148" spans="15:20">
      <c r="O5148" s="247"/>
      <c r="P5148"/>
      <c r="Q5148" s="224"/>
      <c r="S5148" s="202"/>
      <c r="T5148"/>
    </row>
    <row r="5149" spans="15:20">
      <c r="O5149" s="247"/>
      <c r="P5149"/>
      <c r="Q5149" s="224"/>
      <c r="S5149" s="202"/>
      <c r="T5149"/>
    </row>
    <row r="5150" spans="15:20">
      <c r="O5150" s="247"/>
      <c r="P5150"/>
      <c r="Q5150" s="224"/>
      <c r="S5150" s="202"/>
      <c r="T5150"/>
    </row>
    <row r="5151" spans="15:20">
      <c r="O5151" s="247"/>
      <c r="P5151"/>
      <c r="Q5151" s="224"/>
      <c r="S5151" s="202"/>
      <c r="T5151"/>
    </row>
    <row r="5152" spans="15:20">
      <c r="O5152" s="247"/>
      <c r="P5152"/>
      <c r="Q5152" s="224"/>
      <c r="S5152" s="202"/>
      <c r="T5152"/>
    </row>
    <row r="5153" spans="15:20">
      <c r="O5153" s="247"/>
      <c r="P5153"/>
      <c r="Q5153" s="224"/>
      <c r="S5153" s="202"/>
      <c r="T5153"/>
    </row>
    <row r="5154" spans="15:20">
      <c r="O5154" s="247"/>
      <c r="P5154"/>
      <c r="Q5154" s="224"/>
      <c r="S5154" s="202"/>
      <c r="T5154"/>
    </row>
    <row r="5155" spans="15:20">
      <c r="O5155" s="247"/>
      <c r="P5155"/>
      <c r="Q5155" s="224"/>
      <c r="S5155" s="202"/>
      <c r="T5155"/>
    </row>
    <row r="5156" spans="15:20">
      <c r="O5156" s="247"/>
      <c r="P5156"/>
      <c r="Q5156" s="224"/>
      <c r="S5156" s="202"/>
      <c r="T5156"/>
    </row>
    <row r="5157" spans="15:20">
      <c r="O5157" s="247"/>
      <c r="P5157"/>
      <c r="Q5157" s="224"/>
      <c r="S5157" s="202"/>
      <c r="T5157"/>
    </row>
    <row r="5158" spans="15:20">
      <c r="O5158" s="247"/>
      <c r="P5158"/>
      <c r="Q5158" s="224"/>
      <c r="S5158" s="202"/>
      <c r="T5158"/>
    </row>
    <row r="5159" spans="15:20">
      <c r="O5159" s="247"/>
      <c r="P5159"/>
      <c r="Q5159" s="224"/>
      <c r="S5159" s="202"/>
      <c r="T5159"/>
    </row>
    <row r="5160" spans="15:20">
      <c r="O5160" s="247"/>
      <c r="P5160"/>
      <c r="Q5160" s="224"/>
      <c r="S5160" s="202"/>
      <c r="T5160"/>
    </row>
    <row r="5161" spans="15:20">
      <c r="O5161" s="247"/>
      <c r="P5161"/>
      <c r="Q5161" s="224"/>
      <c r="S5161" s="202"/>
      <c r="T5161"/>
    </row>
    <row r="5162" spans="15:20">
      <c r="O5162" s="247"/>
      <c r="P5162"/>
      <c r="Q5162" s="224"/>
      <c r="S5162" s="202"/>
      <c r="T5162"/>
    </row>
    <row r="5163" spans="15:20">
      <c r="O5163" s="247"/>
      <c r="P5163"/>
      <c r="Q5163" s="224"/>
      <c r="S5163" s="202"/>
      <c r="T5163"/>
    </row>
    <row r="5164" spans="15:20">
      <c r="O5164" s="247"/>
      <c r="P5164"/>
      <c r="Q5164" s="224"/>
      <c r="S5164" s="202"/>
      <c r="T5164"/>
    </row>
    <row r="5165" spans="15:20">
      <c r="O5165" s="247"/>
      <c r="P5165"/>
      <c r="Q5165" s="224"/>
      <c r="S5165" s="202"/>
      <c r="T5165"/>
    </row>
    <row r="5166" spans="15:20">
      <c r="O5166" s="247"/>
      <c r="P5166"/>
      <c r="Q5166" s="224"/>
      <c r="S5166" s="202"/>
      <c r="T5166"/>
    </row>
    <row r="5167" spans="15:20">
      <c r="O5167" s="247"/>
      <c r="P5167"/>
      <c r="Q5167" s="224"/>
      <c r="S5167" s="202"/>
      <c r="T5167"/>
    </row>
    <row r="5168" spans="15:20">
      <c r="O5168" s="247"/>
      <c r="P5168"/>
      <c r="Q5168" s="224"/>
      <c r="S5168" s="202"/>
      <c r="T5168"/>
    </row>
    <row r="5169" spans="15:20">
      <c r="O5169" s="247"/>
      <c r="P5169"/>
      <c r="Q5169" s="224"/>
      <c r="S5169" s="202"/>
      <c r="T5169"/>
    </row>
    <row r="5170" spans="15:20">
      <c r="O5170" s="247"/>
      <c r="P5170"/>
      <c r="Q5170" s="224"/>
      <c r="S5170" s="202"/>
      <c r="T5170"/>
    </row>
    <row r="5171" spans="15:20">
      <c r="O5171" s="247"/>
      <c r="P5171"/>
      <c r="Q5171" s="224"/>
      <c r="S5171" s="202"/>
      <c r="T5171"/>
    </row>
    <row r="5172" spans="15:20">
      <c r="O5172" s="247"/>
      <c r="P5172"/>
      <c r="Q5172" s="224"/>
      <c r="S5172" s="202"/>
      <c r="T5172"/>
    </row>
    <row r="5173" spans="15:20">
      <c r="O5173" s="247"/>
      <c r="P5173"/>
      <c r="Q5173" s="224"/>
      <c r="S5173" s="202"/>
      <c r="T5173"/>
    </row>
    <row r="5174" spans="15:20">
      <c r="O5174" s="247"/>
      <c r="P5174"/>
      <c r="Q5174" s="224"/>
      <c r="S5174" s="202"/>
      <c r="T5174"/>
    </row>
    <row r="5175" spans="15:20">
      <c r="O5175" s="247"/>
      <c r="P5175"/>
      <c r="Q5175" s="224"/>
      <c r="S5175" s="202"/>
      <c r="T5175"/>
    </row>
    <row r="5176" spans="15:20">
      <c r="O5176" s="247"/>
      <c r="P5176"/>
      <c r="Q5176" s="224"/>
      <c r="S5176" s="202"/>
      <c r="T5176"/>
    </row>
    <row r="5177" spans="15:20">
      <c r="O5177" s="247"/>
      <c r="P5177"/>
      <c r="Q5177" s="224"/>
      <c r="S5177" s="202"/>
      <c r="T5177"/>
    </row>
    <row r="5178" spans="15:20">
      <c r="O5178" s="247"/>
      <c r="P5178"/>
      <c r="Q5178" s="224"/>
      <c r="S5178" s="202"/>
      <c r="T5178"/>
    </row>
    <row r="5179" spans="15:20">
      <c r="O5179" s="247"/>
      <c r="P5179"/>
      <c r="Q5179" s="224"/>
      <c r="S5179" s="202"/>
      <c r="T5179"/>
    </row>
    <row r="5180" spans="15:20">
      <c r="O5180" s="247"/>
      <c r="P5180"/>
      <c r="Q5180" s="224"/>
      <c r="S5180" s="202"/>
      <c r="T5180"/>
    </row>
    <row r="5181" spans="15:20">
      <c r="O5181" s="247"/>
      <c r="P5181"/>
      <c r="Q5181" s="224"/>
      <c r="S5181" s="202"/>
      <c r="T5181"/>
    </row>
    <row r="5182" spans="15:20">
      <c r="O5182" s="247"/>
      <c r="P5182"/>
      <c r="Q5182" s="224"/>
      <c r="S5182" s="202"/>
      <c r="T5182"/>
    </row>
    <row r="5183" spans="15:20">
      <c r="O5183" s="247"/>
      <c r="P5183"/>
      <c r="Q5183" s="224"/>
      <c r="S5183" s="202"/>
      <c r="T5183"/>
    </row>
    <row r="5184" spans="15:20">
      <c r="O5184" s="247"/>
      <c r="P5184"/>
      <c r="Q5184" s="224"/>
      <c r="S5184" s="202"/>
      <c r="T5184"/>
    </row>
    <row r="5185" spans="15:20">
      <c r="O5185" s="247"/>
      <c r="P5185"/>
      <c r="Q5185" s="224"/>
      <c r="S5185" s="202"/>
      <c r="T5185"/>
    </row>
    <row r="5186" spans="15:20">
      <c r="O5186" s="247"/>
      <c r="P5186"/>
      <c r="Q5186" s="224"/>
      <c r="S5186" s="202"/>
      <c r="T5186"/>
    </row>
    <row r="5187" spans="15:20">
      <c r="O5187" s="247"/>
      <c r="P5187"/>
      <c r="Q5187" s="224"/>
      <c r="S5187" s="202"/>
      <c r="T5187"/>
    </row>
    <row r="5188" spans="15:20">
      <c r="O5188" s="247"/>
      <c r="P5188"/>
      <c r="Q5188" s="224"/>
      <c r="S5188" s="202"/>
      <c r="T5188"/>
    </row>
    <row r="5189" spans="15:20">
      <c r="O5189" s="247"/>
      <c r="P5189"/>
      <c r="Q5189" s="224"/>
      <c r="S5189" s="202"/>
      <c r="T5189"/>
    </row>
    <row r="5190" spans="15:20">
      <c r="O5190" s="247"/>
      <c r="P5190"/>
      <c r="Q5190" s="224"/>
      <c r="S5190" s="202"/>
      <c r="T5190"/>
    </row>
    <row r="5191" spans="15:20">
      <c r="O5191" s="247"/>
      <c r="P5191"/>
      <c r="Q5191" s="224"/>
      <c r="S5191" s="202"/>
      <c r="T5191"/>
    </row>
    <row r="5192" spans="15:20">
      <c r="O5192" s="247"/>
      <c r="P5192"/>
      <c r="Q5192" s="224"/>
      <c r="S5192" s="202"/>
      <c r="T5192"/>
    </row>
    <row r="5193" spans="15:20">
      <c r="O5193" s="247"/>
      <c r="P5193"/>
      <c r="Q5193" s="224"/>
      <c r="S5193" s="202"/>
      <c r="T5193"/>
    </row>
    <row r="5194" spans="15:20">
      <c r="O5194" s="247"/>
      <c r="P5194"/>
      <c r="Q5194" s="224"/>
      <c r="S5194" s="202"/>
      <c r="T5194"/>
    </row>
    <row r="5195" spans="15:20">
      <c r="O5195" s="247"/>
      <c r="P5195"/>
      <c r="Q5195" s="224"/>
      <c r="S5195" s="202"/>
      <c r="T5195"/>
    </row>
    <row r="5196" spans="15:20">
      <c r="O5196" s="247"/>
      <c r="P5196"/>
      <c r="Q5196" s="224"/>
      <c r="S5196" s="202"/>
      <c r="T5196"/>
    </row>
    <row r="5197" spans="15:20">
      <c r="O5197" s="247"/>
      <c r="P5197"/>
      <c r="Q5197" s="224"/>
      <c r="S5197" s="202"/>
      <c r="T5197"/>
    </row>
    <row r="5198" spans="15:20">
      <c r="O5198" s="247"/>
      <c r="P5198"/>
      <c r="Q5198" s="224"/>
      <c r="S5198" s="202"/>
      <c r="T5198"/>
    </row>
    <row r="5199" spans="15:20">
      <c r="O5199" s="247"/>
      <c r="P5199"/>
      <c r="Q5199" s="224"/>
      <c r="S5199" s="202"/>
      <c r="T5199"/>
    </row>
    <row r="5200" spans="15:20">
      <c r="O5200" s="247"/>
      <c r="P5200"/>
      <c r="Q5200" s="224"/>
      <c r="S5200" s="202"/>
      <c r="T5200"/>
    </row>
    <row r="5201" spans="15:20">
      <c r="O5201" s="247"/>
      <c r="P5201"/>
      <c r="Q5201" s="224"/>
      <c r="S5201" s="202"/>
      <c r="T5201"/>
    </row>
    <row r="5202" spans="15:20">
      <c r="O5202" s="247"/>
      <c r="P5202"/>
      <c r="Q5202" s="224"/>
      <c r="S5202" s="202"/>
      <c r="T5202"/>
    </row>
    <row r="5203" spans="15:20">
      <c r="O5203" s="247"/>
      <c r="P5203"/>
      <c r="Q5203" s="224"/>
      <c r="S5203" s="202"/>
      <c r="T5203"/>
    </row>
    <row r="5204" spans="15:20">
      <c r="O5204" s="247"/>
      <c r="P5204"/>
      <c r="Q5204" s="224"/>
      <c r="S5204" s="202"/>
      <c r="T5204"/>
    </row>
    <row r="5205" spans="15:20">
      <c r="O5205" s="247"/>
      <c r="P5205"/>
      <c r="Q5205" s="224"/>
      <c r="S5205" s="202"/>
      <c r="T5205"/>
    </row>
    <row r="5206" spans="15:20">
      <c r="O5206" s="247"/>
      <c r="P5206"/>
      <c r="Q5206" s="224"/>
      <c r="S5206" s="202"/>
      <c r="T5206"/>
    </row>
    <row r="5207" spans="15:20">
      <c r="O5207" s="247"/>
      <c r="P5207"/>
      <c r="Q5207" s="224"/>
      <c r="S5207" s="202"/>
      <c r="T5207"/>
    </row>
    <row r="5208" spans="15:20">
      <c r="O5208" s="247"/>
      <c r="P5208"/>
      <c r="Q5208" s="224"/>
      <c r="S5208" s="202"/>
      <c r="T5208"/>
    </row>
    <row r="5209" spans="15:20">
      <c r="O5209" s="247"/>
      <c r="P5209"/>
      <c r="Q5209" s="224"/>
      <c r="S5209" s="202"/>
      <c r="T5209"/>
    </row>
    <row r="5210" spans="15:20">
      <c r="O5210" s="247"/>
      <c r="P5210"/>
      <c r="Q5210" s="224"/>
      <c r="S5210" s="202"/>
      <c r="T5210"/>
    </row>
    <row r="5211" spans="15:20">
      <c r="O5211" s="247"/>
      <c r="P5211"/>
      <c r="Q5211" s="224"/>
      <c r="S5211" s="202"/>
      <c r="T5211"/>
    </row>
    <row r="5212" spans="15:20">
      <c r="O5212" s="247"/>
      <c r="P5212"/>
      <c r="Q5212" s="224"/>
      <c r="S5212" s="202"/>
      <c r="T5212"/>
    </row>
    <row r="5213" spans="15:20">
      <c r="O5213" s="247"/>
      <c r="P5213"/>
      <c r="Q5213" s="224"/>
      <c r="S5213" s="202"/>
      <c r="T5213"/>
    </row>
    <row r="5214" spans="15:20">
      <c r="O5214" s="247"/>
      <c r="P5214"/>
      <c r="Q5214" s="224"/>
      <c r="S5214" s="202"/>
      <c r="T5214"/>
    </row>
    <row r="5215" spans="15:20">
      <c r="O5215" s="247"/>
      <c r="P5215"/>
      <c r="Q5215" s="224"/>
      <c r="S5215" s="202"/>
      <c r="T5215"/>
    </row>
    <row r="5216" spans="15:20">
      <c r="O5216" s="247"/>
      <c r="P5216"/>
      <c r="Q5216" s="224"/>
      <c r="S5216" s="202"/>
      <c r="T5216"/>
    </row>
    <row r="5217" spans="15:20">
      <c r="O5217" s="247"/>
      <c r="P5217"/>
      <c r="Q5217" s="224"/>
      <c r="S5217" s="202"/>
      <c r="T5217"/>
    </row>
    <row r="5218" spans="15:20">
      <c r="O5218" s="247"/>
      <c r="P5218"/>
      <c r="Q5218" s="224"/>
      <c r="S5218" s="202"/>
      <c r="T5218"/>
    </row>
    <row r="5219" spans="15:20">
      <c r="O5219" s="247"/>
      <c r="P5219"/>
      <c r="Q5219" s="224"/>
      <c r="S5219" s="202"/>
      <c r="T5219"/>
    </row>
    <row r="5220" spans="15:20">
      <c r="O5220" s="247"/>
      <c r="P5220"/>
      <c r="Q5220" s="224"/>
      <c r="S5220" s="202"/>
      <c r="T5220"/>
    </row>
    <row r="5221" spans="15:20">
      <c r="O5221" s="247"/>
      <c r="P5221"/>
      <c r="Q5221" s="224"/>
      <c r="S5221" s="202"/>
      <c r="T5221"/>
    </row>
    <row r="5222" spans="15:20">
      <c r="O5222" s="247"/>
      <c r="P5222"/>
      <c r="Q5222" s="224"/>
      <c r="S5222" s="202"/>
      <c r="T5222"/>
    </row>
    <row r="5223" spans="15:20">
      <c r="O5223" s="247"/>
      <c r="P5223"/>
      <c r="Q5223" s="224"/>
      <c r="S5223" s="202"/>
      <c r="T5223"/>
    </row>
    <row r="5224" spans="15:20">
      <c r="O5224" s="247"/>
      <c r="P5224"/>
      <c r="Q5224" s="224"/>
      <c r="S5224" s="202"/>
      <c r="T5224"/>
    </row>
    <row r="5225" spans="15:20">
      <c r="O5225" s="247"/>
      <c r="P5225"/>
      <c r="Q5225" s="224"/>
      <c r="S5225" s="202"/>
      <c r="T5225"/>
    </row>
    <row r="5226" spans="15:20">
      <c r="O5226" s="247"/>
      <c r="P5226"/>
      <c r="Q5226" s="224"/>
      <c r="S5226" s="202"/>
      <c r="T5226"/>
    </row>
    <row r="5227" spans="15:20">
      <c r="O5227" s="247"/>
      <c r="P5227"/>
      <c r="Q5227" s="224"/>
      <c r="S5227" s="202"/>
      <c r="T5227"/>
    </row>
    <row r="5228" spans="15:20">
      <c r="O5228" s="247"/>
      <c r="P5228"/>
      <c r="Q5228" s="224"/>
      <c r="S5228" s="202"/>
      <c r="T5228"/>
    </row>
    <row r="5229" spans="15:20">
      <c r="O5229" s="247"/>
      <c r="P5229"/>
      <c r="Q5229" s="224"/>
      <c r="S5229" s="202"/>
      <c r="T5229"/>
    </row>
    <row r="5230" spans="15:20">
      <c r="O5230" s="247"/>
      <c r="P5230"/>
      <c r="Q5230" s="224"/>
      <c r="S5230" s="202"/>
      <c r="T5230"/>
    </row>
    <row r="5231" spans="15:20">
      <c r="O5231" s="247"/>
      <c r="P5231"/>
      <c r="Q5231" s="224"/>
      <c r="S5231" s="202"/>
      <c r="T5231"/>
    </row>
    <row r="5232" spans="15:20">
      <c r="O5232" s="247"/>
      <c r="P5232"/>
      <c r="Q5232" s="224"/>
      <c r="S5232" s="202"/>
      <c r="T5232"/>
    </row>
    <row r="5233" spans="15:20">
      <c r="O5233" s="247"/>
      <c r="P5233"/>
      <c r="Q5233" s="224"/>
      <c r="S5233" s="202"/>
      <c r="T5233"/>
    </row>
    <row r="5234" spans="15:20">
      <c r="O5234" s="247"/>
      <c r="P5234"/>
      <c r="Q5234" s="224"/>
      <c r="S5234" s="202"/>
      <c r="T5234"/>
    </row>
    <row r="5235" spans="15:20">
      <c r="O5235" s="247"/>
      <c r="P5235"/>
      <c r="Q5235" s="224"/>
      <c r="S5235" s="202"/>
      <c r="T5235"/>
    </row>
    <row r="5236" spans="15:20">
      <c r="O5236" s="247"/>
      <c r="P5236"/>
      <c r="Q5236" s="224"/>
      <c r="S5236" s="202"/>
      <c r="T5236"/>
    </row>
    <row r="5237" spans="15:20">
      <c r="O5237" s="247"/>
      <c r="P5237"/>
      <c r="Q5237" s="224"/>
      <c r="S5237" s="202"/>
      <c r="T5237"/>
    </row>
    <row r="5238" spans="15:20">
      <c r="O5238" s="247"/>
      <c r="P5238"/>
      <c r="Q5238" s="224"/>
      <c r="S5238" s="202"/>
      <c r="T5238"/>
    </row>
    <row r="5239" spans="15:20">
      <c r="O5239" s="247"/>
      <c r="P5239"/>
      <c r="Q5239" s="224"/>
      <c r="S5239" s="202"/>
      <c r="T5239"/>
    </row>
    <row r="5240" spans="15:20">
      <c r="O5240" s="247"/>
      <c r="P5240"/>
      <c r="Q5240" s="224"/>
      <c r="S5240" s="202"/>
      <c r="T5240"/>
    </row>
    <row r="5241" spans="15:20">
      <c r="O5241" s="247"/>
      <c r="P5241"/>
      <c r="Q5241" s="224"/>
      <c r="S5241" s="202"/>
      <c r="T5241"/>
    </row>
    <row r="5242" spans="15:20">
      <c r="O5242" s="247"/>
      <c r="P5242"/>
      <c r="Q5242" s="224"/>
      <c r="S5242" s="202"/>
      <c r="T5242"/>
    </row>
    <row r="5243" spans="15:20">
      <c r="O5243" s="247"/>
      <c r="P5243"/>
      <c r="Q5243" s="224"/>
      <c r="S5243" s="202"/>
      <c r="T5243"/>
    </row>
    <row r="5244" spans="15:20">
      <c r="O5244" s="247"/>
      <c r="P5244"/>
      <c r="Q5244" s="224"/>
      <c r="S5244" s="202"/>
      <c r="T5244"/>
    </row>
    <row r="5245" spans="15:20">
      <c r="O5245" s="247"/>
      <c r="P5245"/>
      <c r="Q5245" s="224"/>
      <c r="S5245" s="202"/>
      <c r="T5245"/>
    </row>
    <row r="5246" spans="15:20">
      <c r="O5246" s="247"/>
      <c r="P5246"/>
      <c r="Q5246" s="224"/>
      <c r="S5246" s="202"/>
      <c r="T5246"/>
    </row>
    <row r="5247" spans="15:20">
      <c r="O5247" s="247"/>
      <c r="P5247"/>
      <c r="Q5247" s="224"/>
      <c r="S5247" s="202"/>
      <c r="T5247"/>
    </row>
    <row r="5248" spans="15:20">
      <c r="O5248" s="247"/>
      <c r="P5248"/>
      <c r="Q5248" s="224"/>
      <c r="S5248" s="202"/>
      <c r="T5248"/>
    </row>
    <row r="5249" spans="15:20">
      <c r="O5249" s="247"/>
      <c r="P5249"/>
      <c r="Q5249" s="224"/>
      <c r="S5249" s="202"/>
      <c r="T5249"/>
    </row>
    <row r="5250" spans="15:20">
      <c r="O5250" s="247"/>
      <c r="P5250"/>
      <c r="Q5250" s="224"/>
      <c r="S5250" s="202"/>
      <c r="T5250"/>
    </row>
    <row r="5251" spans="15:20">
      <c r="O5251" s="247"/>
      <c r="P5251"/>
      <c r="Q5251" s="224"/>
      <c r="S5251" s="202"/>
      <c r="T5251"/>
    </row>
    <row r="5252" spans="15:20">
      <c r="O5252" s="247"/>
      <c r="P5252"/>
      <c r="Q5252" s="224"/>
      <c r="S5252" s="202"/>
      <c r="T5252"/>
    </row>
    <row r="5253" spans="15:20">
      <c r="O5253" s="247"/>
      <c r="P5253"/>
      <c r="Q5253" s="224"/>
      <c r="S5253" s="202"/>
      <c r="T5253"/>
    </row>
    <row r="5254" spans="15:20">
      <c r="O5254" s="247"/>
      <c r="P5254"/>
      <c r="Q5254" s="224"/>
      <c r="S5254" s="202"/>
      <c r="T5254"/>
    </row>
    <row r="5255" spans="15:20">
      <c r="O5255" s="247"/>
      <c r="P5255"/>
      <c r="Q5255" s="224"/>
      <c r="S5255" s="202"/>
      <c r="T5255"/>
    </row>
    <row r="5256" spans="15:20">
      <c r="O5256" s="247"/>
      <c r="P5256"/>
      <c r="Q5256" s="224"/>
      <c r="S5256" s="202"/>
      <c r="T5256"/>
    </row>
    <row r="5257" spans="15:20">
      <c r="O5257" s="247"/>
      <c r="P5257"/>
      <c r="Q5257" s="224"/>
      <c r="S5257" s="202"/>
      <c r="T5257"/>
    </row>
    <row r="5258" spans="15:20">
      <c r="O5258" s="247"/>
      <c r="P5258"/>
      <c r="Q5258" s="224"/>
      <c r="S5258" s="202"/>
      <c r="T5258"/>
    </row>
    <row r="5259" spans="15:20">
      <c r="O5259" s="247"/>
      <c r="P5259"/>
      <c r="Q5259" s="224"/>
      <c r="S5259" s="202"/>
      <c r="T5259"/>
    </row>
    <row r="5260" spans="15:20">
      <c r="O5260" s="247"/>
      <c r="P5260"/>
      <c r="Q5260" s="224"/>
      <c r="S5260" s="202"/>
      <c r="T5260"/>
    </row>
    <row r="5261" spans="15:20">
      <c r="O5261" s="247"/>
      <c r="P5261"/>
      <c r="Q5261" s="224"/>
      <c r="S5261" s="202"/>
      <c r="T5261"/>
    </row>
    <row r="5262" spans="15:20">
      <c r="O5262" s="247"/>
      <c r="P5262"/>
      <c r="Q5262" s="224"/>
      <c r="S5262" s="202"/>
      <c r="T5262"/>
    </row>
    <row r="5263" spans="15:20">
      <c r="O5263" s="247"/>
      <c r="P5263"/>
      <c r="Q5263" s="224"/>
      <c r="S5263" s="202"/>
      <c r="T5263"/>
    </row>
    <row r="5264" spans="15:20">
      <c r="O5264" s="247"/>
      <c r="P5264"/>
      <c r="Q5264" s="224"/>
      <c r="S5264" s="202"/>
      <c r="T5264"/>
    </row>
    <row r="5265" spans="15:20">
      <c r="O5265" s="247"/>
      <c r="P5265"/>
      <c r="Q5265" s="224"/>
      <c r="S5265" s="202"/>
      <c r="T5265"/>
    </row>
    <row r="5266" spans="15:20">
      <c r="O5266" s="247"/>
      <c r="P5266"/>
      <c r="Q5266" s="224"/>
      <c r="S5266" s="202"/>
      <c r="T5266"/>
    </row>
    <row r="5267" spans="15:20">
      <c r="O5267" s="247"/>
      <c r="P5267"/>
      <c r="Q5267" s="224"/>
      <c r="S5267" s="202"/>
      <c r="T5267"/>
    </row>
    <row r="5268" spans="15:20">
      <c r="O5268" s="247"/>
      <c r="P5268"/>
      <c r="Q5268" s="224"/>
      <c r="S5268" s="202"/>
      <c r="T5268"/>
    </row>
    <row r="5269" spans="15:20">
      <c r="O5269" s="247"/>
      <c r="P5269"/>
      <c r="Q5269" s="224"/>
      <c r="S5269" s="202"/>
      <c r="T5269"/>
    </row>
    <row r="5270" spans="15:20">
      <c r="O5270" s="247"/>
      <c r="P5270"/>
      <c r="Q5270" s="224"/>
      <c r="S5270" s="202"/>
      <c r="T5270"/>
    </row>
    <row r="5271" spans="15:20">
      <c r="O5271" s="247"/>
      <c r="P5271"/>
      <c r="Q5271" s="224"/>
      <c r="S5271" s="202"/>
      <c r="T5271"/>
    </row>
    <row r="5272" spans="15:20">
      <c r="O5272" s="247"/>
      <c r="P5272"/>
      <c r="Q5272" s="224"/>
      <c r="S5272" s="202"/>
      <c r="T5272"/>
    </row>
    <row r="5273" spans="15:20">
      <c r="O5273" s="247"/>
      <c r="P5273"/>
      <c r="Q5273" s="224"/>
      <c r="S5273" s="202"/>
      <c r="T5273"/>
    </row>
    <row r="5274" spans="15:20">
      <c r="O5274" s="247"/>
      <c r="P5274"/>
      <c r="Q5274" s="224"/>
      <c r="S5274" s="202"/>
      <c r="T5274"/>
    </row>
    <row r="5275" spans="15:20">
      <c r="O5275" s="247"/>
      <c r="P5275"/>
      <c r="Q5275" s="224"/>
      <c r="S5275" s="202"/>
      <c r="T5275"/>
    </row>
    <row r="5276" spans="15:20">
      <c r="O5276" s="247"/>
      <c r="P5276"/>
      <c r="Q5276" s="224"/>
      <c r="S5276" s="202"/>
      <c r="T5276"/>
    </row>
    <row r="5277" spans="15:20">
      <c r="O5277" s="247"/>
      <c r="P5277"/>
      <c r="Q5277" s="224"/>
      <c r="S5277" s="202"/>
      <c r="T5277"/>
    </row>
    <row r="5278" spans="15:20">
      <c r="O5278" s="247"/>
      <c r="P5278"/>
      <c r="Q5278" s="224"/>
      <c r="S5278" s="202"/>
      <c r="T5278"/>
    </row>
    <row r="5279" spans="15:20">
      <c r="O5279" s="247"/>
      <c r="P5279"/>
      <c r="Q5279" s="224"/>
      <c r="S5279" s="202"/>
      <c r="T5279"/>
    </row>
    <row r="5280" spans="15:20">
      <c r="O5280" s="247"/>
      <c r="P5280"/>
      <c r="Q5280" s="224"/>
      <c r="S5280" s="202"/>
      <c r="T5280"/>
    </row>
    <row r="5281" spans="15:20">
      <c r="O5281" s="247"/>
      <c r="P5281"/>
      <c r="Q5281" s="224"/>
      <c r="S5281" s="202"/>
      <c r="T5281"/>
    </row>
    <row r="5282" spans="15:20">
      <c r="O5282" s="247"/>
      <c r="P5282"/>
      <c r="Q5282" s="224"/>
      <c r="S5282" s="202"/>
      <c r="T5282"/>
    </row>
    <row r="5283" spans="15:20">
      <c r="O5283" s="247"/>
      <c r="P5283"/>
      <c r="Q5283" s="224"/>
      <c r="S5283" s="202"/>
      <c r="T5283"/>
    </row>
    <row r="5284" spans="15:20">
      <c r="O5284" s="247"/>
      <c r="P5284"/>
      <c r="Q5284" s="224"/>
      <c r="S5284" s="202"/>
      <c r="T5284"/>
    </row>
    <row r="5285" spans="15:20">
      <c r="O5285" s="247"/>
      <c r="P5285"/>
      <c r="Q5285" s="224"/>
      <c r="S5285" s="202"/>
      <c r="T5285"/>
    </row>
    <row r="5286" spans="15:20">
      <c r="O5286" s="247"/>
      <c r="P5286"/>
      <c r="Q5286" s="224"/>
      <c r="S5286" s="202"/>
      <c r="T5286"/>
    </row>
    <row r="5287" spans="15:20">
      <c r="O5287" s="247"/>
      <c r="P5287"/>
      <c r="Q5287" s="224"/>
      <c r="S5287" s="202"/>
      <c r="T5287"/>
    </row>
    <row r="5288" spans="15:20">
      <c r="O5288" s="247"/>
      <c r="P5288"/>
      <c r="Q5288" s="224"/>
      <c r="S5288" s="202"/>
      <c r="T5288"/>
    </row>
    <row r="5289" spans="15:20">
      <c r="O5289" s="247"/>
      <c r="P5289"/>
      <c r="Q5289" s="224"/>
      <c r="S5289" s="202"/>
      <c r="T5289"/>
    </row>
    <row r="5290" spans="15:20">
      <c r="O5290" s="247"/>
      <c r="P5290"/>
      <c r="Q5290" s="224"/>
      <c r="S5290" s="202"/>
      <c r="T5290"/>
    </row>
    <row r="5291" spans="15:20">
      <c r="O5291" s="247"/>
      <c r="P5291"/>
      <c r="Q5291" s="224"/>
      <c r="S5291" s="202"/>
      <c r="T5291"/>
    </row>
    <row r="5292" spans="15:20">
      <c r="O5292" s="247"/>
      <c r="P5292"/>
      <c r="Q5292" s="224"/>
      <c r="S5292" s="202"/>
      <c r="T5292"/>
    </row>
    <row r="5293" spans="15:20">
      <c r="O5293" s="247"/>
      <c r="P5293"/>
      <c r="Q5293" s="224"/>
      <c r="S5293" s="202"/>
      <c r="T5293"/>
    </row>
    <row r="5294" spans="15:20">
      <c r="O5294" s="247"/>
      <c r="P5294"/>
      <c r="Q5294" s="224"/>
      <c r="S5294" s="202"/>
      <c r="T5294"/>
    </row>
    <row r="5295" spans="15:20">
      <c r="O5295" s="247"/>
      <c r="P5295"/>
      <c r="Q5295" s="224"/>
      <c r="S5295" s="202"/>
      <c r="T5295"/>
    </row>
    <row r="5296" spans="15:20">
      <c r="O5296" s="247"/>
      <c r="P5296"/>
      <c r="Q5296" s="224"/>
      <c r="S5296" s="202"/>
      <c r="T5296"/>
    </row>
    <row r="5297" spans="15:20">
      <c r="O5297" s="247"/>
      <c r="P5297"/>
      <c r="Q5297" s="224"/>
      <c r="S5297" s="202"/>
      <c r="T5297"/>
    </row>
    <row r="5298" spans="15:20">
      <c r="O5298" s="247"/>
      <c r="P5298"/>
      <c r="Q5298" s="224"/>
      <c r="S5298" s="202"/>
      <c r="T5298"/>
    </row>
    <row r="5299" spans="15:20">
      <c r="O5299" s="247"/>
      <c r="P5299"/>
      <c r="Q5299" s="224"/>
      <c r="S5299" s="202"/>
      <c r="T5299"/>
    </row>
    <row r="5300" spans="15:20">
      <c r="O5300" s="247"/>
      <c r="P5300"/>
      <c r="Q5300" s="224"/>
      <c r="S5300" s="202"/>
      <c r="T5300"/>
    </row>
    <row r="5301" spans="15:20">
      <c r="O5301" s="247"/>
      <c r="P5301"/>
      <c r="Q5301" s="224"/>
      <c r="S5301" s="202"/>
      <c r="T5301"/>
    </row>
    <row r="5302" spans="15:20">
      <c r="O5302" s="247"/>
      <c r="P5302"/>
      <c r="Q5302" s="224"/>
      <c r="S5302" s="202"/>
      <c r="T5302"/>
    </row>
    <row r="5303" spans="15:20">
      <c r="O5303" s="247"/>
      <c r="P5303"/>
      <c r="Q5303" s="224"/>
      <c r="S5303" s="202"/>
      <c r="T5303"/>
    </row>
    <row r="5304" spans="15:20">
      <c r="O5304" s="247"/>
      <c r="P5304"/>
      <c r="Q5304" s="224"/>
      <c r="S5304" s="202"/>
      <c r="T5304"/>
    </row>
    <row r="5305" spans="15:20">
      <c r="O5305" s="247"/>
      <c r="P5305"/>
      <c r="Q5305" s="224"/>
      <c r="S5305" s="202"/>
      <c r="T5305"/>
    </row>
    <row r="5306" spans="15:20">
      <c r="O5306" s="247"/>
      <c r="P5306"/>
      <c r="Q5306" s="224"/>
      <c r="S5306" s="202"/>
      <c r="T5306"/>
    </row>
    <row r="5307" spans="15:20">
      <c r="O5307" s="247"/>
      <c r="P5307"/>
      <c r="Q5307" s="224"/>
      <c r="S5307" s="202"/>
      <c r="T5307"/>
    </row>
    <row r="5308" spans="15:20">
      <c r="O5308" s="247"/>
      <c r="P5308"/>
      <c r="Q5308" s="224"/>
      <c r="S5308" s="202"/>
      <c r="T5308"/>
    </row>
    <row r="5309" spans="15:20">
      <c r="O5309" s="247"/>
      <c r="P5309"/>
      <c r="Q5309" s="224"/>
      <c r="S5309" s="202"/>
      <c r="T5309"/>
    </row>
    <row r="5310" spans="15:20">
      <c r="O5310" s="247"/>
      <c r="P5310"/>
      <c r="Q5310" s="224"/>
      <c r="S5310" s="202"/>
      <c r="T5310"/>
    </row>
    <row r="5311" spans="15:20">
      <c r="O5311" s="247"/>
      <c r="P5311"/>
      <c r="Q5311" s="224"/>
      <c r="S5311" s="202"/>
      <c r="T5311"/>
    </row>
    <row r="5312" spans="15:20">
      <c r="O5312" s="247"/>
      <c r="P5312"/>
      <c r="Q5312" s="224"/>
      <c r="S5312" s="202"/>
      <c r="T5312"/>
    </row>
    <row r="5313" spans="15:20">
      <c r="O5313" s="247"/>
      <c r="P5313"/>
      <c r="Q5313" s="224"/>
      <c r="S5313" s="202"/>
      <c r="T5313"/>
    </row>
    <row r="5314" spans="15:20">
      <c r="O5314" s="247"/>
      <c r="P5314"/>
      <c r="Q5314" s="224"/>
      <c r="S5314" s="202"/>
      <c r="T5314"/>
    </row>
    <row r="5315" spans="15:20">
      <c r="O5315" s="247"/>
      <c r="P5315"/>
      <c r="Q5315" s="224"/>
      <c r="S5315" s="202"/>
      <c r="T5315"/>
    </row>
    <row r="5316" spans="15:20">
      <c r="O5316" s="247"/>
      <c r="P5316"/>
      <c r="Q5316" s="224"/>
      <c r="S5316" s="202"/>
      <c r="T5316"/>
    </row>
    <row r="5317" spans="15:20">
      <c r="O5317" s="247"/>
      <c r="P5317"/>
      <c r="Q5317" s="224"/>
      <c r="S5317" s="202"/>
      <c r="T5317"/>
    </row>
    <row r="5318" spans="15:20">
      <c r="O5318" s="247"/>
      <c r="P5318"/>
      <c r="Q5318" s="224"/>
      <c r="S5318" s="202"/>
      <c r="T5318"/>
    </row>
    <row r="5319" spans="15:20">
      <c r="O5319" s="247"/>
      <c r="P5319"/>
      <c r="Q5319" s="224"/>
      <c r="S5319" s="202"/>
      <c r="T5319"/>
    </row>
    <row r="5320" spans="15:20">
      <c r="O5320" s="247"/>
      <c r="P5320"/>
      <c r="Q5320" s="224"/>
      <c r="S5320" s="202"/>
      <c r="T5320"/>
    </row>
    <row r="5321" spans="15:20">
      <c r="O5321" s="247"/>
      <c r="P5321"/>
      <c r="Q5321" s="224"/>
      <c r="S5321" s="202"/>
      <c r="T5321"/>
    </row>
    <row r="5322" spans="15:20">
      <c r="O5322" s="247"/>
      <c r="P5322"/>
      <c r="Q5322" s="224"/>
      <c r="S5322" s="202"/>
      <c r="T5322"/>
    </row>
    <row r="5323" spans="15:20">
      <c r="O5323" s="247"/>
      <c r="P5323"/>
      <c r="Q5323" s="224"/>
      <c r="S5323" s="202"/>
      <c r="T5323"/>
    </row>
    <row r="5324" spans="15:20">
      <c r="O5324" s="247"/>
      <c r="P5324"/>
      <c r="Q5324" s="224"/>
      <c r="S5324" s="202"/>
      <c r="T5324"/>
    </row>
    <row r="5325" spans="15:20">
      <c r="O5325" s="247"/>
      <c r="P5325"/>
      <c r="Q5325" s="224"/>
      <c r="S5325" s="202"/>
      <c r="T5325"/>
    </row>
    <row r="5326" spans="15:20">
      <c r="O5326" s="247"/>
      <c r="P5326"/>
      <c r="Q5326" s="224"/>
      <c r="S5326" s="202"/>
      <c r="T5326"/>
    </row>
    <row r="5327" spans="15:20">
      <c r="O5327" s="247"/>
      <c r="P5327"/>
      <c r="Q5327" s="224"/>
      <c r="S5327" s="202"/>
      <c r="T5327"/>
    </row>
    <row r="5328" spans="15:20">
      <c r="O5328" s="247"/>
      <c r="P5328"/>
      <c r="Q5328" s="224"/>
      <c r="S5328" s="202"/>
      <c r="T5328"/>
    </row>
    <row r="5329" spans="15:20">
      <c r="O5329" s="247"/>
      <c r="P5329"/>
      <c r="Q5329" s="224"/>
      <c r="S5329" s="202"/>
      <c r="T5329"/>
    </row>
    <row r="5330" spans="15:20">
      <c r="O5330" s="247"/>
      <c r="P5330"/>
      <c r="Q5330" s="224"/>
      <c r="S5330" s="202"/>
      <c r="T5330"/>
    </row>
    <row r="5331" spans="15:20">
      <c r="O5331" s="247"/>
      <c r="P5331"/>
      <c r="Q5331" s="224"/>
      <c r="S5331" s="202"/>
      <c r="T5331"/>
    </row>
    <row r="5332" spans="15:20">
      <c r="O5332" s="247"/>
      <c r="P5332"/>
      <c r="Q5332" s="224"/>
      <c r="S5332" s="202"/>
      <c r="T5332"/>
    </row>
    <row r="5333" spans="15:20">
      <c r="O5333" s="247"/>
      <c r="P5333"/>
      <c r="Q5333" s="224"/>
      <c r="S5333" s="202"/>
      <c r="T5333"/>
    </row>
    <row r="5334" spans="15:20">
      <c r="O5334" s="247"/>
      <c r="P5334"/>
      <c r="Q5334" s="224"/>
      <c r="S5334" s="202"/>
      <c r="T5334"/>
    </row>
    <row r="5335" spans="15:20">
      <c r="O5335" s="247"/>
      <c r="P5335"/>
      <c r="Q5335" s="224"/>
      <c r="S5335" s="202"/>
      <c r="T5335"/>
    </row>
    <row r="5336" spans="15:20">
      <c r="O5336" s="247"/>
      <c r="P5336"/>
      <c r="Q5336" s="224"/>
      <c r="S5336" s="202"/>
      <c r="T5336"/>
    </row>
    <row r="5337" spans="15:20">
      <c r="O5337" s="247"/>
      <c r="P5337"/>
      <c r="Q5337" s="224"/>
      <c r="S5337" s="202"/>
      <c r="T5337"/>
    </row>
    <row r="5338" spans="15:20">
      <c r="O5338" s="247"/>
      <c r="P5338"/>
      <c r="Q5338" s="224"/>
      <c r="S5338" s="202"/>
      <c r="T5338"/>
    </row>
    <row r="5339" spans="15:20">
      <c r="O5339" s="247"/>
      <c r="P5339"/>
      <c r="Q5339" s="224"/>
      <c r="S5339" s="202"/>
      <c r="T5339"/>
    </row>
    <row r="5340" spans="15:20">
      <c r="O5340" s="247"/>
      <c r="P5340"/>
      <c r="Q5340" s="224"/>
      <c r="S5340" s="202"/>
      <c r="T5340"/>
    </row>
    <row r="5341" spans="15:20">
      <c r="O5341" s="247"/>
      <c r="P5341"/>
      <c r="Q5341" s="224"/>
      <c r="S5341" s="202"/>
      <c r="T5341"/>
    </row>
    <row r="5342" spans="15:20">
      <c r="O5342" s="247"/>
      <c r="P5342"/>
      <c r="Q5342" s="224"/>
      <c r="S5342" s="202"/>
      <c r="T5342"/>
    </row>
    <row r="5343" spans="15:20">
      <c r="O5343" s="247"/>
      <c r="P5343"/>
      <c r="Q5343" s="224"/>
      <c r="S5343" s="202"/>
      <c r="T5343"/>
    </row>
    <row r="5344" spans="15:20">
      <c r="O5344" s="247"/>
      <c r="P5344"/>
      <c r="Q5344" s="224"/>
      <c r="S5344" s="202"/>
      <c r="T5344"/>
    </row>
    <row r="5345" spans="15:20">
      <c r="O5345" s="247"/>
      <c r="P5345"/>
      <c r="Q5345" s="224"/>
      <c r="S5345" s="202"/>
      <c r="T5345"/>
    </row>
    <row r="5346" spans="15:20">
      <c r="O5346" s="247"/>
      <c r="P5346"/>
      <c r="Q5346" s="224"/>
      <c r="S5346" s="202"/>
      <c r="T5346"/>
    </row>
    <row r="5347" spans="15:20">
      <c r="O5347" s="247"/>
      <c r="P5347"/>
      <c r="Q5347" s="224"/>
      <c r="S5347" s="202"/>
      <c r="T5347"/>
    </row>
    <row r="5348" spans="15:20">
      <c r="O5348" s="247"/>
      <c r="P5348"/>
      <c r="Q5348" s="224"/>
      <c r="S5348" s="202"/>
      <c r="T5348"/>
    </row>
    <row r="5349" spans="15:20">
      <c r="O5349" s="247"/>
      <c r="P5349"/>
      <c r="Q5349" s="224"/>
      <c r="S5349" s="202"/>
      <c r="T5349"/>
    </row>
    <row r="5350" spans="15:20">
      <c r="O5350" s="247"/>
      <c r="P5350"/>
      <c r="Q5350" s="224"/>
      <c r="S5350" s="202"/>
      <c r="T5350"/>
    </row>
    <row r="5351" spans="15:20">
      <c r="O5351" s="247"/>
      <c r="P5351"/>
      <c r="Q5351" s="224"/>
      <c r="S5351" s="202"/>
      <c r="T5351"/>
    </row>
    <row r="5352" spans="15:20">
      <c r="O5352" s="247"/>
      <c r="P5352"/>
      <c r="Q5352" s="224"/>
      <c r="S5352" s="202"/>
      <c r="T5352"/>
    </row>
    <row r="5353" spans="15:20">
      <c r="O5353" s="247"/>
      <c r="P5353"/>
      <c r="Q5353" s="224"/>
      <c r="S5353" s="202"/>
      <c r="T5353"/>
    </row>
    <row r="5354" spans="15:20">
      <c r="O5354" s="247"/>
      <c r="P5354"/>
      <c r="Q5354" s="224"/>
      <c r="S5354" s="202"/>
      <c r="T5354"/>
    </row>
    <row r="5355" spans="15:20">
      <c r="O5355" s="247"/>
      <c r="P5355"/>
      <c r="Q5355" s="224"/>
      <c r="S5355" s="202"/>
      <c r="T5355"/>
    </row>
    <row r="5356" spans="15:20">
      <c r="O5356" s="247"/>
      <c r="P5356"/>
      <c r="Q5356" s="224"/>
      <c r="S5356" s="202"/>
      <c r="T5356"/>
    </row>
    <row r="5357" spans="15:20">
      <c r="O5357" s="247"/>
      <c r="P5357"/>
      <c r="Q5357" s="224"/>
      <c r="S5357" s="202"/>
      <c r="T5357"/>
    </row>
    <row r="5358" spans="15:20">
      <c r="O5358" s="247"/>
      <c r="P5358"/>
      <c r="Q5358" s="224"/>
      <c r="S5358" s="202"/>
      <c r="T5358"/>
    </row>
    <row r="5359" spans="15:20">
      <c r="O5359" s="247"/>
      <c r="P5359"/>
      <c r="Q5359" s="224"/>
      <c r="S5359" s="202"/>
      <c r="T5359"/>
    </row>
    <row r="5360" spans="15:20">
      <c r="O5360" s="247"/>
      <c r="P5360"/>
      <c r="Q5360" s="224"/>
      <c r="S5360" s="202"/>
      <c r="T5360"/>
    </row>
    <row r="5361" spans="15:20">
      <c r="O5361" s="247"/>
      <c r="P5361"/>
      <c r="Q5361" s="224"/>
      <c r="S5361" s="202"/>
      <c r="T5361"/>
    </row>
    <row r="5362" spans="15:20">
      <c r="O5362" s="247"/>
      <c r="P5362"/>
      <c r="Q5362" s="224"/>
      <c r="S5362" s="202"/>
      <c r="T5362"/>
    </row>
    <row r="5363" spans="15:20">
      <c r="O5363" s="247"/>
      <c r="P5363"/>
      <c r="Q5363" s="224"/>
      <c r="S5363" s="202"/>
      <c r="T5363"/>
    </row>
    <row r="5364" spans="15:20">
      <c r="O5364" s="247"/>
      <c r="P5364"/>
      <c r="Q5364" s="224"/>
      <c r="S5364" s="202"/>
      <c r="T5364"/>
    </row>
    <row r="5365" spans="15:20">
      <c r="O5365" s="247"/>
      <c r="P5365"/>
      <c r="Q5365" s="224"/>
      <c r="S5365" s="202"/>
      <c r="T5365"/>
    </row>
    <row r="5366" spans="15:20">
      <c r="O5366" s="247"/>
      <c r="P5366"/>
      <c r="Q5366" s="224"/>
      <c r="S5366" s="202"/>
      <c r="T5366"/>
    </row>
    <row r="5367" spans="15:20">
      <c r="O5367" s="247"/>
      <c r="P5367"/>
      <c r="Q5367" s="224"/>
      <c r="S5367" s="202"/>
      <c r="T5367"/>
    </row>
    <row r="5368" spans="15:20">
      <c r="O5368" s="247"/>
      <c r="P5368"/>
      <c r="Q5368" s="224"/>
      <c r="S5368" s="202"/>
      <c r="T5368"/>
    </row>
    <row r="5369" spans="15:20">
      <c r="O5369" s="247"/>
      <c r="P5369"/>
      <c r="Q5369" s="224"/>
      <c r="S5369" s="202"/>
      <c r="T5369"/>
    </row>
    <row r="5370" spans="15:20">
      <c r="O5370" s="247"/>
      <c r="P5370"/>
      <c r="Q5370" s="224"/>
      <c r="S5370" s="202"/>
      <c r="T5370"/>
    </row>
    <row r="5371" spans="15:20">
      <c r="O5371" s="247"/>
      <c r="P5371"/>
      <c r="Q5371" s="224"/>
      <c r="S5371" s="202"/>
      <c r="T5371"/>
    </row>
    <row r="5372" spans="15:20">
      <c r="O5372" s="247"/>
      <c r="P5372"/>
      <c r="Q5372" s="224"/>
      <c r="S5372" s="202"/>
      <c r="T5372"/>
    </row>
    <row r="5373" spans="15:20">
      <c r="O5373" s="247"/>
      <c r="P5373"/>
      <c r="Q5373" s="224"/>
      <c r="S5373" s="202"/>
      <c r="T5373"/>
    </row>
    <row r="5374" spans="15:20">
      <c r="O5374" s="247"/>
      <c r="P5374"/>
      <c r="Q5374" s="224"/>
      <c r="S5374" s="202"/>
      <c r="T5374"/>
    </row>
    <row r="5375" spans="15:20">
      <c r="O5375" s="247"/>
      <c r="P5375"/>
      <c r="Q5375" s="224"/>
      <c r="S5375" s="202"/>
      <c r="T5375"/>
    </row>
    <row r="5376" spans="15:20">
      <c r="O5376" s="247"/>
      <c r="P5376"/>
      <c r="Q5376" s="224"/>
      <c r="S5376" s="202"/>
      <c r="T5376"/>
    </row>
    <row r="5377" spans="15:20">
      <c r="O5377" s="247"/>
      <c r="P5377"/>
      <c r="Q5377" s="224"/>
      <c r="S5377" s="202"/>
      <c r="T5377"/>
    </row>
    <row r="5378" spans="15:20">
      <c r="O5378" s="247"/>
      <c r="P5378"/>
      <c r="Q5378" s="224"/>
      <c r="S5378" s="202"/>
      <c r="T5378"/>
    </row>
    <row r="5379" spans="15:20">
      <c r="O5379" s="247"/>
      <c r="P5379"/>
      <c r="Q5379" s="224"/>
      <c r="S5379" s="202"/>
      <c r="T5379"/>
    </row>
    <row r="5380" spans="15:20">
      <c r="O5380" s="247"/>
      <c r="P5380"/>
      <c r="Q5380" s="224"/>
      <c r="S5380" s="202"/>
      <c r="T5380"/>
    </row>
    <row r="5381" spans="15:20">
      <c r="O5381" s="247"/>
      <c r="P5381"/>
      <c r="Q5381" s="224"/>
      <c r="S5381" s="202"/>
      <c r="T5381"/>
    </row>
    <row r="5382" spans="15:20">
      <c r="O5382" s="247"/>
      <c r="P5382"/>
      <c r="Q5382" s="224"/>
      <c r="S5382" s="202"/>
      <c r="T5382"/>
    </row>
    <row r="5383" spans="15:20">
      <c r="O5383" s="247"/>
      <c r="P5383"/>
      <c r="Q5383" s="224"/>
      <c r="S5383" s="202"/>
      <c r="T5383"/>
    </row>
    <row r="5384" spans="15:20">
      <c r="O5384" s="247"/>
      <c r="P5384"/>
      <c r="Q5384" s="224"/>
      <c r="S5384" s="202"/>
      <c r="T5384"/>
    </row>
    <row r="5385" spans="15:20">
      <c r="O5385" s="247"/>
      <c r="P5385"/>
      <c r="Q5385" s="224"/>
      <c r="S5385" s="202"/>
      <c r="T5385"/>
    </row>
    <row r="5386" spans="15:20">
      <c r="O5386" s="247"/>
      <c r="P5386"/>
      <c r="Q5386" s="224"/>
      <c r="S5386" s="202"/>
      <c r="T5386"/>
    </row>
    <row r="5387" spans="15:20">
      <c r="O5387" s="247"/>
      <c r="P5387"/>
      <c r="Q5387" s="224"/>
      <c r="S5387" s="202"/>
      <c r="T5387"/>
    </row>
    <row r="5388" spans="15:20">
      <c r="O5388" s="247"/>
      <c r="P5388"/>
      <c r="Q5388" s="224"/>
      <c r="S5388" s="202"/>
      <c r="T5388"/>
    </row>
    <row r="5389" spans="15:20">
      <c r="O5389" s="247"/>
      <c r="P5389"/>
      <c r="Q5389" s="224"/>
      <c r="S5389" s="202"/>
      <c r="T5389"/>
    </row>
    <row r="5390" spans="15:20">
      <c r="O5390" s="247"/>
      <c r="P5390"/>
      <c r="Q5390" s="224"/>
      <c r="S5390" s="202"/>
      <c r="T5390"/>
    </row>
    <row r="5391" spans="15:20">
      <c r="O5391" s="247"/>
      <c r="P5391"/>
      <c r="Q5391" s="224"/>
      <c r="S5391" s="202"/>
      <c r="T5391"/>
    </row>
    <row r="5392" spans="15:20">
      <c r="O5392" s="247"/>
      <c r="P5392"/>
      <c r="Q5392" s="224"/>
      <c r="S5392" s="202"/>
      <c r="T5392"/>
    </row>
    <row r="5393" spans="15:20">
      <c r="O5393" s="247"/>
      <c r="P5393"/>
      <c r="Q5393" s="224"/>
      <c r="S5393" s="202"/>
      <c r="T5393"/>
    </row>
    <row r="5394" spans="15:20">
      <c r="O5394" s="247"/>
      <c r="P5394"/>
      <c r="Q5394" s="224"/>
      <c r="S5394" s="202"/>
      <c r="T5394"/>
    </row>
    <row r="5395" spans="15:20">
      <c r="O5395" s="247"/>
      <c r="P5395"/>
      <c r="Q5395" s="224"/>
      <c r="S5395" s="202"/>
      <c r="T5395"/>
    </row>
    <row r="5396" spans="15:20">
      <c r="O5396" s="247"/>
      <c r="P5396"/>
      <c r="Q5396" s="224"/>
      <c r="S5396" s="202"/>
      <c r="T5396"/>
    </row>
    <row r="5397" spans="15:20">
      <c r="O5397" s="247"/>
      <c r="P5397"/>
      <c r="Q5397" s="224"/>
      <c r="S5397" s="202"/>
      <c r="T5397"/>
    </row>
    <row r="5398" spans="15:20">
      <c r="O5398" s="247"/>
      <c r="P5398"/>
      <c r="Q5398" s="224"/>
      <c r="S5398" s="202"/>
      <c r="T5398"/>
    </row>
    <row r="5399" spans="15:20">
      <c r="O5399" s="247"/>
      <c r="P5399"/>
      <c r="Q5399" s="224"/>
      <c r="S5399" s="202"/>
      <c r="T5399"/>
    </row>
    <row r="5400" spans="15:20">
      <c r="O5400" s="247"/>
      <c r="P5400"/>
      <c r="Q5400" s="224"/>
      <c r="S5400" s="202"/>
      <c r="T5400"/>
    </row>
    <row r="5401" spans="15:20">
      <c r="O5401" s="247"/>
      <c r="P5401"/>
      <c r="Q5401" s="224"/>
      <c r="S5401" s="202"/>
      <c r="T5401"/>
    </row>
    <row r="5402" spans="15:20">
      <c r="O5402" s="247"/>
      <c r="P5402"/>
      <c r="Q5402" s="224"/>
      <c r="S5402" s="202"/>
      <c r="T5402"/>
    </row>
    <row r="5403" spans="15:20">
      <c r="O5403" s="247"/>
      <c r="P5403"/>
      <c r="Q5403" s="224"/>
      <c r="S5403" s="202"/>
      <c r="T5403"/>
    </row>
    <row r="5404" spans="15:20">
      <c r="O5404" s="247"/>
      <c r="P5404"/>
      <c r="Q5404" s="224"/>
      <c r="S5404" s="202"/>
      <c r="T5404"/>
    </row>
    <row r="5405" spans="15:20">
      <c r="O5405" s="247"/>
      <c r="P5405"/>
      <c r="Q5405" s="224"/>
      <c r="S5405" s="202"/>
      <c r="T5405"/>
    </row>
    <row r="5406" spans="15:20">
      <c r="O5406" s="247"/>
      <c r="P5406"/>
      <c r="Q5406" s="224"/>
      <c r="S5406" s="202"/>
      <c r="T5406"/>
    </row>
    <row r="5407" spans="15:20">
      <c r="O5407" s="247"/>
      <c r="P5407"/>
      <c r="Q5407" s="224"/>
      <c r="S5407" s="202"/>
      <c r="T5407"/>
    </row>
    <row r="5408" spans="15:20">
      <c r="O5408" s="247"/>
      <c r="P5408"/>
      <c r="Q5408" s="224"/>
      <c r="S5408" s="202"/>
      <c r="T5408"/>
    </row>
    <row r="5409" spans="15:20">
      <c r="O5409" s="247"/>
      <c r="P5409"/>
      <c r="Q5409" s="224"/>
      <c r="S5409" s="202"/>
      <c r="T5409"/>
    </row>
    <row r="5410" spans="15:20">
      <c r="O5410" s="247"/>
      <c r="P5410"/>
      <c r="Q5410" s="224"/>
      <c r="S5410" s="202"/>
      <c r="T5410"/>
    </row>
    <row r="5411" spans="15:20">
      <c r="O5411" s="247"/>
      <c r="P5411"/>
      <c r="Q5411" s="224"/>
      <c r="S5411" s="202"/>
      <c r="T5411"/>
    </row>
    <row r="5412" spans="15:20">
      <c r="O5412" s="247"/>
      <c r="P5412"/>
      <c r="Q5412" s="224"/>
      <c r="S5412" s="202"/>
      <c r="T5412"/>
    </row>
    <row r="5413" spans="15:20">
      <c r="O5413" s="247"/>
      <c r="P5413"/>
      <c r="Q5413" s="224"/>
      <c r="S5413" s="202"/>
      <c r="T5413"/>
    </row>
    <row r="5414" spans="15:20">
      <c r="O5414" s="247"/>
      <c r="P5414"/>
      <c r="Q5414" s="224"/>
      <c r="S5414" s="202"/>
      <c r="T5414"/>
    </row>
    <row r="5415" spans="15:20">
      <c r="O5415" s="247"/>
      <c r="P5415"/>
      <c r="Q5415" s="224"/>
      <c r="S5415" s="202"/>
      <c r="T5415"/>
    </row>
    <row r="5416" spans="15:20">
      <c r="O5416" s="247"/>
      <c r="P5416"/>
      <c r="Q5416" s="224"/>
      <c r="S5416" s="202"/>
      <c r="T5416"/>
    </row>
    <row r="5417" spans="15:20">
      <c r="O5417" s="247"/>
      <c r="P5417"/>
      <c r="Q5417" s="224"/>
      <c r="S5417" s="202"/>
      <c r="T5417"/>
    </row>
    <row r="5418" spans="15:20">
      <c r="O5418" s="247"/>
      <c r="P5418"/>
      <c r="Q5418" s="224"/>
      <c r="S5418" s="202"/>
      <c r="T5418"/>
    </row>
    <row r="5419" spans="15:20">
      <c r="O5419" s="247"/>
      <c r="P5419"/>
      <c r="Q5419" s="224"/>
      <c r="S5419" s="202"/>
      <c r="T5419"/>
    </row>
    <row r="5420" spans="15:20">
      <c r="O5420" s="247"/>
      <c r="P5420"/>
      <c r="Q5420" s="224"/>
      <c r="S5420" s="202"/>
      <c r="T5420"/>
    </row>
    <row r="5421" spans="15:20">
      <c r="O5421" s="247"/>
      <c r="P5421"/>
      <c r="Q5421" s="224"/>
      <c r="S5421" s="202"/>
      <c r="T5421"/>
    </row>
    <row r="5422" spans="15:20">
      <c r="O5422" s="247"/>
      <c r="P5422"/>
      <c r="Q5422" s="224"/>
      <c r="S5422" s="202"/>
      <c r="T5422"/>
    </row>
    <row r="5423" spans="15:20">
      <c r="O5423" s="247"/>
      <c r="P5423"/>
      <c r="Q5423" s="224"/>
      <c r="S5423" s="202"/>
      <c r="T5423"/>
    </row>
    <row r="5424" spans="15:20">
      <c r="O5424" s="247"/>
      <c r="P5424"/>
      <c r="Q5424" s="224"/>
      <c r="S5424" s="202"/>
      <c r="T5424"/>
    </row>
    <row r="5425" spans="15:20">
      <c r="O5425" s="247"/>
      <c r="P5425"/>
      <c r="Q5425" s="224"/>
      <c r="S5425" s="202"/>
      <c r="T5425"/>
    </row>
    <row r="5426" spans="15:20">
      <c r="O5426" s="247"/>
      <c r="P5426"/>
      <c r="Q5426" s="224"/>
      <c r="S5426" s="202"/>
      <c r="T5426"/>
    </row>
    <row r="5427" spans="15:20">
      <c r="O5427" s="247"/>
      <c r="P5427"/>
      <c r="Q5427" s="224"/>
      <c r="S5427" s="202"/>
      <c r="T5427"/>
    </row>
    <row r="5428" spans="15:20">
      <c r="O5428" s="247"/>
      <c r="P5428"/>
      <c r="Q5428" s="224"/>
      <c r="S5428" s="202"/>
      <c r="T5428"/>
    </row>
    <row r="5429" spans="15:20">
      <c r="O5429" s="247"/>
      <c r="P5429"/>
      <c r="Q5429" s="224"/>
      <c r="S5429" s="202"/>
      <c r="T5429"/>
    </row>
    <row r="5430" spans="15:20">
      <c r="O5430" s="247"/>
      <c r="P5430"/>
      <c r="Q5430" s="224"/>
      <c r="S5430" s="202"/>
      <c r="T5430"/>
    </row>
    <row r="5431" spans="15:20">
      <c r="O5431" s="247"/>
      <c r="P5431"/>
      <c r="Q5431" s="224"/>
      <c r="S5431" s="202"/>
      <c r="T5431"/>
    </row>
    <row r="5432" spans="15:20">
      <c r="O5432" s="247"/>
      <c r="P5432"/>
      <c r="Q5432" s="224"/>
      <c r="S5432" s="202"/>
      <c r="T5432"/>
    </row>
    <row r="5433" spans="15:20">
      <c r="O5433" s="247"/>
      <c r="P5433"/>
      <c r="Q5433" s="224"/>
      <c r="S5433" s="202"/>
      <c r="T5433"/>
    </row>
    <row r="5434" spans="15:20">
      <c r="O5434" s="247"/>
      <c r="P5434"/>
      <c r="Q5434" s="224"/>
      <c r="S5434" s="202"/>
      <c r="T5434"/>
    </row>
    <row r="5435" spans="15:20">
      <c r="O5435" s="247"/>
      <c r="P5435"/>
      <c r="Q5435" s="224"/>
      <c r="S5435" s="202"/>
      <c r="T5435"/>
    </row>
    <row r="5436" spans="15:20">
      <c r="O5436" s="247"/>
      <c r="P5436"/>
      <c r="Q5436" s="224"/>
      <c r="S5436" s="202"/>
      <c r="T5436"/>
    </row>
    <row r="5437" spans="15:20">
      <c r="O5437" s="247"/>
      <c r="P5437"/>
      <c r="Q5437" s="224"/>
      <c r="S5437" s="202"/>
      <c r="T5437"/>
    </row>
    <row r="5438" spans="15:20">
      <c r="O5438" s="247"/>
      <c r="P5438"/>
      <c r="Q5438" s="224"/>
      <c r="S5438" s="202"/>
      <c r="T5438"/>
    </row>
    <row r="5439" spans="15:20">
      <c r="O5439" s="247"/>
      <c r="P5439"/>
      <c r="Q5439" s="224"/>
      <c r="S5439" s="202"/>
      <c r="T5439"/>
    </row>
    <row r="5440" spans="15:20">
      <c r="O5440" s="247"/>
      <c r="P5440"/>
      <c r="Q5440" s="224"/>
      <c r="S5440" s="202"/>
      <c r="T5440"/>
    </row>
    <row r="5441" spans="15:20">
      <c r="O5441" s="247"/>
      <c r="P5441"/>
      <c r="Q5441" s="224"/>
      <c r="S5441" s="202"/>
      <c r="T5441"/>
    </row>
    <row r="5442" spans="15:20">
      <c r="O5442" s="247"/>
      <c r="P5442"/>
      <c r="Q5442" s="224"/>
      <c r="S5442" s="202"/>
      <c r="T5442"/>
    </row>
    <row r="5443" spans="15:20">
      <c r="O5443" s="247"/>
      <c r="P5443"/>
      <c r="Q5443" s="224"/>
      <c r="S5443" s="202"/>
      <c r="T5443"/>
    </row>
    <row r="5444" spans="15:20">
      <c r="O5444" s="247"/>
      <c r="P5444"/>
      <c r="Q5444" s="224"/>
      <c r="S5444" s="202"/>
      <c r="T5444"/>
    </row>
    <row r="5445" spans="15:20">
      <c r="O5445" s="247"/>
      <c r="P5445"/>
      <c r="Q5445" s="224"/>
      <c r="S5445" s="202"/>
      <c r="T5445"/>
    </row>
    <row r="5446" spans="15:20">
      <c r="O5446" s="247"/>
      <c r="P5446"/>
      <c r="Q5446" s="224"/>
      <c r="S5446" s="202"/>
      <c r="T5446"/>
    </row>
    <row r="5447" spans="15:20">
      <c r="O5447" s="247"/>
      <c r="P5447"/>
      <c r="Q5447" s="224"/>
      <c r="S5447" s="202"/>
      <c r="T5447"/>
    </row>
    <row r="5448" spans="15:20">
      <c r="O5448" s="247"/>
      <c r="P5448"/>
      <c r="Q5448" s="224"/>
      <c r="S5448" s="202"/>
      <c r="T5448"/>
    </row>
    <row r="5449" spans="15:20">
      <c r="O5449" s="247"/>
      <c r="P5449"/>
      <c r="Q5449" s="224"/>
      <c r="S5449" s="202"/>
      <c r="T5449"/>
    </row>
    <row r="5450" spans="15:20">
      <c r="O5450" s="247"/>
      <c r="P5450"/>
      <c r="Q5450" s="224"/>
      <c r="S5450" s="202"/>
      <c r="T5450"/>
    </row>
    <row r="5451" spans="15:20">
      <c r="O5451" s="247"/>
      <c r="P5451"/>
      <c r="Q5451" s="224"/>
      <c r="S5451" s="202"/>
      <c r="T5451"/>
    </row>
    <row r="5452" spans="15:20">
      <c r="O5452" s="247"/>
      <c r="P5452"/>
      <c r="Q5452" s="224"/>
      <c r="S5452" s="202"/>
      <c r="T5452"/>
    </row>
    <row r="5453" spans="15:20">
      <c r="O5453" s="247"/>
      <c r="P5453"/>
      <c r="Q5453" s="224"/>
      <c r="S5453" s="202"/>
      <c r="T5453"/>
    </row>
    <row r="5454" spans="15:20">
      <c r="O5454" s="247"/>
      <c r="P5454"/>
      <c r="Q5454" s="224"/>
      <c r="S5454" s="202"/>
      <c r="T5454"/>
    </row>
    <row r="5455" spans="15:20">
      <c r="O5455" s="247"/>
      <c r="P5455"/>
      <c r="Q5455" s="224"/>
      <c r="S5455" s="202"/>
      <c r="T5455"/>
    </row>
    <row r="5456" spans="15:20">
      <c r="O5456" s="247"/>
      <c r="P5456"/>
      <c r="Q5456" s="224"/>
      <c r="S5456" s="202"/>
      <c r="T5456"/>
    </row>
    <row r="5457" spans="15:20">
      <c r="O5457" s="247"/>
      <c r="P5457"/>
      <c r="Q5457" s="224"/>
      <c r="S5457" s="202"/>
      <c r="T5457"/>
    </row>
    <row r="5458" spans="15:20">
      <c r="O5458" s="247"/>
      <c r="P5458"/>
      <c r="Q5458" s="224"/>
      <c r="S5458" s="202"/>
      <c r="T5458"/>
    </row>
    <row r="5459" spans="15:20">
      <c r="O5459" s="247"/>
      <c r="P5459"/>
      <c r="Q5459" s="224"/>
      <c r="S5459" s="202"/>
      <c r="T5459"/>
    </row>
    <row r="5460" spans="15:20">
      <c r="O5460" s="247"/>
      <c r="P5460"/>
      <c r="Q5460" s="224"/>
      <c r="S5460" s="202"/>
      <c r="T5460"/>
    </row>
    <row r="5461" spans="15:20">
      <c r="O5461" s="247"/>
      <c r="P5461"/>
      <c r="Q5461" s="224"/>
      <c r="S5461" s="202"/>
      <c r="T5461"/>
    </row>
    <row r="5462" spans="15:20">
      <c r="O5462" s="247"/>
      <c r="P5462"/>
      <c r="Q5462" s="224"/>
      <c r="S5462" s="202"/>
      <c r="T5462"/>
    </row>
    <row r="5463" spans="15:20">
      <c r="O5463" s="247"/>
      <c r="P5463"/>
      <c r="Q5463" s="224"/>
      <c r="S5463" s="202"/>
      <c r="T5463"/>
    </row>
    <row r="5464" spans="15:20">
      <c r="O5464" s="247"/>
      <c r="P5464"/>
      <c r="Q5464" s="224"/>
      <c r="S5464" s="202"/>
      <c r="T5464"/>
    </row>
    <row r="5465" spans="15:20">
      <c r="O5465" s="247"/>
      <c r="P5465"/>
      <c r="Q5465" s="224"/>
      <c r="S5465" s="202"/>
      <c r="T5465"/>
    </row>
    <row r="5466" spans="15:20">
      <c r="O5466" s="247"/>
      <c r="P5466"/>
      <c r="Q5466" s="224"/>
      <c r="S5466" s="202"/>
      <c r="T5466"/>
    </row>
    <row r="5467" spans="15:20">
      <c r="O5467" s="247"/>
      <c r="P5467"/>
      <c r="Q5467" s="224"/>
      <c r="S5467" s="202"/>
      <c r="T5467"/>
    </row>
    <row r="5468" spans="15:20">
      <c r="O5468" s="247"/>
      <c r="P5468"/>
      <c r="Q5468" s="224"/>
      <c r="S5468" s="202"/>
      <c r="T5468"/>
    </row>
    <row r="5469" spans="15:20">
      <c r="O5469" s="247"/>
      <c r="P5469"/>
      <c r="Q5469" s="224"/>
      <c r="S5469" s="202"/>
      <c r="T5469"/>
    </row>
    <row r="5470" spans="15:20">
      <c r="O5470" s="247"/>
      <c r="P5470"/>
      <c r="Q5470" s="224"/>
      <c r="S5470" s="202"/>
      <c r="T5470"/>
    </row>
    <row r="5471" spans="15:20">
      <c r="O5471" s="247"/>
      <c r="P5471"/>
      <c r="Q5471" s="224"/>
      <c r="S5471" s="202"/>
      <c r="T5471"/>
    </row>
    <row r="5472" spans="15:20">
      <c r="O5472" s="247"/>
      <c r="P5472"/>
      <c r="Q5472" s="224"/>
      <c r="S5472" s="202"/>
      <c r="T5472"/>
    </row>
    <row r="5473" spans="15:20">
      <c r="O5473" s="247"/>
      <c r="P5473"/>
      <c r="Q5473" s="224"/>
      <c r="S5473" s="202"/>
      <c r="T5473"/>
    </row>
    <row r="5474" spans="15:20">
      <c r="O5474" s="247"/>
      <c r="P5474"/>
      <c r="Q5474" s="224"/>
      <c r="S5474" s="202"/>
      <c r="T5474"/>
    </row>
    <row r="5475" spans="15:20">
      <c r="O5475" s="247"/>
      <c r="P5475"/>
      <c r="Q5475" s="224"/>
      <c r="S5475" s="202"/>
      <c r="T5475"/>
    </row>
    <row r="5476" spans="15:20">
      <c r="O5476" s="247"/>
      <c r="P5476"/>
      <c r="Q5476" s="224"/>
      <c r="S5476" s="202"/>
      <c r="T5476"/>
    </row>
    <row r="5477" spans="15:20">
      <c r="O5477" s="247"/>
      <c r="P5477"/>
      <c r="Q5477" s="224"/>
      <c r="S5477" s="202"/>
      <c r="T5477"/>
    </row>
    <row r="5478" spans="15:20">
      <c r="O5478" s="247"/>
      <c r="P5478"/>
      <c r="Q5478" s="224"/>
      <c r="S5478" s="202"/>
      <c r="T5478"/>
    </row>
    <row r="5479" spans="15:20">
      <c r="O5479" s="247"/>
      <c r="P5479"/>
      <c r="Q5479" s="224"/>
      <c r="S5479" s="202"/>
      <c r="T5479"/>
    </row>
    <row r="5480" spans="15:20">
      <c r="O5480" s="247"/>
      <c r="P5480"/>
      <c r="Q5480" s="224"/>
      <c r="S5480" s="202"/>
      <c r="T5480"/>
    </row>
    <row r="5481" spans="15:20">
      <c r="O5481" s="247"/>
      <c r="P5481"/>
      <c r="Q5481" s="224"/>
      <c r="S5481" s="202"/>
      <c r="T5481"/>
    </row>
    <row r="5482" spans="15:20">
      <c r="O5482" s="247"/>
      <c r="P5482"/>
      <c r="Q5482" s="224"/>
      <c r="S5482" s="202"/>
      <c r="T5482"/>
    </row>
    <row r="5483" spans="15:20">
      <c r="O5483" s="247"/>
      <c r="P5483"/>
      <c r="Q5483" s="224"/>
      <c r="S5483" s="202"/>
      <c r="T5483"/>
    </row>
    <row r="5484" spans="15:20">
      <c r="O5484" s="247"/>
      <c r="P5484"/>
      <c r="Q5484" s="224"/>
      <c r="S5484" s="202"/>
      <c r="T5484"/>
    </row>
    <row r="5485" spans="15:20">
      <c r="O5485" s="247"/>
      <c r="P5485"/>
      <c r="Q5485" s="224"/>
      <c r="S5485" s="202"/>
      <c r="T5485"/>
    </row>
    <row r="5486" spans="15:20">
      <c r="O5486" s="247"/>
      <c r="P5486"/>
      <c r="Q5486" s="224"/>
      <c r="S5486" s="202"/>
      <c r="T5486"/>
    </row>
    <row r="5487" spans="15:20">
      <c r="O5487" s="247"/>
      <c r="P5487"/>
      <c r="Q5487" s="224"/>
      <c r="S5487" s="202"/>
      <c r="T5487"/>
    </row>
    <row r="5488" spans="15:20">
      <c r="O5488" s="247"/>
      <c r="P5488"/>
      <c r="Q5488" s="224"/>
      <c r="S5488" s="202"/>
      <c r="T5488"/>
    </row>
    <row r="5489" spans="15:20">
      <c r="O5489" s="247"/>
      <c r="P5489"/>
      <c r="Q5489" s="224"/>
      <c r="S5489" s="202"/>
      <c r="T5489"/>
    </row>
    <row r="5490" spans="15:20">
      <c r="O5490" s="247"/>
      <c r="P5490"/>
      <c r="Q5490" s="224"/>
      <c r="S5490" s="202"/>
      <c r="T5490"/>
    </row>
    <row r="5491" spans="15:20">
      <c r="O5491" s="247"/>
      <c r="P5491"/>
      <c r="Q5491" s="224"/>
      <c r="S5491" s="202"/>
      <c r="T5491"/>
    </row>
    <row r="5492" spans="15:20">
      <c r="O5492" s="247"/>
      <c r="P5492"/>
      <c r="Q5492" s="224"/>
      <c r="S5492" s="202"/>
      <c r="T5492"/>
    </row>
    <row r="5493" spans="15:20">
      <c r="O5493" s="247"/>
      <c r="P5493"/>
      <c r="Q5493" s="224"/>
      <c r="S5493" s="202"/>
      <c r="T5493"/>
    </row>
    <row r="5494" spans="15:20">
      <c r="O5494" s="247"/>
      <c r="P5494"/>
      <c r="Q5494" s="224"/>
      <c r="S5494" s="202"/>
      <c r="T5494"/>
    </row>
    <row r="5495" spans="15:20">
      <c r="O5495" s="247"/>
      <c r="P5495"/>
      <c r="Q5495" s="224"/>
      <c r="S5495" s="202"/>
      <c r="T5495"/>
    </row>
    <row r="5496" spans="15:20">
      <c r="O5496" s="247"/>
      <c r="P5496"/>
      <c r="Q5496" s="224"/>
      <c r="S5496" s="202"/>
      <c r="T5496"/>
    </row>
    <row r="5497" spans="15:20">
      <c r="O5497" s="247"/>
      <c r="P5497"/>
      <c r="Q5497" s="224"/>
      <c r="S5497" s="202"/>
      <c r="T5497"/>
    </row>
    <row r="5498" spans="15:20">
      <c r="O5498" s="247"/>
      <c r="P5498"/>
      <c r="Q5498" s="224"/>
      <c r="S5498" s="202"/>
      <c r="T5498"/>
    </row>
    <row r="5499" spans="15:20">
      <c r="O5499" s="247"/>
      <c r="P5499"/>
      <c r="Q5499" s="224"/>
      <c r="S5499" s="202"/>
      <c r="T5499"/>
    </row>
    <row r="5500" spans="15:20">
      <c r="O5500" s="247"/>
      <c r="P5500"/>
      <c r="Q5500" s="224"/>
      <c r="S5500" s="202"/>
      <c r="T5500"/>
    </row>
    <row r="5501" spans="15:20">
      <c r="O5501" s="247"/>
      <c r="P5501"/>
      <c r="Q5501" s="224"/>
      <c r="S5501" s="202"/>
      <c r="T5501"/>
    </row>
    <row r="5502" spans="15:20">
      <c r="O5502" s="247"/>
      <c r="P5502"/>
      <c r="Q5502" s="224"/>
      <c r="S5502" s="202"/>
      <c r="T5502"/>
    </row>
    <row r="5503" spans="15:20">
      <c r="O5503" s="247"/>
      <c r="P5503"/>
      <c r="Q5503" s="224"/>
      <c r="S5503" s="202"/>
      <c r="T5503"/>
    </row>
    <row r="5504" spans="15:20">
      <c r="O5504" s="247"/>
      <c r="P5504"/>
      <c r="Q5504" s="224"/>
      <c r="S5504" s="202"/>
      <c r="T5504"/>
    </row>
    <row r="5505" spans="15:20">
      <c r="O5505" s="247"/>
      <c r="P5505"/>
      <c r="Q5505" s="224"/>
      <c r="S5505" s="202"/>
      <c r="T5505"/>
    </row>
    <row r="5506" spans="15:20">
      <c r="O5506" s="247"/>
      <c r="P5506"/>
      <c r="Q5506" s="224"/>
      <c r="S5506" s="202"/>
      <c r="T5506"/>
    </row>
    <row r="5507" spans="15:20">
      <c r="O5507" s="247"/>
      <c r="P5507"/>
      <c r="Q5507" s="224"/>
      <c r="S5507" s="202"/>
      <c r="T5507"/>
    </row>
    <row r="5508" spans="15:20">
      <c r="O5508" s="247"/>
      <c r="P5508"/>
      <c r="Q5508" s="224"/>
      <c r="S5508" s="202"/>
      <c r="T5508"/>
    </row>
    <row r="5509" spans="15:20">
      <c r="O5509" s="247"/>
      <c r="P5509"/>
      <c r="Q5509" s="224"/>
      <c r="S5509" s="202"/>
      <c r="T5509"/>
    </row>
    <row r="5510" spans="15:20">
      <c r="O5510" s="247"/>
      <c r="P5510"/>
      <c r="Q5510" s="224"/>
      <c r="S5510" s="202"/>
      <c r="T5510"/>
    </row>
    <row r="5511" spans="15:20">
      <c r="O5511" s="247"/>
      <c r="P5511"/>
      <c r="Q5511" s="224"/>
      <c r="S5511" s="202"/>
      <c r="T5511"/>
    </row>
    <row r="5512" spans="15:20">
      <c r="O5512" s="247"/>
      <c r="P5512"/>
      <c r="Q5512" s="224"/>
      <c r="S5512" s="202"/>
      <c r="T5512"/>
    </row>
    <row r="5513" spans="15:20">
      <c r="O5513" s="247"/>
      <c r="P5513"/>
      <c r="Q5513" s="224"/>
      <c r="S5513" s="202"/>
      <c r="T5513"/>
    </row>
    <row r="5514" spans="15:20">
      <c r="O5514" s="247"/>
      <c r="P5514"/>
      <c r="Q5514" s="224"/>
      <c r="S5514" s="202"/>
      <c r="T5514"/>
    </row>
    <row r="5515" spans="15:20">
      <c r="O5515" s="247"/>
      <c r="P5515"/>
      <c r="Q5515" s="224"/>
      <c r="S5515" s="202"/>
      <c r="T5515"/>
    </row>
    <row r="5516" spans="15:20">
      <c r="O5516" s="247"/>
      <c r="P5516"/>
      <c r="Q5516" s="224"/>
      <c r="S5516" s="202"/>
      <c r="T5516"/>
    </row>
    <row r="5517" spans="15:20">
      <c r="O5517" s="247"/>
      <c r="P5517"/>
      <c r="Q5517" s="224"/>
      <c r="S5517" s="202"/>
      <c r="T5517"/>
    </row>
    <row r="5518" spans="15:20">
      <c r="O5518" s="247"/>
      <c r="P5518"/>
      <c r="Q5518" s="224"/>
      <c r="S5518" s="202"/>
      <c r="T5518"/>
    </row>
    <row r="5519" spans="15:20">
      <c r="O5519" s="247"/>
      <c r="P5519"/>
      <c r="Q5519" s="224"/>
      <c r="S5519" s="202"/>
      <c r="T5519"/>
    </row>
    <row r="5520" spans="15:20">
      <c r="O5520" s="247"/>
      <c r="P5520"/>
      <c r="Q5520" s="224"/>
      <c r="S5520" s="202"/>
      <c r="T5520"/>
    </row>
    <row r="5521" spans="15:20">
      <c r="O5521" s="247"/>
      <c r="P5521"/>
      <c r="Q5521" s="224"/>
      <c r="S5521" s="202"/>
      <c r="T5521"/>
    </row>
    <row r="5522" spans="15:20">
      <c r="O5522" s="247"/>
      <c r="P5522"/>
      <c r="Q5522" s="224"/>
      <c r="S5522" s="202"/>
      <c r="T5522"/>
    </row>
    <row r="5523" spans="15:20">
      <c r="O5523" s="247"/>
      <c r="P5523"/>
      <c r="Q5523" s="224"/>
      <c r="S5523" s="202"/>
      <c r="T5523"/>
    </row>
    <row r="5524" spans="15:20">
      <c r="O5524" s="247"/>
      <c r="P5524"/>
      <c r="Q5524" s="224"/>
      <c r="S5524" s="202"/>
      <c r="T5524"/>
    </row>
    <row r="5525" spans="15:20">
      <c r="O5525" s="247"/>
      <c r="P5525"/>
      <c r="Q5525" s="224"/>
      <c r="S5525" s="202"/>
      <c r="T5525"/>
    </row>
    <row r="5526" spans="15:20">
      <c r="O5526" s="247"/>
      <c r="P5526"/>
      <c r="Q5526" s="224"/>
      <c r="S5526" s="202"/>
      <c r="T5526"/>
    </row>
    <row r="5527" spans="15:20">
      <c r="O5527" s="247"/>
      <c r="P5527"/>
      <c r="Q5527" s="224"/>
      <c r="S5527" s="202"/>
      <c r="T5527"/>
    </row>
    <row r="5528" spans="15:20">
      <c r="O5528" s="247"/>
      <c r="P5528"/>
      <c r="Q5528" s="224"/>
      <c r="S5528" s="202"/>
      <c r="T5528"/>
    </row>
    <row r="5529" spans="15:20">
      <c r="O5529" s="247"/>
      <c r="P5529"/>
      <c r="Q5529" s="224"/>
      <c r="S5529" s="202"/>
      <c r="T5529"/>
    </row>
    <row r="5530" spans="15:20">
      <c r="O5530" s="247"/>
      <c r="P5530"/>
      <c r="Q5530" s="224"/>
      <c r="S5530" s="202"/>
      <c r="T5530"/>
    </row>
    <row r="5531" spans="15:20">
      <c r="O5531" s="247"/>
      <c r="P5531"/>
      <c r="Q5531" s="224"/>
      <c r="S5531" s="202"/>
      <c r="T5531"/>
    </row>
    <row r="5532" spans="15:20">
      <c r="O5532" s="247"/>
      <c r="P5532"/>
      <c r="Q5532" s="224"/>
      <c r="S5532" s="202"/>
      <c r="T5532"/>
    </row>
    <row r="5533" spans="15:20">
      <c r="O5533" s="247"/>
      <c r="P5533"/>
      <c r="Q5533" s="224"/>
      <c r="S5533" s="202"/>
      <c r="T5533"/>
    </row>
    <row r="5534" spans="15:20">
      <c r="O5534" s="247"/>
      <c r="P5534"/>
      <c r="Q5534" s="224"/>
      <c r="S5534" s="202"/>
      <c r="T5534"/>
    </row>
    <row r="5535" spans="15:20">
      <c r="O5535" s="247"/>
      <c r="P5535"/>
      <c r="Q5535" s="224"/>
      <c r="S5535" s="202"/>
      <c r="T5535"/>
    </row>
    <row r="5536" spans="15:20">
      <c r="O5536" s="247"/>
      <c r="P5536"/>
      <c r="Q5536" s="224"/>
      <c r="S5536" s="202"/>
      <c r="T5536"/>
    </row>
    <row r="5537" spans="15:20">
      <c r="O5537" s="247"/>
      <c r="P5537"/>
      <c r="Q5537" s="224"/>
      <c r="S5537" s="202"/>
      <c r="T5537"/>
    </row>
    <row r="5538" spans="15:20">
      <c r="O5538" s="247"/>
      <c r="P5538"/>
      <c r="Q5538" s="224"/>
      <c r="S5538" s="202"/>
      <c r="T5538"/>
    </row>
    <row r="5539" spans="15:20">
      <c r="O5539" s="247"/>
      <c r="P5539"/>
      <c r="Q5539" s="224"/>
      <c r="S5539" s="202"/>
      <c r="T5539"/>
    </row>
    <row r="5540" spans="15:20">
      <c r="O5540" s="247"/>
      <c r="P5540"/>
      <c r="Q5540" s="224"/>
      <c r="S5540" s="202"/>
      <c r="T5540"/>
    </row>
    <row r="5541" spans="15:20">
      <c r="O5541" s="247"/>
      <c r="P5541"/>
      <c r="Q5541" s="224"/>
      <c r="S5541" s="202"/>
      <c r="T5541"/>
    </row>
    <row r="5542" spans="15:20">
      <c r="O5542" s="247"/>
      <c r="P5542"/>
      <c r="Q5542" s="224"/>
      <c r="S5542" s="202"/>
      <c r="T5542"/>
    </row>
    <row r="5543" spans="15:20">
      <c r="O5543" s="247"/>
      <c r="P5543"/>
      <c r="Q5543" s="224"/>
      <c r="S5543" s="202"/>
      <c r="T5543"/>
    </row>
    <row r="5544" spans="15:20">
      <c r="O5544" s="247"/>
      <c r="P5544"/>
      <c r="Q5544" s="224"/>
      <c r="S5544" s="202"/>
      <c r="T5544"/>
    </row>
    <row r="5545" spans="15:20">
      <c r="O5545" s="247"/>
      <c r="P5545"/>
      <c r="Q5545" s="224"/>
      <c r="S5545" s="202"/>
      <c r="T5545"/>
    </row>
    <row r="5546" spans="15:20">
      <c r="O5546" s="247"/>
      <c r="P5546"/>
      <c r="Q5546" s="224"/>
      <c r="S5546" s="202"/>
      <c r="T5546"/>
    </row>
    <row r="5547" spans="15:20">
      <c r="O5547" s="247"/>
      <c r="P5547"/>
      <c r="Q5547" s="224"/>
      <c r="S5547" s="202"/>
      <c r="T5547"/>
    </row>
    <row r="5548" spans="15:20">
      <c r="O5548" s="247"/>
      <c r="P5548"/>
      <c r="Q5548" s="224"/>
      <c r="S5548" s="202"/>
      <c r="T5548"/>
    </row>
    <row r="5549" spans="15:20">
      <c r="O5549" s="247"/>
      <c r="P5549"/>
      <c r="Q5549" s="224"/>
      <c r="S5549" s="202"/>
      <c r="T5549"/>
    </row>
    <row r="5550" spans="15:20">
      <c r="O5550" s="247"/>
      <c r="P5550"/>
      <c r="Q5550" s="224"/>
      <c r="S5550" s="202"/>
      <c r="T5550"/>
    </row>
    <row r="5551" spans="15:20">
      <c r="O5551" s="247"/>
      <c r="P5551"/>
      <c r="Q5551" s="224"/>
      <c r="S5551" s="202"/>
      <c r="T5551"/>
    </row>
    <row r="5552" spans="15:20">
      <c r="O5552" s="247"/>
      <c r="P5552"/>
      <c r="Q5552" s="224"/>
      <c r="S5552" s="202"/>
      <c r="T5552"/>
    </row>
    <row r="5553" spans="15:20">
      <c r="O5553" s="247"/>
      <c r="P5553"/>
      <c r="Q5553" s="224"/>
      <c r="S5553" s="202"/>
      <c r="T5553"/>
    </row>
    <row r="5554" spans="15:20">
      <c r="O5554" s="247"/>
      <c r="P5554"/>
      <c r="Q5554" s="224"/>
      <c r="S5554" s="202"/>
      <c r="T5554"/>
    </row>
    <row r="5555" spans="15:20">
      <c r="O5555" s="247"/>
      <c r="P5555"/>
      <c r="Q5555" s="224"/>
      <c r="S5555" s="202"/>
      <c r="T5555"/>
    </row>
    <row r="5556" spans="15:20">
      <c r="O5556" s="247"/>
      <c r="P5556"/>
      <c r="Q5556" s="224"/>
      <c r="S5556" s="202"/>
      <c r="T5556"/>
    </row>
    <row r="5557" spans="15:20">
      <c r="O5557" s="247"/>
      <c r="P5557"/>
      <c r="Q5557" s="224"/>
      <c r="S5557" s="202"/>
      <c r="T5557"/>
    </row>
    <row r="5558" spans="15:20">
      <c r="O5558" s="247"/>
      <c r="P5558"/>
      <c r="Q5558" s="224"/>
      <c r="S5558" s="202"/>
      <c r="T5558"/>
    </row>
    <row r="5559" spans="15:20">
      <c r="O5559" s="247"/>
      <c r="P5559"/>
      <c r="Q5559" s="224"/>
      <c r="S5559" s="202"/>
      <c r="T5559"/>
    </row>
    <row r="5560" spans="15:20">
      <c r="O5560" s="247"/>
      <c r="P5560"/>
      <c r="Q5560" s="224"/>
      <c r="S5560" s="202"/>
      <c r="T5560"/>
    </row>
    <row r="5561" spans="15:20">
      <c r="O5561" s="247"/>
      <c r="P5561"/>
      <c r="Q5561" s="224"/>
      <c r="S5561" s="202"/>
      <c r="T5561"/>
    </row>
    <row r="5562" spans="15:20">
      <c r="O5562" s="247"/>
      <c r="P5562"/>
      <c r="Q5562" s="224"/>
      <c r="S5562" s="202"/>
      <c r="T5562"/>
    </row>
    <row r="5563" spans="15:20">
      <c r="O5563" s="247"/>
      <c r="P5563"/>
      <c r="Q5563" s="224"/>
      <c r="S5563" s="202"/>
      <c r="T5563"/>
    </row>
    <row r="5564" spans="15:20">
      <c r="O5564" s="247"/>
      <c r="P5564"/>
      <c r="Q5564" s="224"/>
      <c r="S5564" s="202"/>
      <c r="T5564"/>
    </row>
    <row r="5565" spans="15:20">
      <c r="O5565" s="247"/>
      <c r="P5565"/>
      <c r="Q5565" s="224"/>
      <c r="S5565" s="202"/>
      <c r="T5565"/>
    </row>
    <row r="5566" spans="15:20">
      <c r="O5566" s="247"/>
      <c r="P5566"/>
      <c r="Q5566" s="224"/>
      <c r="S5566" s="202"/>
      <c r="T5566"/>
    </row>
    <row r="5567" spans="15:20">
      <c r="O5567" s="247"/>
      <c r="P5567"/>
      <c r="Q5567" s="224"/>
      <c r="S5567" s="202"/>
      <c r="T5567"/>
    </row>
    <row r="5568" spans="15:20">
      <c r="O5568" s="247"/>
      <c r="P5568"/>
      <c r="Q5568" s="224"/>
      <c r="S5568" s="202"/>
      <c r="T5568"/>
    </row>
    <row r="5569" spans="15:20">
      <c r="O5569" s="247"/>
      <c r="P5569"/>
      <c r="Q5569" s="224"/>
      <c r="S5569" s="202"/>
      <c r="T5569"/>
    </row>
    <row r="5570" spans="15:20">
      <c r="O5570" s="247"/>
      <c r="P5570"/>
      <c r="Q5570" s="224"/>
      <c r="S5570" s="202"/>
      <c r="T5570"/>
    </row>
    <row r="5571" spans="15:20">
      <c r="O5571" s="247"/>
      <c r="P5571"/>
      <c r="Q5571" s="224"/>
      <c r="S5571" s="202"/>
      <c r="T5571"/>
    </row>
    <row r="5572" spans="15:20">
      <c r="O5572" s="247"/>
      <c r="P5572"/>
      <c r="Q5572" s="224"/>
      <c r="S5572" s="202"/>
      <c r="T5572"/>
    </row>
    <row r="5573" spans="15:20">
      <c r="O5573" s="247"/>
      <c r="P5573"/>
      <c r="Q5573" s="224"/>
      <c r="S5573" s="202"/>
      <c r="T5573"/>
    </row>
    <row r="5574" spans="15:20">
      <c r="O5574" s="247"/>
      <c r="P5574"/>
      <c r="Q5574" s="224"/>
      <c r="S5574" s="202"/>
      <c r="T5574"/>
    </row>
    <row r="5575" spans="15:20">
      <c r="O5575" s="247"/>
      <c r="P5575"/>
      <c r="Q5575" s="224"/>
      <c r="S5575" s="202"/>
      <c r="T5575"/>
    </row>
    <row r="5576" spans="15:20">
      <c r="O5576" s="247"/>
      <c r="P5576"/>
      <c r="Q5576" s="224"/>
      <c r="S5576" s="202"/>
      <c r="T5576"/>
    </row>
    <row r="5577" spans="15:20">
      <c r="O5577" s="247"/>
      <c r="P5577"/>
      <c r="Q5577" s="224"/>
      <c r="S5577" s="202"/>
      <c r="T5577"/>
    </row>
    <row r="5578" spans="15:20">
      <c r="O5578" s="247"/>
      <c r="P5578"/>
      <c r="Q5578" s="224"/>
      <c r="S5578" s="202"/>
      <c r="T5578"/>
    </row>
    <row r="5579" spans="15:20">
      <c r="O5579" s="247"/>
      <c r="P5579"/>
      <c r="Q5579" s="224"/>
      <c r="S5579" s="202"/>
      <c r="T5579"/>
    </row>
    <row r="5580" spans="15:20">
      <c r="O5580" s="247"/>
      <c r="P5580"/>
      <c r="Q5580" s="224"/>
      <c r="S5580" s="202"/>
      <c r="T5580"/>
    </row>
    <row r="5581" spans="15:20">
      <c r="O5581" s="247"/>
      <c r="P5581"/>
      <c r="Q5581" s="224"/>
      <c r="S5581" s="202"/>
      <c r="T5581"/>
    </row>
    <row r="5582" spans="15:20">
      <c r="O5582" s="247"/>
      <c r="P5582"/>
      <c r="Q5582" s="224"/>
      <c r="S5582" s="202"/>
      <c r="T5582"/>
    </row>
    <row r="5583" spans="15:20">
      <c r="O5583" s="247"/>
      <c r="P5583"/>
      <c r="Q5583" s="224"/>
      <c r="S5583" s="202"/>
      <c r="T5583"/>
    </row>
    <row r="5584" spans="15:20">
      <c r="O5584" s="247"/>
      <c r="P5584"/>
      <c r="Q5584" s="224"/>
      <c r="S5584" s="202"/>
      <c r="T5584"/>
    </row>
    <row r="5585" spans="15:20">
      <c r="O5585" s="247"/>
      <c r="P5585"/>
      <c r="Q5585" s="224"/>
      <c r="S5585" s="202"/>
      <c r="T5585"/>
    </row>
    <row r="5586" spans="15:20">
      <c r="O5586" s="247"/>
      <c r="P5586"/>
      <c r="Q5586" s="224"/>
      <c r="S5586" s="202"/>
      <c r="T5586"/>
    </row>
    <row r="5587" spans="15:20">
      <c r="O5587" s="247"/>
      <c r="P5587"/>
      <c r="Q5587" s="224"/>
      <c r="S5587" s="202"/>
      <c r="T5587"/>
    </row>
    <row r="5588" spans="15:20">
      <c r="O5588" s="247"/>
      <c r="P5588"/>
      <c r="Q5588" s="224"/>
      <c r="S5588" s="202"/>
      <c r="T5588"/>
    </row>
    <row r="5589" spans="15:20">
      <c r="O5589" s="247"/>
      <c r="P5589"/>
      <c r="Q5589" s="224"/>
      <c r="S5589" s="202"/>
      <c r="T5589"/>
    </row>
    <row r="5590" spans="15:20">
      <c r="O5590" s="247"/>
      <c r="P5590"/>
      <c r="Q5590" s="224"/>
      <c r="S5590" s="202"/>
      <c r="T5590"/>
    </row>
    <row r="5591" spans="15:20">
      <c r="O5591" s="247"/>
      <c r="P5591"/>
      <c r="Q5591" s="224"/>
      <c r="S5591" s="202"/>
      <c r="T5591"/>
    </row>
    <row r="5592" spans="15:20">
      <c r="O5592" s="247"/>
      <c r="P5592"/>
      <c r="Q5592" s="224"/>
      <c r="S5592" s="202"/>
      <c r="T5592"/>
    </row>
    <row r="5593" spans="15:20">
      <c r="O5593" s="247"/>
      <c r="P5593"/>
      <c r="Q5593" s="224"/>
      <c r="S5593" s="202"/>
      <c r="T5593"/>
    </row>
    <row r="5594" spans="15:20">
      <c r="O5594" s="247"/>
      <c r="P5594"/>
      <c r="Q5594" s="224"/>
      <c r="S5594" s="202"/>
      <c r="T5594"/>
    </row>
    <row r="5595" spans="15:20">
      <c r="O5595" s="247"/>
      <c r="P5595"/>
      <c r="Q5595" s="224"/>
      <c r="S5595" s="202"/>
      <c r="T5595"/>
    </row>
    <row r="5596" spans="15:20">
      <c r="O5596" s="247"/>
      <c r="P5596"/>
      <c r="Q5596" s="224"/>
      <c r="S5596" s="202"/>
      <c r="T5596"/>
    </row>
    <row r="5597" spans="15:20">
      <c r="O5597" s="247"/>
      <c r="P5597"/>
      <c r="Q5597" s="224"/>
      <c r="S5597" s="202"/>
      <c r="T5597"/>
    </row>
    <row r="5598" spans="15:20">
      <c r="O5598" s="247"/>
      <c r="P5598"/>
      <c r="Q5598" s="224"/>
      <c r="S5598" s="202"/>
      <c r="T5598"/>
    </row>
    <row r="5599" spans="15:20">
      <c r="O5599" s="247"/>
      <c r="P5599"/>
      <c r="Q5599" s="224"/>
      <c r="S5599" s="202"/>
      <c r="T5599"/>
    </row>
    <row r="5600" spans="15:20">
      <c r="O5600" s="247"/>
      <c r="P5600"/>
      <c r="Q5600" s="224"/>
      <c r="S5600" s="202"/>
      <c r="T5600"/>
    </row>
    <row r="5601" spans="15:20">
      <c r="O5601" s="247"/>
      <c r="P5601"/>
      <c r="Q5601" s="224"/>
      <c r="S5601" s="202"/>
      <c r="T5601"/>
    </row>
    <row r="5602" spans="15:20">
      <c r="O5602" s="247"/>
      <c r="P5602"/>
      <c r="Q5602" s="224"/>
      <c r="S5602" s="202"/>
      <c r="T5602"/>
    </row>
    <row r="5603" spans="15:20">
      <c r="O5603" s="247"/>
      <c r="P5603"/>
      <c r="Q5603" s="224"/>
      <c r="S5603" s="202"/>
      <c r="T5603"/>
    </row>
    <row r="5604" spans="15:20">
      <c r="O5604" s="247"/>
      <c r="P5604"/>
      <c r="Q5604" s="224"/>
      <c r="S5604" s="202"/>
      <c r="T5604"/>
    </row>
    <row r="5605" spans="15:20">
      <c r="O5605" s="247"/>
      <c r="P5605"/>
      <c r="Q5605" s="224"/>
      <c r="S5605" s="202"/>
      <c r="T5605"/>
    </row>
    <row r="5606" spans="15:20">
      <c r="O5606" s="247"/>
      <c r="P5606"/>
      <c r="Q5606" s="224"/>
      <c r="S5606" s="202"/>
      <c r="T5606"/>
    </row>
    <row r="5607" spans="15:20">
      <c r="O5607" s="247"/>
      <c r="P5607"/>
      <c r="Q5607" s="224"/>
      <c r="S5607" s="202"/>
      <c r="T5607"/>
    </row>
    <row r="5608" spans="15:20">
      <c r="O5608" s="247"/>
      <c r="P5608"/>
      <c r="Q5608" s="224"/>
      <c r="S5608" s="202"/>
      <c r="T5608"/>
    </row>
    <row r="5609" spans="15:20">
      <c r="O5609" s="247"/>
      <c r="P5609"/>
      <c r="Q5609" s="224"/>
      <c r="S5609" s="202"/>
      <c r="T5609"/>
    </row>
    <row r="5610" spans="15:20">
      <c r="O5610" s="247"/>
      <c r="P5610"/>
      <c r="Q5610" s="224"/>
      <c r="S5610" s="202"/>
      <c r="T5610"/>
    </row>
    <row r="5611" spans="15:20">
      <c r="O5611" s="247"/>
      <c r="P5611"/>
      <c r="Q5611" s="224"/>
      <c r="S5611" s="202"/>
      <c r="T5611"/>
    </row>
    <row r="5612" spans="15:20">
      <c r="O5612" s="247"/>
      <c r="P5612"/>
      <c r="Q5612" s="224"/>
      <c r="S5612" s="202"/>
      <c r="T5612"/>
    </row>
    <row r="5613" spans="15:20">
      <c r="O5613" s="247"/>
      <c r="P5613"/>
      <c r="Q5613" s="224"/>
      <c r="S5613" s="202"/>
      <c r="T5613"/>
    </row>
    <row r="5614" spans="15:20">
      <c r="O5614" s="247"/>
      <c r="P5614"/>
      <c r="Q5614" s="224"/>
      <c r="S5614" s="202"/>
      <c r="T5614"/>
    </row>
    <row r="5615" spans="15:20">
      <c r="O5615" s="247"/>
      <c r="P5615"/>
      <c r="Q5615" s="224"/>
      <c r="S5615" s="202"/>
      <c r="T5615"/>
    </row>
    <row r="5616" spans="15:20">
      <c r="O5616" s="247"/>
      <c r="P5616"/>
      <c r="Q5616" s="224"/>
      <c r="S5616" s="202"/>
      <c r="T5616"/>
    </row>
    <row r="5617" spans="15:20">
      <c r="O5617" s="247"/>
      <c r="P5617"/>
      <c r="Q5617" s="224"/>
      <c r="S5617" s="202"/>
      <c r="T5617"/>
    </row>
    <row r="5618" spans="15:20">
      <c r="O5618" s="247"/>
      <c r="P5618"/>
      <c r="Q5618" s="224"/>
      <c r="S5618" s="202"/>
      <c r="T5618"/>
    </row>
    <row r="5619" spans="15:20">
      <c r="O5619" s="247"/>
      <c r="P5619"/>
      <c r="Q5619" s="224"/>
      <c r="S5619" s="202"/>
      <c r="T5619"/>
    </row>
    <row r="5620" spans="15:20">
      <c r="O5620" s="247"/>
      <c r="P5620"/>
      <c r="Q5620" s="224"/>
      <c r="S5620" s="202"/>
      <c r="T5620"/>
    </row>
    <row r="5621" spans="15:20">
      <c r="O5621" s="247"/>
      <c r="P5621"/>
      <c r="Q5621" s="224"/>
      <c r="S5621" s="202"/>
      <c r="T5621"/>
    </row>
    <row r="5622" spans="15:20">
      <c r="O5622" s="247"/>
      <c r="P5622"/>
      <c r="Q5622" s="224"/>
      <c r="S5622" s="202"/>
      <c r="T5622"/>
    </row>
    <row r="5623" spans="15:20">
      <c r="O5623" s="247"/>
      <c r="P5623"/>
      <c r="Q5623" s="224"/>
      <c r="S5623" s="202"/>
      <c r="T5623"/>
    </row>
    <row r="5624" spans="15:20">
      <c r="O5624" s="247"/>
      <c r="P5624"/>
      <c r="Q5624" s="224"/>
      <c r="S5624" s="202"/>
      <c r="T5624"/>
    </row>
    <row r="5625" spans="15:20">
      <c r="O5625" s="247"/>
      <c r="P5625"/>
      <c r="Q5625" s="224"/>
      <c r="S5625" s="202"/>
      <c r="T5625"/>
    </row>
    <row r="5626" spans="15:20">
      <c r="O5626" s="247"/>
      <c r="P5626"/>
      <c r="Q5626" s="224"/>
      <c r="S5626" s="202"/>
      <c r="T5626"/>
    </row>
    <row r="5627" spans="15:20">
      <c r="O5627" s="247"/>
      <c r="P5627"/>
      <c r="Q5627" s="224"/>
      <c r="S5627" s="202"/>
      <c r="T5627"/>
    </row>
    <row r="5628" spans="15:20">
      <c r="O5628" s="247"/>
      <c r="P5628"/>
      <c r="Q5628" s="224"/>
      <c r="S5628" s="202"/>
      <c r="T5628"/>
    </row>
    <row r="5629" spans="15:20">
      <c r="O5629" s="247"/>
      <c r="P5629"/>
      <c r="Q5629" s="224"/>
      <c r="S5629" s="202"/>
      <c r="T5629"/>
    </row>
    <row r="5630" spans="15:20">
      <c r="O5630" s="247"/>
      <c r="P5630"/>
      <c r="Q5630" s="224"/>
      <c r="S5630" s="202"/>
      <c r="T5630"/>
    </row>
    <row r="5631" spans="15:20">
      <c r="O5631" s="247"/>
      <c r="P5631"/>
      <c r="Q5631" s="224"/>
      <c r="S5631" s="202"/>
      <c r="T5631"/>
    </row>
    <row r="5632" spans="15:20">
      <c r="O5632" s="247"/>
      <c r="P5632"/>
      <c r="Q5632" s="224"/>
      <c r="S5632" s="202"/>
      <c r="T5632"/>
    </row>
    <row r="5633" spans="15:20">
      <c r="O5633" s="247"/>
      <c r="P5633"/>
      <c r="Q5633" s="224"/>
      <c r="S5633" s="202"/>
      <c r="T5633"/>
    </row>
    <row r="5634" spans="15:20">
      <c r="O5634" s="247"/>
      <c r="P5634"/>
      <c r="Q5634" s="224"/>
      <c r="S5634" s="202"/>
      <c r="T5634"/>
    </row>
    <row r="5635" spans="15:20">
      <c r="O5635" s="247"/>
      <c r="P5635"/>
      <c r="Q5635" s="224"/>
      <c r="S5635" s="202"/>
      <c r="T5635"/>
    </row>
    <row r="5636" spans="15:20">
      <c r="O5636" s="247"/>
      <c r="P5636"/>
      <c r="Q5636" s="224"/>
      <c r="S5636" s="202"/>
      <c r="T5636"/>
    </row>
    <row r="5637" spans="15:20">
      <c r="O5637" s="247"/>
      <c r="P5637"/>
      <c r="Q5637" s="224"/>
      <c r="S5637" s="202"/>
      <c r="T5637"/>
    </row>
    <row r="5638" spans="15:20">
      <c r="O5638" s="247"/>
      <c r="P5638"/>
      <c r="Q5638" s="224"/>
      <c r="S5638" s="202"/>
      <c r="T5638"/>
    </row>
    <row r="5639" spans="15:20">
      <c r="O5639" s="247"/>
      <c r="P5639"/>
      <c r="Q5639" s="224"/>
      <c r="S5639" s="202"/>
      <c r="T5639"/>
    </row>
    <row r="5640" spans="15:20">
      <c r="O5640" s="247"/>
      <c r="P5640"/>
      <c r="Q5640" s="224"/>
      <c r="S5640" s="202"/>
      <c r="T5640"/>
    </row>
    <row r="5641" spans="15:20">
      <c r="O5641" s="247"/>
      <c r="P5641"/>
      <c r="Q5641" s="224"/>
      <c r="S5641" s="202"/>
      <c r="T5641"/>
    </row>
    <row r="5642" spans="15:20">
      <c r="O5642" s="247"/>
      <c r="P5642"/>
      <c r="Q5642" s="224"/>
      <c r="S5642" s="202"/>
      <c r="T5642"/>
    </row>
    <row r="5643" spans="15:20">
      <c r="O5643" s="247"/>
      <c r="P5643"/>
      <c r="Q5643" s="224"/>
      <c r="S5643" s="202"/>
      <c r="T5643"/>
    </row>
    <row r="5644" spans="15:20">
      <c r="O5644" s="247"/>
      <c r="P5644"/>
      <c r="Q5644" s="224"/>
      <c r="S5644" s="202"/>
      <c r="T5644"/>
    </row>
    <row r="5645" spans="15:20">
      <c r="O5645" s="247"/>
      <c r="P5645"/>
      <c r="Q5645" s="224"/>
      <c r="S5645" s="202"/>
      <c r="T5645"/>
    </row>
    <row r="5646" spans="15:20">
      <c r="O5646" s="247"/>
      <c r="P5646"/>
      <c r="Q5646" s="224"/>
      <c r="S5646" s="202"/>
      <c r="T5646"/>
    </row>
    <row r="5647" spans="15:20">
      <c r="O5647" s="247"/>
      <c r="P5647"/>
      <c r="Q5647" s="224"/>
      <c r="S5647" s="202"/>
      <c r="T5647"/>
    </row>
    <row r="5648" spans="15:20">
      <c r="O5648" s="247"/>
      <c r="P5648"/>
      <c r="Q5648" s="224"/>
      <c r="S5648" s="202"/>
      <c r="T5648"/>
    </row>
    <row r="5649" spans="15:20">
      <c r="O5649" s="247"/>
      <c r="P5649"/>
      <c r="Q5649" s="224"/>
      <c r="S5649" s="202"/>
      <c r="T5649"/>
    </row>
    <row r="5650" spans="15:20">
      <c r="O5650" s="247"/>
      <c r="P5650"/>
      <c r="Q5650" s="224"/>
      <c r="S5650" s="202"/>
      <c r="T5650"/>
    </row>
    <row r="5651" spans="15:20">
      <c r="O5651" s="247"/>
      <c r="P5651"/>
      <c r="Q5651" s="224"/>
      <c r="S5651" s="202"/>
      <c r="T5651"/>
    </row>
    <row r="5652" spans="15:20">
      <c r="O5652" s="247"/>
      <c r="P5652"/>
      <c r="Q5652" s="224"/>
      <c r="S5652" s="202"/>
      <c r="T5652"/>
    </row>
    <row r="5653" spans="15:20">
      <c r="O5653" s="247"/>
      <c r="P5653"/>
      <c r="Q5653" s="224"/>
      <c r="S5653" s="202"/>
      <c r="T5653"/>
    </row>
    <row r="5654" spans="15:20">
      <c r="O5654" s="247"/>
      <c r="P5654"/>
      <c r="Q5654" s="224"/>
      <c r="S5654" s="202"/>
      <c r="T5654"/>
    </row>
    <row r="5655" spans="15:20">
      <c r="O5655" s="247"/>
      <c r="P5655"/>
      <c r="Q5655" s="224"/>
      <c r="S5655" s="202"/>
      <c r="T5655"/>
    </row>
    <row r="5656" spans="15:20">
      <c r="O5656" s="247"/>
      <c r="P5656"/>
      <c r="Q5656" s="224"/>
      <c r="S5656" s="202"/>
      <c r="T5656"/>
    </row>
    <row r="5657" spans="15:20">
      <c r="O5657" s="247"/>
      <c r="P5657"/>
      <c r="Q5657" s="224"/>
      <c r="S5657" s="202"/>
      <c r="T5657"/>
    </row>
    <row r="5658" spans="15:20">
      <c r="O5658" s="247"/>
      <c r="P5658"/>
      <c r="Q5658" s="224"/>
      <c r="S5658" s="202"/>
      <c r="T5658"/>
    </row>
    <row r="5659" spans="15:20">
      <c r="O5659" s="247"/>
      <c r="P5659"/>
      <c r="Q5659" s="224"/>
      <c r="S5659" s="202"/>
      <c r="T5659"/>
    </row>
    <row r="5660" spans="15:20">
      <c r="O5660" s="247"/>
      <c r="P5660"/>
      <c r="Q5660" s="224"/>
      <c r="S5660" s="202"/>
      <c r="T5660"/>
    </row>
    <row r="5661" spans="15:20">
      <c r="O5661" s="247"/>
      <c r="P5661"/>
      <c r="Q5661" s="224"/>
      <c r="S5661" s="202"/>
      <c r="T5661"/>
    </row>
    <row r="5662" spans="15:20">
      <c r="O5662" s="247"/>
      <c r="P5662"/>
      <c r="Q5662" s="224"/>
      <c r="S5662" s="202"/>
      <c r="T5662"/>
    </row>
    <row r="5663" spans="15:20">
      <c r="O5663" s="247"/>
      <c r="P5663"/>
      <c r="Q5663" s="224"/>
      <c r="S5663" s="202"/>
      <c r="T5663"/>
    </row>
    <row r="5664" spans="15:20">
      <c r="O5664" s="247"/>
      <c r="P5664"/>
      <c r="Q5664" s="224"/>
      <c r="S5664" s="202"/>
      <c r="T5664"/>
    </row>
    <row r="5665" spans="15:20">
      <c r="O5665" s="247"/>
      <c r="P5665"/>
      <c r="Q5665" s="224"/>
      <c r="S5665" s="202"/>
      <c r="T5665"/>
    </row>
    <row r="5666" spans="15:20">
      <c r="O5666" s="247"/>
      <c r="P5666"/>
      <c r="Q5666" s="224"/>
      <c r="S5666" s="202"/>
      <c r="T5666"/>
    </row>
    <row r="5667" spans="15:20">
      <c r="O5667" s="247"/>
      <c r="P5667"/>
      <c r="Q5667" s="224"/>
      <c r="S5667" s="202"/>
      <c r="T5667"/>
    </row>
    <row r="5668" spans="15:20">
      <c r="O5668" s="247"/>
      <c r="P5668"/>
      <c r="Q5668" s="224"/>
      <c r="S5668" s="202"/>
      <c r="T5668"/>
    </row>
    <row r="5669" spans="15:20">
      <c r="O5669" s="247"/>
      <c r="P5669"/>
      <c r="Q5669" s="224"/>
      <c r="S5669" s="202"/>
      <c r="T5669"/>
    </row>
    <row r="5670" spans="15:20">
      <c r="O5670" s="247"/>
      <c r="P5670"/>
      <c r="Q5670" s="224"/>
      <c r="S5670" s="202"/>
      <c r="T5670"/>
    </row>
    <row r="5671" spans="15:20">
      <c r="O5671" s="247"/>
      <c r="P5671"/>
      <c r="Q5671" s="224"/>
      <c r="S5671" s="202"/>
      <c r="T5671"/>
    </row>
    <row r="5672" spans="15:20">
      <c r="O5672" s="247"/>
      <c r="P5672"/>
      <c r="Q5672" s="224"/>
      <c r="S5672" s="202"/>
      <c r="T5672"/>
    </row>
    <row r="5673" spans="15:20">
      <c r="O5673" s="247"/>
      <c r="P5673"/>
      <c r="Q5673" s="224"/>
      <c r="S5673" s="202"/>
      <c r="T5673"/>
    </row>
    <row r="5674" spans="15:20">
      <c r="O5674" s="247"/>
      <c r="P5674"/>
      <c r="Q5674" s="224"/>
      <c r="S5674" s="202"/>
      <c r="T5674"/>
    </row>
    <row r="5675" spans="15:20">
      <c r="O5675" s="247"/>
      <c r="P5675"/>
      <c r="Q5675" s="224"/>
      <c r="S5675" s="202"/>
      <c r="T5675"/>
    </row>
    <row r="5676" spans="15:20">
      <c r="O5676" s="247"/>
      <c r="P5676"/>
      <c r="Q5676" s="224"/>
      <c r="S5676" s="202"/>
      <c r="T5676"/>
    </row>
    <row r="5677" spans="15:20">
      <c r="O5677" s="247"/>
      <c r="P5677"/>
      <c r="Q5677" s="224"/>
      <c r="S5677" s="202"/>
      <c r="T5677"/>
    </row>
    <row r="5678" spans="15:20">
      <c r="O5678" s="247"/>
      <c r="P5678"/>
      <c r="Q5678" s="224"/>
      <c r="S5678" s="202"/>
      <c r="T5678"/>
    </row>
    <row r="5679" spans="15:20">
      <c r="O5679" s="247"/>
      <c r="P5679"/>
      <c r="Q5679" s="224"/>
      <c r="S5679" s="202"/>
      <c r="T5679"/>
    </row>
    <row r="5680" spans="15:20">
      <c r="O5680" s="247"/>
      <c r="P5680"/>
      <c r="Q5680" s="224"/>
      <c r="S5680" s="202"/>
      <c r="T5680"/>
    </row>
    <row r="5681" spans="15:20">
      <c r="O5681" s="247"/>
      <c r="P5681"/>
      <c r="Q5681" s="224"/>
      <c r="S5681" s="202"/>
      <c r="T5681"/>
    </row>
    <row r="5682" spans="15:20">
      <c r="O5682" s="247"/>
      <c r="P5682"/>
      <c r="Q5682" s="224"/>
      <c r="S5682" s="202"/>
      <c r="T5682"/>
    </row>
    <row r="5683" spans="15:20">
      <c r="O5683" s="247"/>
      <c r="P5683"/>
      <c r="Q5683" s="224"/>
      <c r="S5683" s="202"/>
      <c r="T5683"/>
    </row>
    <row r="5684" spans="15:20">
      <c r="O5684" s="247"/>
      <c r="P5684"/>
      <c r="Q5684" s="224"/>
      <c r="S5684" s="202"/>
      <c r="T5684"/>
    </row>
    <row r="5685" spans="15:20">
      <c r="O5685" s="247"/>
      <c r="P5685"/>
      <c r="Q5685" s="224"/>
      <c r="S5685" s="202"/>
      <c r="T5685"/>
    </row>
    <row r="5686" spans="15:20">
      <c r="O5686" s="247"/>
      <c r="P5686"/>
      <c r="Q5686" s="224"/>
      <c r="S5686" s="202"/>
      <c r="T5686"/>
    </row>
    <row r="5687" spans="15:20">
      <c r="O5687" s="247"/>
      <c r="P5687"/>
      <c r="Q5687" s="224"/>
      <c r="S5687" s="202"/>
      <c r="T5687"/>
    </row>
    <row r="5688" spans="15:20">
      <c r="O5688" s="247"/>
      <c r="P5688"/>
      <c r="Q5688" s="224"/>
      <c r="S5688" s="202"/>
      <c r="T5688"/>
    </row>
    <row r="5689" spans="15:20">
      <c r="O5689" s="247"/>
      <c r="P5689"/>
      <c r="Q5689" s="224"/>
      <c r="S5689" s="202"/>
      <c r="T5689"/>
    </row>
    <row r="5690" spans="15:20">
      <c r="O5690" s="247"/>
      <c r="P5690"/>
      <c r="Q5690" s="224"/>
      <c r="S5690" s="202"/>
      <c r="T5690"/>
    </row>
    <row r="5691" spans="15:20">
      <c r="O5691" s="247"/>
      <c r="P5691"/>
      <c r="Q5691" s="224"/>
      <c r="S5691" s="202"/>
      <c r="T5691"/>
    </row>
    <row r="5692" spans="15:20">
      <c r="O5692" s="247"/>
      <c r="P5692"/>
      <c r="Q5692" s="224"/>
      <c r="S5692" s="202"/>
      <c r="T5692"/>
    </row>
    <row r="5693" spans="15:20">
      <c r="O5693" s="247"/>
      <c r="P5693"/>
      <c r="Q5693" s="224"/>
      <c r="S5693" s="202"/>
      <c r="T5693"/>
    </row>
    <row r="5694" spans="15:20">
      <c r="O5694" s="247"/>
      <c r="P5694"/>
      <c r="Q5694" s="224"/>
      <c r="S5694" s="202"/>
      <c r="T5694"/>
    </row>
    <row r="5695" spans="15:20">
      <c r="O5695" s="247"/>
      <c r="P5695"/>
      <c r="Q5695" s="224"/>
      <c r="S5695" s="202"/>
      <c r="T5695"/>
    </row>
    <row r="5696" spans="15:20">
      <c r="O5696" s="247"/>
      <c r="P5696"/>
      <c r="Q5696" s="224"/>
      <c r="S5696" s="202"/>
      <c r="T5696"/>
    </row>
    <row r="5697" spans="15:20">
      <c r="O5697" s="247"/>
      <c r="P5697"/>
      <c r="Q5697" s="224"/>
      <c r="S5697" s="202"/>
      <c r="T5697"/>
    </row>
    <row r="5698" spans="15:20">
      <c r="O5698" s="247"/>
      <c r="P5698"/>
      <c r="Q5698" s="224"/>
      <c r="S5698" s="202"/>
      <c r="T5698"/>
    </row>
    <row r="5699" spans="15:20">
      <c r="O5699" s="247"/>
      <c r="P5699"/>
      <c r="Q5699" s="224"/>
      <c r="S5699" s="202"/>
      <c r="T5699"/>
    </row>
    <row r="5700" spans="15:20">
      <c r="O5700" s="247"/>
      <c r="P5700"/>
      <c r="Q5700" s="224"/>
      <c r="S5700" s="202"/>
      <c r="T5700"/>
    </row>
    <row r="5701" spans="15:20">
      <c r="O5701" s="247"/>
      <c r="P5701"/>
      <c r="Q5701" s="224"/>
      <c r="S5701" s="202"/>
      <c r="T5701"/>
    </row>
    <row r="5702" spans="15:20">
      <c r="O5702" s="247"/>
      <c r="P5702"/>
      <c r="Q5702" s="224"/>
      <c r="S5702" s="202"/>
      <c r="T5702"/>
    </row>
    <row r="5703" spans="15:20">
      <c r="O5703" s="247"/>
      <c r="P5703"/>
      <c r="Q5703" s="224"/>
      <c r="S5703" s="202"/>
      <c r="T5703"/>
    </row>
    <row r="5704" spans="15:20">
      <c r="O5704" s="247"/>
      <c r="P5704"/>
      <c r="Q5704" s="224"/>
      <c r="S5704" s="202"/>
      <c r="T5704"/>
    </row>
    <row r="5705" spans="15:20">
      <c r="O5705" s="247"/>
      <c r="P5705"/>
      <c r="Q5705" s="224"/>
      <c r="S5705" s="202"/>
      <c r="T5705"/>
    </row>
    <row r="5706" spans="15:20">
      <c r="O5706" s="247"/>
      <c r="P5706"/>
      <c r="Q5706" s="224"/>
      <c r="S5706" s="202"/>
      <c r="T5706"/>
    </row>
    <row r="5707" spans="15:20">
      <c r="O5707" s="247"/>
      <c r="P5707"/>
      <c r="Q5707" s="224"/>
      <c r="S5707" s="202"/>
      <c r="T5707"/>
    </row>
    <row r="5708" spans="15:20">
      <c r="O5708" s="247"/>
      <c r="P5708"/>
      <c r="Q5708" s="224"/>
      <c r="S5708" s="202"/>
      <c r="T5708"/>
    </row>
    <row r="5709" spans="15:20">
      <c r="O5709" s="247"/>
      <c r="P5709"/>
      <c r="Q5709" s="224"/>
      <c r="S5709" s="202"/>
      <c r="T5709"/>
    </row>
    <row r="5710" spans="15:20">
      <c r="O5710" s="247"/>
      <c r="P5710"/>
      <c r="Q5710" s="224"/>
      <c r="S5710" s="202"/>
      <c r="T5710"/>
    </row>
    <row r="5711" spans="15:20">
      <c r="O5711" s="247"/>
      <c r="P5711"/>
      <c r="Q5711" s="224"/>
      <c r="S5711" s="202"/>
      <c r="T5711"/>
    </row>
    <row r="5712" spans="15:20">
      <c r="O5712" s="247"/>
      <c r="P5712"/>
      <c r="Q5712" s="224"/>
      <c r="S5712" s="202"/>
      <c r="T5712"/>
    </row>
    <row r="5713" spans="15:20">
      <c r="O5713" s="247"/>
      <c r="P5713"/>
      <c r="Q5713" s="224"/>
      <c r="S5713" s="202"/>
      <c r="T5713"/>
    </row>
    <row r="5714" spans="15:20">
      <c r="O5714" s="247"/>
      <c r="P5714"/>
      <c r="Q5714" s="224"/>
      <c r="S5714" s="202"/>
      <c r="T5714"/>
    </row>
    <row r="5715" spans="15:20">
      <c r="O5715" s="247"/>
      <c r="P5715"/>
      <c r="Q5715" s="224"/>
      <c r="S5715" s="202"/>
      <c r="T5715"/>
    </row>
    <row r="5716" spans="15:20">
      <c r="O5716" s="247"/>
      <c r="P5716"/>
      <c r="Q5716" s="224"/>
      <c r="S5716" s="202"/>
      <c r="T5716"/>
    </row>
    <row r="5717" spans="15:20">
      <c r="O5717" s="247"/>
      <c r="P5717"/>
      <c r="Q5717" s="224"/>
      <c r="S5717" s="202"/>
      <c r="T5717"/>
    </row>
    <row r="5718" spans="15:20">
      <c r="O5718" s="247"/>
      <c r="P5718"/>
      <c r="Q5718" s="224"/>
      <c r="S5718" s="202"/>
      <c r="T5718"/>
    </row>
    <row r="5719" spans="15:20">
      <c r="O5719" s="247"/>
      <c r="P5719"/>
      <c r="Q5719" s="224"/>
      <c r="S5719" s="202"/>
      <c r="T5719"/>
    </row>
    <row r="5720" spans="15:20">
      <c r="O5720" s="247"/>
      <c r="P5720"/>
      <c r="Q5720" s="224"/>
      <c r="S5720" s="202"/>
      <c r="T5720"/>
    </row>
    <row r="5721" spans="15:20">
      <c r="O5721" s="247"/>
      <c r="P5721"/>
      <c r="Q5721" s="224"/>
      <c r="S5721" s="202"/>
      <c r="T5721"/>
    </row>
    <row r="5722" spans="15:20">
      <c r="O5722" s="247"/>
      <c r="P5722"/>
      <c r="Q5722" s="224"/>
      <c r="S5722" s="202"/>
      <c r="T5722"/>
    </row>
    <row r="5723" spans="15:20">
      <c r="O5723" s="247"/>
      <c r="P5723"/>
      <c r="Q5723" s="224"/>
      <c r="S5723" s="202"/>
      <c r="T5723"/>
    </row>
    <row r="5724" spans="15:20">
      <c r="O5724" s="247"/>
      <c r="P5724"/>
      <c r="Q5724" s="224"/>
      <c r="S5724" s="202"/>
      <c r="T5724"/>
    </row>
    <row r="5725" spans="15:20">
      <c r="O5725" s="247"/>
      <c r="P5725"/>
      <c r="Q5725" s="224"/>
      <c r="S5725" s="202"/>
      <c r="T5725"/>
    </row>
    <row r="5726" spans="15:20">
      <c r="O5726" s="247"/>
      <c r="P5726"/>
      <c r="Q5726" s="224"/>
      <c r="S5726" s="202"/>
      <c r="T5726"/>
    </row>
    <row r="5727" spans="15:20">
      <c r="O5727" s="247"/>
      <c r="P5727"/>
      <c r="Q5727" s="224"/>
      <c r="S5727" s="202"/>
      <c r="T5727"/>
    </row>
    <row r="5728" spans="15:20">
      <c r="O5728" s="247"/>
      <c r="P5728"/>
      <c r="Q5728" s="224"/>
      <c r="S5728" s="202"/>
      <c r="T5728"/>
    </row>
    <row r="5729" spans="15:20">
      <c r="O5729" s="247"/>
      <c r="P5729"/>
      <c r="Q5729" s="224"/>
      <c r="S5729" s="202"/>
      <c r="T5729"/>
    </row>
    <row r="5730" spans="15:20">
      <c r="O5730" s="247"/>
      <c r="P5730"/>
      <c r="Q5730" s="224"/>
      <c r="S5730" s="202"/>
      <c r="T5730"/>
    </row>
    <row r="5731" spans="15:20">
      <c r="O5731" s="247"/>
      <c r="P5731"/>
      <c r="Q5731" s="224"/>
      <c r="S5731" s="202"/>
      <c r="T5731"/>
    </row>
    <row r="5732" spans="15:20">
      <c r="O5732" s="247"/>
      <c r="P5732"/>
      <c r="Q5732" s="224"/>
      <c r="S5732" s="202"/>
      <c r="T5732"/>
    </row>
    <row r="5733" spans="15:20">
      <c r="O5733" s="247"/>
      <c r="P5733"/>
      <c r="Q5733" s="224"/>
      <c r="S5733" s="202"/>
      <c r="T5733"/>
    </row>
    <row r="5734" spans="15:20">
      <c r="O5734" s="247"/>
      <c r="P5734"/>
      <c r="Q5734" s="224"/>
      <c r="S5734" s="202"/>
      <c r="T5734"/>
    </row>
    <row r="5735" spans="15:20">
      <c r="O5735" s="247"/>
      <c r="P5735"/>
      <c r="Q5735" s="224"/>
      <c r="S5735" s="202"/>
      <c r="T5735"/>
    </row>
    <row r="5736" spans="15:20">
      <c r="O5736" s="247"/>
      <c r="P5736"/>
      <c r="Q5736" s="224"/>
      <c r="S5736" s="202"/>
      <c r="T5736"/>
    </row>
    <row r="5737" spans="15:20">
      <c r="O5737" s="247"/>
      <c r="P5737"/>
      <c r="Q5737" s="224"/>
      <c r="S5737" s="202"/>
      <c r="T5737"/>
    </row>
    <row r="5738" spans="15:20">
      <c r="O5738" s="247"/>
      <c r="P5738"/>
      <c r="Q5738" s="224"/>
      <c r="S5738" s="202"/>
      <c r="T5738"/>
    </row>
    <row r="5739" spans="15:20">
      <c r="O5739" s="247"/>
      <c r="P5739"/>
      <c r="Q5739" s="224"/>
      <c r="S5739" s="202"/>
      <c r="T5739"/>
    </row>
    <row r="5740" spans="15:20">
      <c r="O5740" s="247"/>
      <c r="P5740"/>
      <c r="Q5740" s="224"/>
      <c r="S5740" s="202"/>
      <c r="T5740"/>
    </row>
    <row r="5741" spans="15:20">
      <c r="O5741" s="247"/>
      <c r="P5741"/>
      <c r="Q5741" s="224"/>
      <c r="S5741" s="202"/>
      <c r="T5741"/>
    </row>
    <row r="5742" spans="15:20">
      <c r="O5742" s="247"/>
      <c r="P5742"/>
      <c r="Q5742" s="224"/>
      <c r="S5742" s="202"/>
      <c r="T5742"/>
    </row>
    <row r="5743" spans="15:20">
      <c r="O5743" s="247"/>
      <c r="P5743"/>
      <c r="Q5743" s="224"/>
      <c r="S5743" s="202"/>
      <c r="T5743"/>
    </row>
    <row r="5744" spans="15:20">
      <c r="O5744" s="247"/>
      <c r="P5744"/>
      <c r="Q5744" s="224"/>
      <c r="S5744" s="202"/>
      <c r="T5744"/>
    </row>
    <row r="5745" spans="15:20">
      <c r="O5745" s="247"/>
      <c r="P5745"/>
      <c r="Q5745" s="224"/>
      <c r="S5745" s="202"/>
      <c r="T5745"/>
    </row>
    <row r="5746" spans="15:20">
      <c r="O5746" s="247"/>
      <c r="P5746"/>
      <c r="Q5746" s="224"/>
      <c r="S5746" s="202"/>
      <c r="T5746"/>
    </row>
    <row r="5747" spans="15:20">
      <c r="O5747" s="247"/>
      <c r="P5747"/>
      <c r="Q5747" s="224"/>
      <c r="S5747" s="202"/>
      <c r="T5747"/>
    </row>
    <row r="5748" spans="15:20">
      <c r="O5748" s="247"/>
      <c r="P5748"/>
      <c r="Q5748" s="224"/>
      <c r="S5748" s="202"/>
      <c r="T5748"/>
    </row>
    <row r="5749" spans="15:20">
      <c r="O5749" s="247"/>
      <c r="P5749"/>
      <c r="Q5749" s="224"/>
      <c r="S5749" s="202"/>
      <c r="T5749"/>
    </row>
    <row r="5750" spans="15:20">
      <c r="O5750" s="247"/>
      <c r="P5750"/>
      <c r="Q5750" s="224"/>
      <c r="S5750" s="202"/>
      <c r="T5750"/>
    </row>
    <row r="5751" spans="15:20">
      <c r="O5751" s="247"/>
      <c r="P5751"/>
      <c r="Q5751" s="224"/>
      <c r="S5751" s="202"/>
      <c r="T5751"/>
    </row>
    <row r="5752" spans="15:20">
      <c r="O5752" s="247"/>
      <c r="P5752"/>
      <c r="Q5752" s="224"/>
      <c r="S5752" s="202"/>
      <c r="T5752"/>
    </row>
    <row r="5753" spans="15:20">
      <c r="O5753" s="247"/>
      <c r="P5753"/>
      <c r="Q5753" s="224"/>
      <c r="S5753" s="202"/>
      <c r="T5753"/>
    </row>
    <row r="5754" spans="15:20">
      <c r="O5754" s="247"/>
      <c r="P5754"/>
      <c r="Q5754" s="224"/>
      <c r="S5754" s="202"/>
      <c r="T5754"/>
    </row>
    <row r="5755" spans="15:20">
      <c r="O5755" s="247"/>
      <c r="P5755"/>
      <c r="Q5755" s="224"/>
      <c r="S5755" s="202"/>
      <c r="T5755"/>
    </row>
    <row r="5756" spans="15:20">
      <c r="O5756" s="247"/>
      <c r="P5756"/>
      <c r="Q5756" s="224"/>
      <c r="S5756" s="202"/>
      <c r="T5756"/>
    </row>
    <row r="5757" spans="15:20">
      <c r="O5757" s="247"/>
      <c r="P5757"/>
      <c r="Q5757" s="224"/>
      <c r="S5757" s="202"/>
      <c r="T5757"/>
    </row>
    <row r="5758" spans="15:20">
      <c r="O5758" s="247"/>
      <c r="P5758"/>
      <c r="Q5758" s="224"/>
      <c r="S5758" s="202"/>
      <c r="T5758"/>
    </row>
    <row r="5759" spans="15:20">
      <c r="O5759" s="247"/>
      <c r="P5759"/>
      <c r="Q5759" s="224"/>
      <c r="S5759" s="202"/>
      <c r="T5759"/>
    </row>
    <row r="5760" spans="15:20">
      <c r="O5760" s="247"/>
      <c r="P5760"/>
      <c r="Q5760" s="224"/>
      <c r="S5760" s="202"/>
      <c r="T5760"/>
    </row>
    <row r="5761" spans="15:20">
      <c r="O5761" s="247"/>
      <c r="P5761"/>
      <c r="Q5761" s="224"/>
      <c r="S5761" s="202"/>
      <c r="T5761"/>
    </row>
    <row r="5762" spans="15:20">
      <c r="O5762" s="247"/>
      <c r="P5762"/>
      <c r="Q5762" s="224"/>
      <c r="S5762" s="202"/>
      <c r="T5762"/>
    </row>
    <row r="5763" spans="15:20">
      <c r="O5763" s="247"/>
      <c r="P5763"/>
      <c r="Q5763" s="224"/>
      <c r="S5763" s="202"/>
      <c r="T5763"/>
    </row>
    <row r="5764" spans="15:20">
      <c r="O5764" s="247"/>
      <c r="P5764"/>
      <c r="Q5764" s="224"/>
      <c r="S5764" s="202"/>
      <c r="T5764"/>
    </row>
    <row r="5765" spans="15:20">
      <c r="O5765" s="247"/>
      <c r="P5765"/>
      <c r="Q5765" s="224"/>
      <c r="S5765" s="202"/>
      <c r="T5765"/>
    </row>
    <row r="5766" spans="15:20">
      <c r="O5766" s="247"/>
      <c r="P5766"/>
      <c r="Q5766" s="224"/>
      <c r="S5766" s="202"/>
      <c r="T5766"/>
    </row>
    <row r="5767" spans="15:20">
      <c r="O5767" s="247"/>
      <c r="P5767"/>
      <c r="Q5767" s="224"/>
      <c r="S5767" s="202"/>
      <c r="T5767"/>
    </row>
    <row r="5768" spans="15:20">
      <c r="O5768" s="247"/>
      <c r="P5768"/>
      <c r="Q5768" s="224"/>
      <c r="S5768" s="202"/>
      <c r="T5768"/>
    </row>
    <row r="5769" spans="15:20">
      <c r="O5769" s="247"/>
      <c r="P5769"/>
      <c r="Q5769" s="224"/>
      <c r="S5769" s="202"/>
      <c r="T5769"/>
    </row>
    <row r="5770" spans="15:20">
      <c r="O5770" s="247"/>
      <c r="P5770"/>
      <c r="Q5770" s="224"/>
      <c r="S5770" s="202"/>
      <c r="T5770"/>
    </row>
    <row r="5771" spans="15:20">
      <c r="O5771" s="247"/>
      <c r="P5771"/>
      <c r="Q5771" s="224"/>
      <c r="S5771" s="202"/>
      <c r="T5771"/>
    </row>
    <row r="5772" spans="15:20">
      <c r="O5772" s="247"/>
      <c r="P5772"/>
      <c r="Q5772" s="224"/>
      <c r="S5772" s="202"/>
      <c r="T5772"/>
    </row>
    <row r="5773" spans="15:20">
      <c r="O5773" s="247"/>
      <c r="P5773"/>
      <c r="Q5773" s="224"/>
      <c r="S5773" s="202"/>
      <c r="T5773"/>
    </row>
    <row r="5774" spans="15:20">
      <c r="O5774" s="247"/>
      <c r="P5774"/>
      <c r="Q5774" s="224"/>
      <c r="S5774" s="202"/>
      <c r="T5774"/>
    </row>
    <row r="5775" spans="15:20">
      <c r="O5775" s="247"/>
      <c r="P5775"/>
      <c r="Q5775" s="224"/>
      <c r="S5775" s="202"/>
      <c r="T5775"/>
    </row>
    <row r="5776" spans="15:20">
      <c r="O5776" s="247"/>
      <c r="P5776"/>
      <c r="Q5776" s="224"/>
      <c r="S5776" s="202"/>
      <c r="T5776"/>
    </row>
    <row r="5777" spans="15:20">
      <c r="O5777" s="247"/>
      <c r="P5777"/>
      <c r="Q5777" s="224"/>
      <c r="S5777" s="202"/>
      <c r="T5777"/>
    </row>
    <row r="5778" spans="15:20">
      <c r="O5778" s="247"/>
      <c r="P5778"/>
      <c r="Q5778" s="224"/>
      <c r="S5778" s="202"/>
      <c r="T5778"/>
    </row>
    <row r="5779" spans="15:20">
      <c r="O5779" s="247"/>
      <c r="P5779"/>
      <c r="Q5779" s="224"/>
      <c r="S5779" s="202"/>
      <c r="T5779"/>
    </row>
    <row r="5780" spans="15:20">
      <c r="O5780" s="247"/>
      <c r="P5780"/>
      <c r="Q5780" s="224"/>
      <c r="S5780" s="202"/>
      <c r="T5780"/>
    </row>
    <row r="5781" spans="15:20">
      <c r="O5781" s="247"/>
      <c r="P5781"/>
      <c r="Q5781" s="224"/>
      <c r="S5781" s="202"/>
      <c r="T5781"/>
    </row>
    <row r="5782" spans="15:20">
      <c r="O5782" s="247"/>
      <c r="P5782"/>
      <c r="Q5782" s="224"/>
      <c r="S5782" s="202"/>
      <c r="T5782"/>
    </row>
    <row r="5783" spans="15:20">
      <c r="O5783" s="247"/>
      <c r="P5783"/>
      <c r="Q5783" s="224"/>
      <c r="S5783" s="202"/>
      <c r="T5783"/>
    </row>
    <row r="5784" spans="15:20">
      <c r="O5784" s="247"/>
      <c r="P5784"/>
      <c r="Q5784" s="224"/>
      <c r="S5784" s="202"/>
      <c r="T5784"/>
    </row>
    <row r="5785" spans="15:20">
      <c r="O5785" s="247"/>
      <c r="P5785"/>
      <c r="Q5785" s="224"/>
      <c r="S5785" s="202"/>
      <c r="T5785"/>
    </row>
    <row r="5786" spans="15:20">
      <c r="O5786" s="247"/>
      <c r="P5786"/>
      <c r="Q5786" s="224"/>
      <c r="S5786" s="202"/>
      <c r="T5786"/>
    </row>
    <row r="5787" spans="15:20">
      <c r="O5787" s="247"/>
      <c r="P5787"/>
      <c r="Q5787" s="224"/>
      <c r="S5787" s="202"/>
      <c r="T5787"/>
    </row>
    <row r="5788" spans="15:20">
      <c r="O5788" s="247"/>
      <c r="P5788"/>
      <c r="Q5788" s="224"/>
      <c r="S5788" s="202"/>
      <c r="T5788"/>
    </row>
    <row r="5789" spans="15:20">
      <c r="O5789" s="247"/>
      <c r="P5789"/>
      <c r="Q5789" s="224"/>
      <c r="S5789" s="202"/>
      <c r="T5789"/>
    </row>
    <row r="5790" spans="15:20">
      <c r="O5790" s="247"/>
      <c r="P5790"/>
      <c r="Q5790" s="224"/>
      <c r="S5790" s="202"/>
      <c r="T5790"/>
    </row>
    <row r="5791" spans="15:20">
      <c r="O5791" s="247"/>
      <c r="P5791"/>
      <c r="Q5791" s="224"/>
      <c r="S5791" s="202"/>
      <c r="T5791"/>
    </row>
    <row r="5792" spans="15:20">
      <c r="O5792" s="247"/>
      <c r="P5792"/>
      <c r="Q5792" s="224"/>
      <c r="S5792" s="202"/>
      <c r="T5792"/>
    </row>
    <row r="5793" spans="15:20">
      <c r="O5793" s="247"/>
      <c r="P5793"/>
      <c r="Q5793" s="224"/>
      <c r="S5793" s="202"/>
      <c r="T5793"/>
    </row>
    <row r="5794" spans="15:20">
      <c r="O5794" s="247"/>
      <c r="P5794"/>
      <c r="Q5794" s="224"/>
      <c r="S5794" s="202"/>
      <c r="T5794"/>
    </row>
    <row r="5795" spans="15:20">
      <c r="O5795" s="247"/>
      <c r="P5795"/>
      <c r="Q5795" s="224"/>
      <c r="S5795" s="202"/>
      <c r="T5795"/>
    </row>
    <row r="5796" spans="15:20">
      <c r="O5796" s="247"/>
      <c r="P5796"/>
      <c r="Q5796" s="224"/>
      <c r="S5796" s="202"/>
      <c r="T5796"/>
    </row>
    <row r="5797" spans="15:20">
      <c r="O5797" s="247"/>
      <c r="P5797"/>
      <c r="Q5797" s="224"/>
      <c r="S5797" s="202"/>
      <c r="T5797"/>
    </row>
    <row r="5798" spans="15:20">
      <c r="O5798" s="247"/>
      <c r="P5798"/>
      <c r="Q5798" s="224"/>
      <c r="S5798" s="202"/>
      <c r="T5798"/>
    </row>
    <row r="5799" spans="15:20">
      <c r="O5799" s="247"/>
      <c r="P5799"/>
      <c r="Q5799" s="224"/>
      <c r="S5799" s="202"/>
      <c r="T5799"/>
    </row>
    <row r="5800" spans="15:20">
      <c r="O5800" s="247"/>
      <c r="P5800"/>
      <c r="Q5800" s="224"/>
      <c r="S5800" s="202"/>
      <c r="T5800"/>
    </row>
    <row r="5801" spans="15:20">
      <c r="O5801" s="247"/>
      <c r="P5801"/>
      <c r="Q5801" s="224"/>
      <c r="S5801" s="202"/>
      <c r="T5801"/>
    </row>
    <row r="5802" spans="15:20">
      <c r="O5802" s="247"/>
      <c r="P5802"/>
      <c r="Q5802" s="224"/>
      <c r="S5802" s="202"/>
      <c r="T5802"/>
    </row>
    <row r="5803" spans="15:20">
      <c r="O5803" s="247"/>
      <c r="P5803"/>
      <c r="Q5803" s="224"/>
      <c r="S5803" s="202"/>
      <c r="T5803"/>
    </row>
    <row r="5804" spans="15:20">
      <c r="O5804" s="247"/>
      <c r="P5804"/>
      <c r="Q5804" s="224"/>
      <c r="S5804" s="202"/>
      <c r="T5804"/>
    </row>
    <row r="5805" spans="15:20">
      <c r="O5805" s="247"/>
      <c r="P5805"/>
      <c r="Q5805" s="224"/>
      <c r="S5805" s="202"/>
      <c r="T5805"/>
    </row>
    <row r="5806" spans="15:20">
      <c r="O5806" s="247"/>
      <c r="P5806"/>
      <c r="Q5806" s="224"/>
      <c r="S5806" s="202"/>
      <c r="T5806"/>
    </row>
    <row r="5807" spans="15:20">
      <c r="O5807" s="247"/>
      <c r="P5807"/>
      <c r="Q5807" s="224"/>
      <c r="S5807" s="202"/>
      <c r="T5807"/>
    </row>
    <row r="5808" spans="15:20">
      <c r="O5808" s="247"/>
      <c r="P5808"/>
      <c r="Q5808" s="224"/>
      <c r="S5808" s="202"/>
      <c r="T5808"/>
    </row>
    <row r="5809" spans="15:20">
      <c r="O5809" s="247"/>
      <c r="P5809"/>
      <c r="Q5809" s="224"/>
      <c r="S5809" s="202"/>
      <c r="T5809"/>
    </row>
    <row r="5810" spans="15:20">
      <c r="O5810" s="247"/>
      <c r="P5810"/>
      <c r="Q5810" s="224"/>
      <c r="S5810" s="202"/>
      <c r="T5810"/>
    </row>
    <row r="5811" spans="15:20">
      <c r="O5811" s="247"/>
      <c r="P5811"/>
      <c r="Q5811" s="224"/>
      <c r="S5811" s="202"/>
      <c r="T5811"/>
    </row>
    <row r="5812" spans="15:20">
      <c r="O5812" s="247"/>
      <c r="P5812"/>
      <c r="Q5812" s="224"/>
      <c r="S5812" s="202"/>
      <c r="T5812"/>
    </row>
    <row r="5813" spans="15:20">
      <c r="O5813" s="247"/>
      <c r="P5813"/>
      <c r="Q5813" s="224"/>
      <c r="S5813" s="202"/>
      <c r="T5813"/>
    </row>
    <row r="5814" spans="15:20">
      <c r="O5814" s="247"/>
      <c r="P5814"/>
      <c r="Q5814" s="224"/>
      <c r="S5814" s="202"/>
      <c r="T5814"/>
    </row>
    <row r="5815" spans="15:20">
      <c r="O5815" s="247"/>
      <c r="P5815"/>
      <c r="Q5815" s="224"/>
      <c r="S5815" s="202"/>
      <c r="T5815"/>
    </row>
    <row r="5816" spans="15:20">
      <c r="O5816" s="247"/>
      <c r="P5816"/>
      <c r="Q5816" s="224"/>
      <c r="S5816" s="202"/>
      <c r="T5816"/>
    </row>
    <row r="5817" spans="15:20">
      <c r="O5817" s="247"/>
      <c r="P5817"/>
      <c r="Q5817" s="224"/>
      <c r="S5817" s="202"/>
      <c r="T5817"/>
    </row>
    <row r="5818" spans="15:20">
      <c r="O5818" s="247"/>
      <c r="P5818"/>
      <c r="Q5818" s="224"/>
      <c r="S5818" s="202"/>
      <c r="T5818"/>
    </row>
    <row r="5819" spans="15:20">
      <c r="O5819" s="247"/>
      <c r="P5819"/>
      <c r="Q5819" s="224"/>
      <c r="S5819" s="202"/>
      <c r="T5819"/>
    </row>
    <row r="5820" spans="15:20">
      <c r="O5820" s="247"/>
      <c r="P5820"/>
      <c r="Q5820" s="224"/>
      <c r="S5820" s="202"/>
      <c r="T5820"/>
    </row>
    <row r="5821" spans="15:20">
      <c r="O5821" s="247"/>
      <c r="P5821"/>
      <c r="Q5821" s="224"/>
      <c r="S5821" s="202"/>
      <c r="T5821"/>
    </row>
    <row r="5822" spans="15:20">
      <c r="O5822" s="247"/>
      <c r="P5822"/>
      <c r="Q5822" s="224"/>
      <c r="S5822" s="202"/>
      <c r="T5822"/>
    </row>
    <row r="5823" spans="15:20">
      <c r="O5823" s="247"/>
      <c r="P5823"/>
      <c r="Q5823" s="224"/>
      <c r="S5823" s="202"/>
      <c r="T5823"/>
    </row>
    <row r="5824" spans="15:20">
      <c r="O5824" s="247"/>
      <c r="P5824"/>
      <c r="Q5824" s="224"/>
      <c r="S5824" s="202"/>
      <c r="T5824"/>
    </row>
    <row r="5825" spans="15:20">
      <c r="O5825" s="247"/>
      <c r="P5825"/>
      <c r="Q5825" s="224"/>
      <c r="S5825" s="202"/>
      <c r="T5825"/>
    </row>
    <row r="5826" spans="15:20">
      <c r="O5826" s="247"/>
      <c r="P5826"/>
      <c r="Q5826" s="224"/>
      <c r="S5826" s="202"/>
      <c r="T5826"/>
    </row>
    <row r="5827" spans="15:20">
      <c r="O5827" s="247"/>
      <c r="P5827"/>
      <c r="Q5827" s="224"/>
      <c r="S5827" s="202"/>
      <c r="T5827"/>
    </row>
    <row r="5828" spans="15:20">
      <c r="O5828" s="247"/>
      <c r="P5828"/>
      <c r="Q5828" s="224"/>
      <c r="S5828" s="202"/>
      <c r="T5828"/>
    </row>
    <row r="5829" spans="15:20">
      <c r="O5829" s="247"/>
      <c r="P5829"/>
      <c r="Q5829" s="224"/>
      <c r="S5829" s="202"/>
      <c r="T5829"/>
    </row>
    <row r="5830" spans="15:20">
      <c r="O5830" s="247"/>
      <c r="P5830"/>
      <c r="Q5830" s="224"/>
      <c r="S5830" s="202"/>
      <c r="T5830"/>
    </row>
    <row r="5831" spans="15:20">
      <c r="O5831" s="247"/>
      <c r="P5831"/>
      <c r="Q5831" s="224"/>
      <c r="S5831" s="202"/>
      <c r="T5831"/>
    </row>
    <row r="5832" spans="15:20">
      <c r="O5832" s="247"/>
      <c r="P5832"/>
      <c r="Q5832" s="224"/>
      <c r="S5832" s="202"/>
      <c r="T5832"/>
    </row>
    <row r="5833" spans="15:20">
      <c r="O5833" s="247"/>
      <c r="P5833"/>
      <c r="Q5833" s="224"/>
      <c r="S5833" s="202"/>
      <c r="T5833"/>
    </row>
    <row r="5834" spans="15:20">
      <c r="O5834" s="247"/>
      <c r="P5834"/>
      <c r="Q5834" s="224"/>
      <c r="S5834" s="202"/>
      <c r="T5834"/>
    </row>
    <row r="5835" spans="15:20">
      <c r="O5835" s="247"/>
      <c r="P5835"/>
      <c r="Q5835" s="224"/>
      <c r="S5835" s="202"/>
      <c r="T5835"/>
    </row>
    <row r="5836" spans="15:20">
      <c r="O5836" s="247"/>
      <c r="P5836"/>
      <c r="Q5836" s="224"/>
      <c r="S5836" s="202"/>
      <c r="T5836"/>
    </row>
    <row r="5837" spans="15:20">
      <c r="O5837" s="247"/>
      <c r="P5837"/>
      <c r="Q5837" s="224"/>
      <c r="S5837" s="202"/>
      <c r="T5837"/>
    </row>
    <row r="5838" spans="15:20">
      <c r="O5838" s="247"/>
      <c r="P5838"/>
      <c r="Q5838" s="224"/>
      <c r="S5838" s="202"/>
      <c r="T5838"/>
    </row>
    <row r="5839" spans="15:20">
      <c r="O5839" s="247"/>
      <c r="P5839"/>
      <c r="Q5839" s="224"/>
      <c r="S5839" s="202"/>
      <c r="T5839"/>
    </row>
    <row r="5840" spans="15:20">
      <c r="O5840" s="247"/>
      <c r="P5840"/>
      <c r="Q5840" s="224"/>
      <c r="S5840" s="202"/>
      <c r="T5840"/>
    </row>
    <row r="5841" spans="15:20">
      <c r="O5841" s="247"/>
      <c r="P5841"/>
      <c r="Q5841" s="224"/>
      <c r="S5841" s="202"/>
      <c r="T5841"/>
    </row>
    <row r="5842" spans="15:20">
      <c r="O5842" s="247"/>
      <c r="P5842"/>
      <c r="Q5842" s="224"/>
      <c r="S5842" s="202"/>
      <c r="T5842"/>
    </row>
    <row r="5843" spans="15:20">
      <c r="O5843" s="247"/>
      <c r="P5843"/>
      <c r="Q5843" s="224"/>
      <c r="S5843" s="202"/>
      <c r="T5843"/>
    </row>
    <row r="5844" spans="15:20">
      <c r="O5844" s="247"/>
      <c r="P5844"/>
      <c r="Q5844" s="224"/>
      <c r="S5844" s="202"/>
      <c r="T5844"/>
    </row>
    <row r="5845" spans="15:20">
      <c r="O5845" s="247"/>
      <c r="P5845"/>
      <c r="Q5845" s="224"/>
      <c r="S5845" s="202"/>
      <c r="T5845"/>
    </row>
    <row r="5846" spans="15:20">
      <c r="O5846" s="247"/>
      <c r="P5846"/>
      <c r="Q5846" s="224"/>
      <c r="S5846" s="202"/>
      <c r="T5846"/>
    </row>
    <row r="5847" spans="15:20">
      <c r="O5847" s="247"/>
      <c r="P5847"/>
      <c r="Q5847" s="224"/>
      <c r="S5847" s="202"/>
      <c r="T5847"/>
    </row>
    <row r="5848" spans="15:20">
      <c r="O5848" s="247"/>
      <c r="P5848"/>
      <c r="Q5848" s="224"/>
      <c r="S5848" s="202"/>
      <c r="T5848"/>
    </row>
    <row r="5849" spans="15:20">
      <c r="O5849" s="247"/>
      <c r="P5849"/>
      <c r="Q5849" s="224"/>
      <c r="S5849" s="202"/>
      <c r="T5849"/>
    </row>
    <row r="5850" spans="15:20">
      <c r="O5850" s="247"/>
      <c r="P5850"/>
      <c r="Q5850" s="224"/>
      <c r="S5850" s="202"/>
      <c r="T5850"/>
    </row>
    <row r="5851" spans="15:20">
      <c r="O5851" s="247"/>
      <c r="P5851"/>
      <c r="Q5851" s="224"/>
      <c r="S5851" s="202"/>
      <c r="T5851"/>
    </row>
    <row r="5852" spans="15:20">
      <c r="O5852" s="247"/>
      <c r="P5852"/>
      <c r="Q5852" s="224"/>
      <c r="S5852" s="202"/>
      <c r="T5852"/>
    </row>
    <row r="5853" spans="15:20">
      <c r="O5853" s="247"/>
      <c r="P5853"/>
      <c r="Q5853" s="224"/>
      <c r="S5853" s="202"/>
      <c r="T5853"/>
    </row>
    <row r="5854" spans="15:20">
      <c r="O5854" s="247"/>
      <c r="P5854"/>
      <c r="Q5854" s="224"/>
      <c r="S5854" s="202"/>
      <c r="T5854"/>
    </row>
    <row r="5855" spans="15:20">
      <c r="O5855" s="247"/>
      <c r="P5855"/>
      <c r="Q5855" s="224"/>
      <c r="S5855" s="202"/>
      <c r="T5855"/>
    </row>
    <row r="5856" spans="15:20">
      <c r="O5856" s="247"/>
      <c r="P5856"/>
      <c r="Q5856" s="224"/>
      <c r="S5856" s="202"/>
      <c r="T5856"/>
    </row>
    <row r="5857" spans="15:20">
      <c r="O5857" s="247"/>
      <c r="P5857"/>
      <c r="Q5857" s="224"/>
      <c r="S5857" s="202"/>
      <c r="T5857"/>
    </row>
    <row r="5858" spans="15:20">
      <c r="O5858" s="247"/>
      <c r="P5858"/>
      <c r="Q5858" s="224"/>
      <c r="S5858" s="202"/>
      <c r="T5858"/>
    </row>
    <row r="5859" spans="15:20">
      <c r="O5859" s="247"/>
      <c r="P5859"/>
      <c r="Q5859" s="224"/>
      <c r="S5859" s="202"/>
      <c r="T5859"/>
    </row>
    <row r="5860" spans="15:20">
      <c r="O5860" s="247"/>
      <c r="P5860"/>
      <c r="Q5860" s="224"/>
      <c r="S5860" s="202"/>
      <c r="T5860"/>
    </row>
    <row r="5861" spans="15:20">
      <c r="O5861" s="247"/>
      <c r="P5861"/>
      <c r="Q5861" s="224"/>
      <c r="S5861" s="202"/>
      <c r="T5861"/>
    </row>
    <row r="5862" spans="15:20">
      <c r="O5862" s="247"/>
      <c r="P5862"/>
      <c r="Q5862" s="224"/>
      <c r="S5862" s="202"/>
      <c r="T5862"/>
    </row>
    <row r="5863" spans="15:20">
      <c r="O5863" s="247"/>
      <c r="P5863"/>
      <c r="Q5863" s="224"/>
      <c r="S5863" s="202"/>
      <c r="T5863"/>
    </row>
    <row r="5864" spans="15:20">
      <c r="O5864" s="247"/>
      <c r="P5864"/>
      <c r="Q5864" s="224"/>
      <c r="S5864" s="202"/>
      <c r="T5864"/>
    </row>
    <row r="5865" spans="15:20">
      <c r="O5865" s="247"/>
      <c r="P5865"/>
      <c r="Q5865" s="224"/>
      <c r="S5865" s="202"/>
      <c r="T5865"/>
    </row>
    <row r="5866" spans="15:20">
      <c r="O5866" s="247"/>
      <c r="P5866"/>
      <c r="Q5866" s="224"/>
      <c r="S5866" s="202"/>
      <c r="T5866"/>
    </row>
    <row r="5867" spans="15:20">
      <c r="O5867" s="247"/>
      <c r="P5867"/>
      <c r="Q5867" s="224"/>
      <c r="S5867" s="202"/>
      <c r="T5867"/>
    </row>
    <row r="5868" spans="15:20">
      <c r="O5868" s="247"/>
      <c r="P5868"/>
      <c r="Q5868" s="224"/>
      <c r="S5868" s="202"/>
      <c r="T5868"/>
    </row>
    <row r="5869" spans="15:20">
      <c r="O5869" s="247"/>
      <c r="P5869"/>
      <c r="Q5869" s="224"/>
      <c r="S5869" s="202"/>
      <c r="T5869"/>
    </row>
    <row r="5870" spans="15:20">
      <c r="O5870" s="247"/>
      <c r="P5870"/>
      <c r="Q5870" s="224"/>
      <c r="S5870" s="202"/>
      <c r="T5870"/>
    </row>
    <row r="5871" spans="15:20">
      <c r="O5871" s="247"/>
      <c r="P5871"/>
      <c r="Q5871" s="224"/>
      <c r="S5871" s="202"/>
      <c r="T5871"/>
    </row>
    <row r="5872" spans="15:20">
      <c r="O5872" s="247"/>
      <c r="P5872"/>
      <c r="Q5872" s="224"/>
      <c r="S5872" s="202"/>
      <c r="T5872"/>
    </row>
    <row r="5873" spans="15:20">
      <c r="O5873" s="247"/>
      <c r="P5873"/>
      <c r="Q5873" s="224"/>
      <c r="S5873" s="202"/>
      <c r="T5873"/>
    </row>
    <row r="5874" spans="15:20">
      <c r="O5874" s="247"/>
      <c r="P5874"/>
      <c r="Q5874" s="224"/>
      <c r="S5874" s="202"/>
      <c r="T5874"/>
    </row>
    <row r="5875" spans="15:20">
      <c r="O5875" s="247"/>
      <c r="P5875"/>
      <c r="Q5875" s="224"/>
      <c r="S5875" s="202"/>
      <c r="T5875"/>
    </row>
    <row r="5876" spans="15:20">
      <c r="O5876" s="247"/>
      <c r="P5876"/>
      <c r="Q5876" s="224"/>
      <c r="S5876" s="202"/>
      <c r="T5876"/>
    </row>
    <row r="5877" spans="15:20">
      <c r="O5877" s="247"/>
      <c r="P5877"/>
      <c r="Q5877" s="224"/>
      <c r="S5877" s="202"/>
      <c r="T5877"/>
    </row>
    <row r="5878" spans="15:20">
      <c r="O5878" s="247"/>
      <c r="P5878"/>
      <c r="Q5878" s="224"/>
      <c r="S5878" s="202"/>
      <c r="T5878"/>
    </row>
    <row r="5879" spans="15:20">
      <c r="O5879" s="247"/>
      <c r="P5879"/>
      <c r="Q5879" s="224"/>
      <c r="S5879" s="202"/>
      <c r="T5879"/>
    </row>
    <row r="5880" spans="15:20">
      <c r="O5880" s="247"/>
      <c r="P5880"/>
      <c r="Q5880" s="224"/>
      <c r="S5880" s="202"/>
      <c r="T5880"/>
    </row>
    <row r="5881" spans="15:20">
      <c r="O5881" s="247"/>
      <c r="P5881"/>
      <c r="Q5881" s="224"/>
      <c r="S5881" s="202"/>
      <c r="T5881"/>
    </row>
    <row r="5882" spans="15:20">
      <c r="O5882" s="247"/>
      <c r="P5882"/>
      <c r="Q5882" s="224"/>
      <c r="S5882" s="202"/>
      <c r="T5882"/>
    </row>
    <row r="5883" spans="15:20">
      <c r="O5883" s="247"/>
      <c r="P5883"/>
      <c r="Q5883" s="224"/>
      <c r="S5883" s="202"/>
      <c r="T5883"/>
    </row>
    <row r="5884" spans="15:20">
      <c r="O5884" s="247"/>
      <c r="P5884"/>
      <c r="Q5884" s="224"/>
      <c r="S5884" s="202"/>
      <c r="T5884"/>
    </row>
    <row r="5885" spans="15:20">
      <c r="O5885" s="247"/>
      <c r="P5885"/>
      <c r="Q5885" s="224"/>
      <c r="S5885" s="202"/>
      <c r="T5885"/>
    </row>
    <row r="5886" spans="15:20">
      <c r="O5886" s="247"/>
      <c r="P5886"/>
      <c r="Q5886" s="224"/>
      <c r="S5886" s="202"/>
      <c r="T5886"/>
    </row>
    <row r="5887" spans="15:20">
      <c r="O5887" s="247"/>
      <c r="P5887"/>
      <c r="Q5887" s="224"/>
      <c r="S5887" s="202"/>
      <c r="T5887"/>
    </row>
    <row r="5888" spans="15:20">
      <c r="O5888" s="247"/>
      <c r="P5888"/>
      <c r="Q5888" s="224"/>
      <c r="S5888" s="202"/>
      <c r="T5888"/>
    </row>
    <row r="5889" spans="15:20">
      <c r="O5889" s="247"/>
      <c r="P5889"/>
      <c r="Q5889" s="224"/>
      <c r="S5889" s="202"/>
      <c r="T5889"/>
    </row>
    <row r="5890" spans="15:20">
      <c r="O5890" s="247"/>
      <c r="P5890"/>
      <c r="Q5890" s="224"/>
      <c r="S5890" s="202"/>
      <c r="T5890"/>
    </row>
    <row r="5891" spans="15:20">
      <c r="O5891" s="247"/>
      <c r="P5891"/>
      <c r="Q5891" s="224"/>
      <c r="S5891" s="202"/>
      <c r="T5891"/>
    </row>
    <row r="5892" spans="15:20">
      <c r="O5892" s="247"/>
      <c r="P5892"/>
      <c r="Q5892" s="224"/>
      <c r="S5892" s="202"/>
      <c r="T5892"/>
    </row>
    <row r="5893" spans="15:20">
      <c r="O5893" s="247"/>
      <c r="P5893"/>
      <c r="Q5893" s="224"/>
      <c r="S5893" s="202"/>
      <c r="T5893"/>
    </row>
    <row r="5894" spans="15:20">
      <c r="O5894" s="247"/>
      <c r="P5894"/>
      <c r="Q5894" s="224"/>
      <c r="S5894" s="202"/>
      <c r="T5894"/>
    </row>
    <row r="5895" spans="15:20">
      <c r="O5895" s="247"/>
      <c r="P5895"/>
      <c r="Q5895" s="224"/>
      <c r="S5895" s="202"/>
      <c r="T5895"/>
    </row>
    <row r="5896" spans="15:20">
      <c r="O5896" s="247"/>
      <c r="P5896"/>
      <c r="Q5896" s="224"/>
      <c r="S5896" s="202"/>
      <c r="T5896"/>
    </row>
    <row r="5897" spans="15:20">
      <c r="O5897" s="247"/>
      <c r="P5897"/>
      <c r="Q5897" s="224"/>
      <c r="S5897" s="202"/>
      <c r="T5897"/>
    </row>
    <row r="5898" spans="15:20">
      <c r="O5898" s="247"/>
      <c r="P5898"/>
      <c r="Q5898" s="224"/>
      <c r="S5898" s="202"/>
      <c r="T5898"/>
    </row>
    <row r="5899" spans="15:20">
      <c r="O5899" s="247"/>
      <c r="P5899"/>
      <c r="Q5899" s="224"/>
      <c r="S5899" s="202"/>
      <c r="T5899"/>
    </row>
    <row r="5900" spans="15:20">
      <c r="O5900" s="247"/>
      <c r="P5900"/>
      <c r="Q5900" s="224"/>
      <c r="S5900" s="202"/>
      <c r="T5900"/>
    </row>
    <row r="5901" spans="15:20">
      <c r="O5901" s="247"/>
      <c r="P5901"/>
      <c r="Q5901" s="224"/>
      <c r="S5901" s="202"/>
      <c r="T5901"/>
    </row>
    <row r="5902" spans="15:20">
      <c r="O5902" s="247"/>
      <c r="P5902"/>
      <c r="Q5902" s="224"/>
      <c r="S5902" s="202"/>
      <c r="T5902"/>
    </row>
    <row r="5903" spans="15:20">
      <c r="O5903" s="247"/>
      <c r="P5903"/>
      <c r="Q5903" s="224"/>
      <c r="S5903" s="202"/>
      <c r="T5903"/>
    </row>
    <row r="5904" spans="15:20">
      <c r="O5904" s="247"/>
      <c r="P5904"/>
      <c r="Q5904" s="224"/>
      <c r="S5904" s="202"/>
      <c r="T5904"/>
    </row>
    <row r="5905" spans="15:20">
      <c r="O5905" s="247"/>
      <c r="P5905"/>
      <c r="Q5905" s="224"/>
      <c r="S5905" s="202"/>
      <c r="T5905"/>
    </row>
    <row r="5906" spans="15:20">
      <c r="O5906" s="247"/>
      <c r="P5906"/>
      <c r="Q5906" s="224"/>
      <c r="S5906" s="202"/>
      <c r="T5906"/>
    </row>
    <row r="5907" spans="15:20">
      <c r="O5907" s="247"/>
      <c r="P5907"/>
      <c r="Q5907" s="224"/>
      <c r="S5907" s="202"/>
      <c r="T5907"/>
    </row>
    <row r="5908" spans="15:20">
      <c r="O5908" s="247"/>
      <c r="P5908"/>
      <c r="Q5908" s="224"/>
      <c r="S5908" s="202"/>
      <c r="T5908"/>
    </row>
    <row r="5909" spans="15:20">
      <c r="O5909" s="247"/>
      <c r="P5909"/>
      <c r="Q5909" s="224"/>
      <c r="S5909" s="202"/>
      <c r="T5909"/>
    </row>
    <row r="5910" spans="15:20">
      <c r="O5910" s="247"/>
      <c r="P5910"/>
      <c r="Q5910" s="224"/>
      <c r="S5910" s="202"/>
      <c r="T5910"/>
    </row>
    <row r="5911" spans="15:20">
      <c r="O5911" s="247"/>
      <c r="P5911"/>
      <c r="Q5911" s="224"/>
      <c r="S5911" s="202"/>
      <c r="T5911"/>
    </row>
    <row r="5912" spans="15:20">
      <c r="O5912" s="247"/>
      <c r="P5912"/>
      <c r="Q5912" s="224"/>
      <c r="S5912" s="202"/>
      <c r="T5912"/>
    </row>
    <row r="5913" spans="15:20">
      <c r="O5913" s="247"/>
      <c r="P5913"/>
      <c r="Q5913" s="224"/>
      <c r="S5913" s="202"/>
      <c r="T5913"/>
    </row>
    <row r="5914" spans="15:20">
      <c r="O5914" s="247"/>
      <c r="P5914"/>
      <c r="Q5914" s="224"/>
      <c r="S5914" s="202"/>
      <c r="T5914"/>
    </row>
    <row r="5915" spans="15:20">
      <c r="O5915" s="247"/>
      <c r="P5915"/>
      <c r="Q5915" s="224"/>
      <c r="S5915" s="202"/>
      <c r="T5915"/>
    </row>
    <row r="5916" spans="15:20">
      <c r="O5916" s="247"/>
      <c r="P5916"/>
      <c r="Q5916" s="224"/>
      <c r="S5916" s="202"/>
      <c r="T5916"/>
    </row>
    <row r="5917" spans="15:20">
      <c r="O5917" s="247"/>
      <c r="P5917"/>
      <c r="Q5917" s="224"/>
      <c r="S5917" s="202"/>
      <c r="T5917"/>
    </row>
    <row r="5918" spans="15:20">
      <c r="O5918" s="247"/>
      <c r="P5918"/>
      <c r="Q5918" s="224"/>
      <c r="S5918" s="202"/>
      <c r="T5918"/>
    </row>
    <row r="5919" spans="15:20">
      <c r="O5919" s="247"/>
      <c r="P5919"/>
      <c r="Q5919" s="224"/>
      <c r="S5919" s="202"/>
      <c r="T5919"/>
    </row>
    <row r="5920" spans="15:20">
      <c r="O5920" s="247"/>
      <c r="P5920"/>
      <c r="Q5920" s="224"/>
      <c r="S5920" s="202"/>
      <c r="T5920"/>
    </row>
    <row r="5921" spans="15:20">
      <c r="O5921" s="247"/>
      <c r="P5921"/>
      <c r="Q5921" s="224"/>
      <c r="S5921" s="202"/>
      <c r="T5921"/>
    </row>
    <row r="5922" spans="15:20">
      <c r="O5922" s="247"/>
      <c r="P5922"/>
      <c r="Q5922" s="224"/>
      <c r="S5922" s="202"/>
      <c r="T5922"/>
    </row>
    <row r="5923" spans="15:20">
      <c r="O5923" s="247"/>
      <c r="P5923"/>
      <c r="Q5923" s="224"/>
      <c r="S5923" s="202"/>
      <c r="T5923"/>
    </row>
    <row r="5924" spans="15:20">
      <c r="O5924" s="247"/>
      <c r="P5924"/>
      <c r="Q5924" s="224"/>
      <c r="S5924" s="202"/>
      <c r="T5924"/>
    </row>
    <row r="5925" spans="15:20">
      <c r="O5925" s="247"/>
      <c r="P5925"/>
      <c r="Q5925" s="224"/>
      <c r="S5925" s="202"/>
      <c r="T5925"/>
    </row>
    <row r="5926" spans="15:20">
      <c r="O5926" s="247"/>
      <c r="P5926"/>
      <c r="Q5926" s="224"/>
      <c r="S5926" s="202"/>
      <c r="T5926"/>
    </row>
    <row r="5927" spans="15:20">
      <c r="O5927" s="247"/>
      <c r="P5927"/>
      <c r="Q5927" s="224"/>
      <c r="S5927" s="202"/>
      <c r="T5927"/>
    </row>
    <row r="5928" spans="15:20">
      <c r="O5928" s="247"/>
      <c r="P5928"/>
      <c r="Q5928" s="224"/>
      <c r="S5928" s="202"/>
      <c r="T5928"/>
    </row>
    <row r="5929" spans="15:20">
      <c r="O5929" s="247"/>
      <c r="P5929"/>
      <c r="Q5929" s="224"/>
      <c r="S5929" s="202"/>
      <c r="T5929"/>
    </row>
    <row r="5930" spans="15:20">
      <c r="O5930" s="247"/>
      <c r="P5930"/>
      <c r="Q5930" s="224"/>
      <c r="S5930" s="202"/>
      <c r="T5930"/>
    </row>
    <row r="5931" spans="15:20">
      <c r="O5931" s="247"/>
      <c r="P5931"/>
      <c r="Q5931" s="224"/>
      <c r="S5931" s="202"/>
      <c r="T5931"/>
    </row>
    <row r="5932" spans="15:20">
      <c r="O5932" s="247"/>
      <c r="P5932"/>
      <c r="Q5932" s="224"/>
      <c r="S5932" s="202"/>
      <c r="T5932"/>
    </row>
    <row r="5933" spans="15:20">
      <c r="O5933" s="247"/>
      <c r="P5933"/>
      <c r="Q5933" s="224"/>
      <c r="S5933" s="202"/>
      <c r="T5933"/>
    </row>
    <row r="5934" spans="15:20">
      <c r="O5934" s="247"/>
      <c r="P5934"/>
      <c r="Q5934" s="224"/>
      <c r="S5934" s="202"/>
      <c r="T5934"/>
    </row>
    <row r="5935" spans="15:20">
      <c r="O5935" s="247"/>
      <c r="P5935"/>
      <c r="Q5935" s="224"/>
      <c r="S5935" s="202"/>
      <c r="T5935"/>
    </row>
    <row r="5936" spans="15:20">
      <c r="O5936" s="247"/>
      <c r="P5936"/>
      <c r="Q5936" s="224"/>
      <c r="S5936" s="202"/>
      <c r="T5936"/>
    </row>
    <row r="5937" spans="15:20">
      <c r="O5937" s="247"/>
      <c r="P5937"/>
      <c r="Q5937" s="224"/>
      <c r="S5937" s="202"/>
      <c r="T5937"/>
    </row>
    <row r="5938" spans="15:20">
      <c r="O5938" s="247"/>
      <c r="P5938"/>
      <c r="Q5938" s="224"/>
      <c r="S5938" s="202"/>
      <c r="T5938"/>
    </row>
    <row r="5939" spans="15:20">
      <c r="O5939" s="247"/>
      <c r="P5939"/>
      <c r="Q5939" s="224"/>
      <c r="S5939" s="202"/>
      <c r="T5939"/>
    </row>
    <row r="5940" spans="15:20">
      <c r="O5940" s="247"/>
      <c r="P5940"/>
      <c r="Q5940" s="224"/>
      <c r="S5940" s="202"/>
      <c r="T5940"/>
    </row>
    <row r="5941" spans="15:20">
      <c r="O5941" s="247"/>
      <c r="P5941"/>
      <c r="Q5941" s="224"/>
      <c r="S5941" s="202"/>
      <c r="T5941"/>
    </row>
    <row r="5942" spans="15:20">
      <c r="O5942" s="247"/>
      <c r="P5942"/>
      <c r="Q5942" s="224"/>
      <c r="S5942" s="202"/>
      <c r="T5942"/>
    </row>
    <row r="5943" spans="15:20">
      <c r="O5943" s="247"/>
      <c r="P5943"/>
      <c r="Q5943" s="224"/>
      <c r="S5943" s="202"/>
      <c r="T5943"/>
    </row>
    <row r="5944" spans="15:20">
      <c r="O5944" s="247"/>
      <c r="P5944"/>
      <c r="Q5944" s="224"/>
      <c r="S5944" s="202"/>
      <c r="T5944"/>
    </row>
    <row r="5945" spans="15:20">
      <c r="O5945" s="247"/>
      <c r="P5945"/>
      <c r="Q5945" s="224"/>
      <c r="S5945" s="202"/>
      <c r="T5945"/>
    </row>
    <row r="5946" spans="15:20">
      <c r="O5946" s="247"/>
      <c r="P5946"/>
      <c r="Q5946" s="224"/>
      <c r="S5946" s="202"/>
      <c r="T5946"/>
    </row>
    <row r="5947" spans="15:20">
      <c r="O5947" s="247"/>
      <c r="P5947"/>
      <c r="Q5947" s="224"/>
      <c r="S5947" s="202"/>
      <c r="T5947"/>
    </row>
    <row r="5948" spans="15:20">
      <c r="O5948" s="247"/>
      <c r="P5948"/>
      <c r="Q5948" s="224"/>
      <c r="S5948" s="202"/>
      <c r="T5948"/>
    </row>
    <row r="5949" spans="15:20">
      <c r="O5949" s="247"/>
      <c r="P5949"/>
      <c r="Q5949" s="224"/>
      <c r="S5949" s="202"/>
      <c r="T5949"/>
    </row>
    <row r="5950" spans="15:20">
      <c r="O5950" s="247"/>
      <c r="P5950"/>
      <c r="Q5950" s="224"/>
      <c r="S5950" s="202"/>
      <c r="T5950"/>
    </row>
    <row r="5951" spans="15:20">
      <c r="O5951" s="247"/>
      <c r="P5951"/>
      <c r="Q5951" s="224"/>
      <c r="S5951" s="202"/>
      <c r="T5951"/>
    </row>
    <row r="5952" spans="15:20">
      <c r="O5952" s="247"/>
      <c r="P5952"/>
      <c r="Q5952" s="224"/>
      <c r="S5952" s="202"/>
      <c r="T5952"/>
    </row>
    <row r="5953" spans="15:20">
      <c r="O5953" s="247"/>
      <c r="P5953"/>
      <c r="Q5953" s="224"/>
      <c r="S5953" s="202"/>
      <c r="T5953"/>
    </row>
    <row r="5954" spans="15:20">
      <c r="O5954" s="247"/>
      <c r="P5954"/>
      <c r="Q5954" s="224"/>
      <c r="S5954" s="202"/>
      <c r="T5954"/>
    </row>
    <row r="5955" spans="15:20">
      <c r="O5955" s="247"/>
      <c r="P5955"/>
      <c r="Q5955" s="224"/>
      <c r="S5955" s="202"/>
      <c r="T5955"/>
    </row>
    <row r="5956" spans="15:20">
      <c r="O5956" s="247"/>
      <c r="P5956"/>
      <c r="Q5956" s="224"/>
      <c r="S5956" s="202"/>
      <c r="T5956"/>
    </row>
    <row r="5957" spans="15:20">
      <c r="O5957" s="247"/>
      <c r="P5957"/>
      <c r="Q5957" s="224"/>
      <c r="S5957" s="202"/>
      <c r="T5957"/>
    </row>
    <row r="5958" spans="15:20">
      <c r="O5958" s="247"/>
      <c r="P5958"/>
      <c r="Q5958" s="224"/>
      <c r="S5958" s="202"/>
      <c r="T5958"/>
    </row>
    <row r="5959" spans="15:20">
      <c r="O5959" s="247"/>
      <c r="P5959"/>
      <c r="Q5959" s="224"/>
      <c r="S5959" s="202"/>
      <c r="T5959"/>
    </row>
    <row r="5960" spans="15:20">
      <c r="O5960" s="247"/>
      <c r="P5960"/>
      <c r="Q5960" s="224"/>
      <c r="S5960" s="202"/>
      <c r="T5960"/>
    </row>
    <row r="5961" spans="15:20">
      <c r="O5961" s="247"/>
      <c r="P5961"/>
      <c r="Q5961" s="224"/>
      <c r="S5961" s="202"/>
      <c r="T5961"/>
    </row>
    <row r="5962" spans="15:20">
      <c r="O5962" s="247"/>
      <c r="P5962"/>
      <c r="Q5962" s="224"/>
      <c r="S5962" s="202"/>
      <c r="T5962"/>
    </row>
    <row r="5963" spans="15:20">
      <c r="O5963" s="247"/>
      <c r="P5963"/>
      <c r="Q5963" s="224"/>
      <c r="S5963" s="202"/>
      <c r="T5963"/>
    </row>
    <row r="5964" spans="15:20">
      <c r="O5964" s="247"/>
      <c r="P5964"/>
      <c r="Q5964" s="224"/>
      <c r="S5964" s="202"/>
      <c r="T5964"/>
    </row>
    <row r="5965" spans="15:20">
      <c r="O5965" s="247"/>
      <c r="P5965"/>
      <c r="Q5965" s="224"/>
      <c r="S5965" s="202"/>
      <c r="T5965"/>
    </row>
    <row r="5966" spans="15:20">
      <c r="O5966" s="247"/>
      <c r="P5966"/>
      <c r="Q5966" s="224"/>
      <c r="S5966" s="202"/>
      <c r="T5966"/>
    </row>
    <row r="5967" spans="15:20">
      <c r="O5967" s="247"/>
      <c r="P5967"/>
      <c r="Q5967" s="224"/>
      <c r="S5967" s="202"/>
      <c r="T5967"/>
    </row>
    <row r="5968" spans="15:20">
      <c r="O5968" s="247"/>
      <c r="P5968"/>
      <c r="Q5968" s="224"/>
      <c r="S5968" s="202"/>
      <c r="T5968"/>
    </row>
    <row r="5969" spans="15:20">
      <c r="O5969" s="247"/>
      <c r="P5969"/>
      <c r="Q5969" s="224"/>
      <c r="S5969" s="202"/>
      <c r="T5969"/>
    </row>
    <row r="5970" spans="15:20">
      <c r="O5970" s="247"/>
      <c r="P5970"/>
      <c r="Q5970" s="224"/>
      <c r="S5970" s="202"/>
      <c r="T5970"/>
    </row>
    <row r="5971" spans="15:20">
      <c r="O5971" s="247"/>
      <c r="P5971"/>
      <c r="Q5971" s="224"/>
      <c r="S5971" s="202"/>
      <c r="T5971"/>
    </row>
    <row r="5972" spans="15:20">
      <c r="O5972" s="247"/>
      <c r="P5972"/>
      <c r="Q5972" s="224"/>
      <c r="S5972" s="202"/>
      <c r="T5972"/>
    </row>
    <row r="5973" spans="15:20">
      <c r="O5973" s="247"/>
      <c r="P5973"/>
      <c r="Q5973" s="224"/>
      <c r="S5973" s="202"/>
      <c r="T5973"/>
    </row>
    <row r="5974" spans="15:20">
      <c r="O5974" s="247"/>
      <c r="P5974"/>
      <c r="Q5974" s="224"/>
      <c r="S5974" s="202"/>
      <c r="T5974"/>
    </row>
    <row r="5975" spans="15:20">
      <c r="O5975" s="247"/>
      <c r="P5975"/>
      <c r="Q5975" s="224"/>
      <c r="S5975" s="202"/>
      <c r="T5975"/>
    </row>
    <row r="5976" spans="15:20">
      <c r="O5976" s="247"/>
      <c r="P5976"/>
      <c r="Q5976" s="224"/>
      <c r="S5976" s="202"/>
      <c r="T5976"/>
    </row>
    <row r="5977" spans="15:20">
      <c r="O5977" s="247"/>
      <c r="P5977"/>
      <c r="Q5977" s="224"/>
      <c r="S5977" s="202"/>
      <c r="T5977"/>
    </row>
    <row r="5978" spans="15:20">
      <c r="O5978" s="247"/>
      <c r="P5978"/>
      <c r="Q5978" s="224"/>
      <c r="S5978" s="202"/>
      <c r="T5978"/>
    </row>
    <row r="5979" spans="15:20">
      <c r="O5979" s="247"/>
      <c r="P5979"/>
      <c r="Q5979" s="224"/>
      <c r="S5979" s="202"/>
      <c r="T5979"/>
    </row>
    <row r="5980" spans="15:20">
      <c r="O5980" s="247"/>
      <c r="P5980"/>
      <c r="Q5980" s="224"/>
      <c r="S5980" s="202"/>
      <c r="T5980"/>
    </row>
    <row r="5981" spans="15:20">
      <c r="O5981" s="247"/>
      <c r="P5981"/>
      <c r="Q5981" s="224"/>
      <c r="S5981" s="202"/>
      <c r="T5981"/>
    </row>
    <row r="5982" spans="15:20">
      <c r="O5982" s="247"/>
      <c r="P5982"/>
      <c r="Q5982" s="224"/>
      <c r="S5982" s="202"/>
      <c r="T5982"/>
    </row>
    <row r="5983" spans="15:20">
      <c r="O5983" s="247"/>
      <c r="P5983"/>
      <c r="Q5983" s="224"/>
      <c r="S5983" s="202"/>
      <c r="T5983"/>
    </row>
    <row r="5984" spans="15:20">
      <c r="O5984" s="247"/>
      <c r="P5984"/>
      <c r="Q5984" s="224"/>
      <c r="S5984" s="202"/>
      <c r="T5984"/>
    </row>
    <row r="5985" spans="15:20">
      <c r="O5985" s="247"/>
      <c r="P5985"/>
      <c r="Q5985" s="224"/>
      <c r="S5985" s="202"/>
      <c r="T5985"/>
    </row>
    <row r="5986" spans="15:20">
      <c r="O5986" s="247"/>
      <c r="P5986"/>
      <c r="Q5986" s="224"/>
      <c r="S5986" s="202"/>
      <c r="T5986"/>
    </row>
    <row r="5987" spans="15:20">
      <c r="O5987" s="247"/>
      <c r="P5987"/>
      <c r="Q5987" s="224"/>
      <c r="S5987" s="202"/>
      <c r="T5987"/>
    </row>
    <row r="5988" spans="15:20">
      <c r="O5988" s="247"/>
      <c r="P5988"/>
      <c r="Q5988" s="224"/>
      <c r="S5988" s="202"/>
      <c r="T5988"/>
    </row>
    <row r="5989" spans="15:20">
      <c r="O5989" s="247"/>
      <c r="P5989"/>
      <c r="Q5989" s="224"/>
      <c r="S5989" s="202"/>
      <c r="T5989"/>
    </row>
    <row r="5990" spans="15:20">
      <c r="O5990" s="247"/>
      <c r="P5990"/>
      <c r="Q5990" s="224"/>
      <c r="S5990" s="202"/>
      <c r="T5990"/>
    </row>
    <row r="5991" spans="15:20">
      <c r="O5991" s="247"/>
      <c r="P5991"/>
      <c r="Q5991" s="224"/>
      <c r="S5991" s="202"/>
      <c r="T5991"/>
    </row>
    <row r="5992" spans="15:20">
      <c r="O5992" s="247"/>
      <c r="P5992"/>
      <c r="Q5992" s="224"/>
      <c r="S5992" s="202"/>
      <c r="T5992"/>
    </row>
    <row r="5993" spans="15:20">
      <c r="O5993" s="247"/>
      <c r="P5993"/>
      <c r="Q5993" s="224"/>
      <c r="S5993" s="202"/>
      <c r="T5993"/>
    </row>
    <row r="5994" spans="15:20">
      <c r="O5994" s="247"/>
      <c r="P5994"/>
      <c r="Q5994" s="224"/>
      <c r="S5994" s="202"/>
      <c r="T5994"/>
    </row>
    <row r="5995" spans="15:20">
      <c r="O5995" s="247"/>
      <c r="P5995"/>
      <c r="Q5995" s="224"/>
      <c r="S5995" s="202"/>
      <c r="T5995"/>
    </row>
    <row r="5996" spans="15:20">
      <c r="O5996" s="247"/>
      <c r="P5996"/>
      <c r="Q5996" s="224"/>
      <c r="S5996" s="202"/>
      <c r="T5996"/>
    </row>
    <row r="5997" spans="15:20">
      <c r="O5997" s="247"/>
      <c r="P5997"/>
      <c r="Q5997" s="224"/>
      <c r="S5997" s="202"/>
      <c r="T5997"/>
    </row>
    <row r="5998" spans="15:20">
      <c r="O5998" s="247"/>
      <c r="P5998"/>
      <c r="Q5998" s="224"/>
      <c r="S5998" s="202"/>
      <c r="T5998"/>
    </row>
    <row r="5999" spans="15:20">
      <c r="O5999" s="247"/>
      <c r="P5999"/>
      <c r="Q5999" s="224"/>
      <c r="S5999" s="202"/>
      <c r="T5999"/>
    </row>
    <row r="6000" spans="15:20">
      <c r="O6000" s="247"/>
      <c r="P6000"/>
      <c r="Q6000" s="224"/>
      <c r="S6000" s="202"/>
      <c r="T6000"/>
    </row>
    <row r="6001" spans="15:20">
      <c r="O6001" s="247"/>
      <c r="P6001"/>
      <c r="Q6001" s="224"/>
      <c r="S6001" s="202"/>
      <c r="T6001"/>
    </row>
    <row r="6002" spans="15:20">
      <c r="O6002" s="247"/>
      <c r="P6002"/>
      <c r="Q6002" s="224"/>
      <c r="S6002" s="202"/>
      <c r="T6002"/>
    </row>
    <row r="6003" spans="15:20">
      <c r="O6003" s="247"/>
      <c r="P6003"/>
      <c r="Q6003" s="224"/>
      <c r="S6003" s="202"/>
      <c r="T6003"/>
    </row>
    <row r="6004" spans="15:20">
      <c r="O6004" s="247"/>
      <c r="P6004"/>
      <c r="Q6004" s="224"/>
      <c r="S6004" s="202"/>
      <c r="T6004"/>
    </row>
    <row r="6005" spans="15:20">
      <c r="O6005" s="247"/>
      <c r="P6005"/>
      <c r="Q6005" s="224"/>
      <c r="S6005" s="202"/>
      <c r="T6005"/>
    </row>
    <row r="6006" spans="15:20">
      <c r="O6006" s="247"/>
      <c r="P6006"/>
      <c r="Q6006" s="224"/>
      <c r="S6006" s="202"/>
      <c r="T6006"/>
    </row>
    <row r="6007" spans="15:20">
      <c r="O6007" s="247"/>
      <c r="P6007"/>
      <c r="Q6007" s="224"/>
      <c r="S6007" s="202"/>
      <c r="T6007"/>
    </row>
    <row r="6008" spans="15:20">
      <c r="O6008" s="247"/>
      <c r="P6008"/>
      <c r="Q6008" s="224"/>
      <c r="S6008" s="202"/>
      <c r="T6008"/>
    </row>
    <row r="6009" spans="15:20">
      <c r="O6009" s="247"/>
      <c r="P6009"/>
      <c r="Q6009" s="224"/>
      <c r="S6009" s="202"/>
      <c r="T6009"/>
    </row>
    <row r="6010" spans="15:20">
      <c r="O6010" s="247"/>
      <c r="P6010"/>
      <c r="Q6010" s="224"/>
      <c r="S6010" s="202"/>
      <c r="T6010"/>
    </row>
    <row r="6011" spans="15:20">
      <c r="O6011" s="247"/>
      <c r="P6011"/>
      <c r="Q6011" s="224"/>
      <c r="S6011" s="202"/>
      <c r="T6011"/>
    </row>
    <row r="6012" spans="15:20">
      <c r="O6012" s="247"/>
      <c r="P6012"/>
      <c r="Q6012" s="224"/>
      <c r="S6012" s="202"/>
      <c r="T6012"/>
    </row>
    <row r="6013" spans="15:20">
      <c r="O6013" s="247"/>
      <c r="P6013"/>
      <c r="Q6013" s="224"/>
      <c r="S6013" s="202"/>
      <c r="T6013"/>
    </row>
    <row r="6014" spans="15:20">
      <c r="O6014" s="247"/>
      <c r="P6014"/>
      <c r="Q6014" s="224"/>
      <c r="S6014" s="202"/>
      <c r="T6014"/>
    </row>
    <row r="6015" spans="15:20">
      <c r="O6015" s="247"/>
      <c r="P6015"/>
      <c r="Q6015" s="224"/>
      <c r="S6015" s="202"/>
      <c r="T6015"/>
    </row>
    <row r="6016" spans="15:20">
      <c r="O6016" s="247"/>
      <c r="P6016"/>
      <c r="Q6016" s="224"/>
      <c r="S6016" s="202"/>
      <c r="T6016"/>
    </row>
    <row r="6017" spans="15:20">
      <c r="O6017" s="247"/>
      <c r="P6017"/>
      <c r="Q6017" s="224"/>
      <c r="S6017" s="202"/>
      <c r="T6017"/>
    </row>
    <row r="6018" spans="15:20">
      <c r="O6018" s="247"/>
      <c r="P6018"/>
      <c r="Q6018" s="224"/>
      <c r="S6018" s="202"/>
      <c r="T6018"/>
    </row>
    <row r="6019" spans="15:20">
      <c r="O6019" s="247"/>
      <c r="P6019"/>
      <c r="Q6019" s="224"/>
      <c r="S6019" s="202"/>
      <c r="T6019"/>
    </row>
    <row r="6020" spans="15:20">
      <c r="O6020" s="247"/>
      <c r="P6020"/>
      <c r="Q6020" s="224"/>
      <c r="S6020" s="202"/>
      <c r="T6020"/>
    </row>
    <row r="6021" spans="15:20">
      <c r="O6021" s="247"/>
      <c r="P6021"/>
      <c r="Q6021" s="224"/>
      <c r="S6021" s="202"/>
      <c r="T6021"/>
    </row>
    <row r="6022" spans="15:20">
      <c r="O6022" s="247"/>
      <c r="P6022"/>
      <c r="Q6022" s="224"/>
      <c r="S6022" s="202"/>
      <c r="T6022"/>
    </row>
    <row r="6023" spans="15:20">
      <c r="O6023" s="247"/>
      <c r="P6023"/>
      <c r="Q6023" s="224"/>
      <c r="S6023" s="202"/>
      <c r="T6023"/>
    </row>
    <row r="6024" spans="15:20">
      <c r="O6024" s="247"/>
      <c r="P6024"/>
      <c r="Q6024" s="224"/>
      <c r="S6024" s="202"/>
      <c r="T6024"/>
    </row>
    <row r="6025" spans="15:20">
      <c r="O6025" s="247"/>
      <c r="P6025"/>
      <c r="Q6025" s="224"/>
      <c r="S6025" s="202"/>
      <c r="T6025"/>
    </row>
    <row r="6026" spans="15:20">
      <c r="O6026" s="247"/>
      <c r="P6026"/>
      <c r="Q6026" s="224"/>
      <c r="S6026" s="202"/>
      <c r="T6026"/>
    </row>
    <row r="6027" spans="15:20">
      <c r="O6027" s="247"/>
      <c r="P6027"/>
      <c r="Q6027" s="224"/>
      <c r="S6027" s="202"/>
      <c r="T6027"/>
    </row>
    <row r="6028" spans="15:20">
      <c r="O6028" s="247"/>
      <c r="P6028"/>
      <c r="Q6028" s="224"/>
      <c r="S6028" s="202"/>
      <c r="T6028"/>
    </row>
    <row r="6029" spans="15:20">
      <c r="O6029" s="247"/>
      <c r="P6029"/>
      <c r="Q6029" s="224"/>
      <c r="S6029" s="202"/>
      <c r="T6029"/>
    </row>
    <row r="6030" spans="15:20">
      <c r="O6030" s="247"/>
      <c r="P6030"/>
      <c r="Q6030" s="224"/>
      <c r="S6030" s="202"/>
      <c r="T6030"/>
    </row>
    <row r="6031" spans="15:20">
      <c r="O6031" s="247"/>
      <c r="P6031"/>
      <c r="Q6031" s="224"/>
      <c r="S6031" s="202"/>
      <c r="T6031"/>
    </row>
    <row r="6032" spans="15:20">
      <c r="O6032" s="247"/>
      <c r="P6032"/>
      <c r="Q6032" s="224"/>
      <c r="S6032" s="202"/>
      <c r="T6032"/>
    </row>
    <row r="6033" spans="15:20">
      <c r="O6033" s="247"/>
      <c r="P6033"/>
      <c r="Q6033" s="224"/>
      <c r="S6033" s="202"/>
      <c r="T6033"/>
    </row>
    <row r="6034" spans="15:20">
      <c r="O6034" s="247"/>
      <c r="P6034"/>
      <c r="Q6034" s="224"/>
      <c r="S6034" s="202"/>
      <c r="T6034"/>
    </row>
    <row r="6035" spans="15:20">
      <c r="O6035" s="247"/>
      <c r="P6035"/>
      <c r="Q6035" s="224"/>
      <c r="S6035" s="202"/>
      <c r="T6035"/>
    </row>
    <row r="6036" spans="15:20">
      <c r="O6036" s="247"/>
      <c r="P6036"/>
      <c r="Q6036" s="224"/>
      <c r="S6036" s="202"/>
      <c r="T6036"/>
    </row>
    <row r="6037" spans="15:20">
      <c r="O6037" s="247"/>
      <c r="P6037"/>
      <c r="Q6037" s="224"/>
      <c r="S6037" s="202"/>
      <c r="T6037"/>
    </row>
    <row r="6038" spans="15:20">
      <c r="O6038" s="247"/>
      <c r="P6038"/>
      <c r="Q6038" s="224"/>
      <c r="S6038" s="202"/>
      <c r="T6038"/>
    </row>
    <row r="6039" spans="15:20">
      <c r="O6039" s="247"/>
      <c r="P6039"/>
      <c r="Q6039" s="224"/>
      <c r="S6039" s="202"/>
      <c r="T6039"/>
    </row>
    <row r="6040" spans="15:20">
      <c r="O6040" s="247"/>
      <c r="P6040"/>
      <c r="Q6040" s="224"/>
      <c r="S6040" s="202"/>
      <c r="T6040"/>
    </row>
    <row r="6041" spans="15:20">
      <c r="O6041" s="247"/>
      <c r="P6041"/>
      <c r="Q6041" s="224"/>
      <c r="S6041" s="202"/>
      <c r="T6041"/>
    </row>
    <row r="6042" spans="15:20">
      <c r="O6042" s="247"/>
      <c r="P6042"/>
      <c r="Q6042" s="224"/>
      <c r="S6042" s="202"/>
      <c r="T6042"/>
    </row>
    <row r="6043" spans="15:20">
      <c r="O6043" s="247"/>
      <c r="P6043"/>
      <c r="Q6043" s="224"/>
      <c r="S6043" s="202"/>
      <c r="T6043"/>
    </row>
    <row r="6044" spans="15:20">
      <c r="O6044" s="247"/>
      <c r="P6044"/>
      <c r="Q6044" s="224"/>
      <c r="S6044" s="202"/>
      <c r="T6044"/>
    </row>
    <row r="6045" spans="15:20">
      <c r="O6045" s="247"/>
      <c r="P6045"/>
      <c r="Q6045" s="224"/>
      <c r="S6045" s="202"/>
      <c r="T6045"/>
    </row>
    <row r="6046" spans="15:20">
      <c r="O6046" s="247"/>
      <c r="P6046"/>
      <c r="Q6046" s="224"/>
      <c r="S6046" s="202"/>
      <c r="T6046"/>
    </row>
    <row r="6047" spans="15:20">
      <c r="O6047" s="247"/>
      <c r="P6047"/>
      <c r="Q6047" s="224"/>
      <c r="S6047" s="202"/>
      <c r="T6047"/>
    </row>
    <row r="6048" spans="15:20">
      <c r="O6048" s="247"/>
      <c r="P6048"/>
      <c r="Q6048" s="224"/>
      <c r="S6048" s="202"/>
      <c r="T6048"/>
    </row>
    <row r="6049" spans="15:20">
      <c r="O6049" s="247"/>
      <c r="P6049"/>
      <c r="Q6049" s="224"/>
      <c r="S6049" s="202"/>
      <c r="T6049"/>
    </row>
    <row r="6050" spans="15:20">
      <c r="O6050" s="247"/>
      <c r="P6050"/>
      <c r="Q6050" s="224"/>
      <c r="S6050" s="202"/>
      <c r="T6050"/>
    </row>
    <row r="6051" spans="15:20">
      <c r="O6051" s="247"/>
      <c r="P6051"/>
      <c r="Q6051" s="224"/>
      <c r="S6051" s="202"/>
      <c r="T6051"/>
    </row>
    <row r="6052" spans="15:20">
      <c r="O6052" s="247"/>
      <c r="P6052"/>
      <c r="Q6052" s="224"/>
      <c r="S6052" s="202"/>
      <c r="T6052"/>
    </row>
    <row r="6053" spans="15:20">
      <c r="O6053" s="247"/>
      <c r="P6053"/>
      <c r="Q6053" s="224"/>
      <c r="S6053" s="202"/>
      <c r="T6053"/>
    </row>
    <row r="6054" spans="15:20">
      <c r="O6054" s="247"/>
      <c r="P6054"/>
      <c r="Q6054" s="224"/>
      <c r="S6054" s="202"/>
      <c r="T6054"/>
    </row>
    <row r="6055" spans="15:20">
      <c r="O6055" s="247"/>
      <c r="P6055"/>
      <c r="Q6055" s="224"/>
      <c r="S6055" s="202"/>
      <c r="T6055"/>
    </row>
    <row r="6056" spans="15:20">
      <c r="O6056" s="247"/>
      <c r="P6056"/>
      <c r="Q6056" s="224"/>
      <c r="S6056" s="202"/>
      <c r="T6056"/>
    </row>
    <row r="6057" spans="15:20">
      <c r="O6057" s="247"/>
      <c r="P6057"/>
      <c r="Q6057" s="224"/>
      <c r="S6057" s="202"/>
      <c r="T6057"/>
    </row>
    <row r="6058" spans="15:20">
      <c r="O6058" s="247"/>
      <c r="P6058"/>
      <c r="Q6058" s="224"/>
      <c r="S6058" s="202"/>
      <c r="T6058"/>
    </row>
    <row r="6059" spans="15:20">
      <c r="O6059" s="247"/>
      <c r="P6059"/>
      <c r="Q6059" s="224"/>
      <c r="S6059" s="202"/>
      <c r="T6059"/>
    </row>
    <row r="6060" spans="15:20">
      <c r="O6060" s="247"/>
      <c r="P6060"/>
      <c r="Q6060" s="224"/>
      <c r="S6060" s="202"/>
      <c r="T6060"/>
    </row>
    <row r="6061" spans="15:20">
      <c r="O6061" s="247"/>
      <c r="P6061"/>
      <c r="Q6061" s="224"/>
      <c r="S6061" s="202"/>
      <c r="T6061"/>
    </row>
    <row r="6062" spans="15:20">
      <c r="O6062" s="247"/>
      <c r="P6062"/>
      <c r="Q6062" s="224"/>
      <c r="S6062" s="202"/>
      <c r="T6062"/>
    </row>
    <row r="6063" spans="15:20">
      <c r="O6063" s="247"/>
      <c r="P6063"/>
      <c r="Q6063" s="224"/>
      <c r="S6063" s="202"/>
      <c r="T6063"/>
    </row>
    <row r="6064" spans="15:20">
      <c r="O6064" s="247"/>
      <c r="P6064"/>
      <c r="Q6064" s="224"/>
      <c r="S6064" s="202"/>
      <c r="T6064"/>
    </row>
    <row r="6065" spans="15:20">
      <c r="O6065" s="247"/>
      <c r="P6065"/>
      <c r="Q6065" s="224"/>
      <c r="S6065" s="202"/>
      <c r="T6065"/>
    </row>
    <row r="6066" spans="15:20">
      <c r="O6066" s="247"/>
      <c r="P6066"/>
      <c r="Q6066" s="224"/>
      <c r="S6066" s="202"/>
      <c r="T6066"/>
    </row>
    <row r="6067" spans="15:20">
      <c r="O6067" s="247"/>
      <c r="P6067"/>
      <c r="Q6067" s="224"/>
      <c r="S6067" s="202"/>
      <c r="T6067"/>
    </row>
    <row r="6068" spans="15:20">
      <c r="O6068" s="247"/>
      <c r="P6068"/>
      <c r="Q6068" s="224"/>
      <c r="S6068" s="202"/>
      <c r="T6068"/>
    </row>
    <row r="6069" spans="15:20">
      <c r="O6069" s="247"/>
      <c r="P6069"/>
      <c r="Q6069" s="224"/>
      <c r="S6069" s="202"/>
      <c r="T6069"/>
    </row>
    <row r="6070" spans="15:20">
      <c r="O6070" s="247"/>
      <c r="P6070"/>
      <c r="Q6070" s="224"/>
      <c r="S6070" s="202"/>
      <c r="T6070"/>
    </row>
    <row r="6071" spans="15:20">
      <c r="O6071" s="247"/>
      <c r="P6071"/>
      <c r="Q6071" s="224"/>
      <c r="S6071" s="202"/>
      <c r="T6071"/>
    </row>
    <row r="6072" spans="15:20">
      <c r="O6072" s="247"/>
      <c r="P6072"/>
      <c r="Q6072" s="224"/>
      <c r="S6072" s="202"/>
      <c r="T6072"/>
    </row>
    <row r="6073" spans="15:20">
      <c r="O6073" s="247"/>
      <c r="P6073"/>
      <c r="Q6073" s="224"/>
      <c r="S6073" s="202"/>
      <c r="T6073"/>
    </row>
    <row r="6074" spans="15:20">
      <c r="O6074" s="247"/>
      <c r="P6074"/>
      <c r="Q6074" s="224"/>
      <c r="S6074" s="202"/>
      <c r="T6074"/>
    </row>
    <row r="6075" spans="15:20">
      <c r="O6075" s="247"/>
      <c r="P6075"/>
      <c r="Q6075" s="224"/>
      <c r="S6075" s="202"/>
      <c r="T6075"/>
    </row>
    <row r="6076" spans="15:20">
      <c r="O6076" s="247"/>
      <c r="P6076"/>
      <c r="Q6076" s="224"/>
      <c r="S6076" s="202"/>
      <c r="T6076"/>
    </row>
    <row r="6077" spans="15:20">
      <c r="O6077" s="247"/>
      <c r="P6077"/>
      <c r="Q6077" s="224"/>
      <c r="S6077" s="202"/>
      <c r="T6077"/>
    </row>
    <row r="6078" spans="15:20">
      <c r="O6078" s="247"/>
      <c r="P6078"/>
      <c r="Q6078" s="224"/>
      <c r="S6078" s="202"/>
      <c r="T6078"/>
    </row>
    <row r="6079" spans="15:20">
      <c r="O6079" s="247"/>
      <c r="P6079"/>
      <c r="Q6079" s="224"/>
      <c r="S6079" s="202"/>
      <c r="T6079"/>
    </row>
    <row r="6080" spans="15:20">
      <c r="O6080" s="247"/>
      <c r="P6080"/>
      <c r="Q6080" s="224"/>
      <c r="S6080" s="202"/>
      <c r="T6080"/>
    </row>
    <row r="6081" spans="15:20">
      <c r="O6081" s="247"/>
      <c r="P6081"/>
      <c r="Q6081" s="224"/>
      <c r="S6081" s="202"/>
      <c r="T6081"/>
    </row>
    <row r="6082" spans="15:20">
      <c r="O6082" s="247"/>
      <c r="P6082"/>
      <c r="Q6082" s="224"/>
      <c r="S6082" s="202"/>
      <c r="T6082"/>
    </row>
    <row r="6083" spans="15:20">
      <c r="O6083" s="247"/>
      <c r="P6083"/>
      <c r="Q6083" s="224"/>
      <c r="S6083" s="202"/>
      <c r="T6083"/>
    </row>
    <row r="6084" spans="15:20">
      <c r="O6084" s="247"/>
      <c r="P6084"/>
      <c r="Q6084" s="224"/>
      <c r="S6084" s="202"/>
      <c r="T6084"/>
    </row>
    <row r="6085" spans="15:20">
      <c r="O6085" s="247"/>
      <c r="P6085"/>
      <c r="Q6085" s="224"/>
      <c r="S6085" s="202"/>
      <c r="T6085"/>
    </row>
    <row r="6086" spans="15:20">
      <c r="O6086" s="247"/>
      <c r="P6086"/>
      <c r="Q6086" s="224"/>
      <c r="S6086" s="202"/>
      <c r="T6086"/>
    </row>
    <row r="6087" spans="15:20">
      <c r="O6087" s="247"/>
      <c r="P6087"/>
      <c r="Q6087" s="224"/>
      <c r="S6087" s="202"/>
      <c r="T6087"/>
    </row>
    <row r="6088" spans="15:20">
      <c r="O6088" s="247"/>
      <c r="P6088"/>
      <c r="Q6088" s="224"/>
      <c r="S6088" s="202"/>
      <c r="T6088"/>
    </row>
    <row r="6089" spans="15:20">
      <c r="O6089" s="247"/>
      <c r="P6089"/>
      <c r="Q6089" s="224"/>
      <c r="S6089" s="202"/>
      <c r="T6089"/>
    </row>
    <row r="6090" spans="15:20">
      <c r="O6090" s="247"/>
      <c r="P6090"/>
      <c r="Q6090" s="224"/>
      <c r="S6090" s="202"/>
      <c r="T6090"/>
    </row>
    <row r="6091" spans="15:20">
      <c r="O6091" s="247"/>
      <c r="P6091"/>
      <c r="Q6091" s="224"/>
      <c r="S6091" s="202"/>
      <c r="T6091"/>
    </row>
    <row r="6092" spans="15:20">
      <c r="O6092" s="247"/>
      <c r="P6092"/>
      <c r="Q6092" s="224"/>
      <c r="S6092" s="202"/>
      <c r="T6092"/>
    </row>
    <row r="6093" spans="15:20">
      <c r="O6093" s="247"/>
      <c r="P6093"/>
      <c r="Q6093" s="224"/>
      <c r="S6093" s="202"/>
      <c r="T6093"/>
    </row>
    <row r="6094" spans="15:20">
      <c r="O6094" s="247"/>
      <c r="P6094"/>
      <c r="Q6094" s="224"/>
      <c r="S6094" s="202"/>
      <c r="T6094"/>
    </row>
    <row r="6095" spans="15:20">
      <c r="O6095" s="247"/>
      <c r="P6095"/>
      <c r="Q6095" s="224"/>
      <c r="S6095" s="202"/>
      <c r="T6095"/>
    </row>
    <row r="6096" spans="15:20">
      <c r="O6096" s="247"/>
      <c r="P6096"/>
      <c r="Q6096" s="224"/>
      <c r="S6096" s="202"/>
      <c r="T6096"/>
    </row>
    <row r="6097" spans="15:20">
      <c r="O6097" s="247"/>
      <c r="P6097"/>
      <c r="Q6097" s="224"/>
      <c r="S6097" s="202"/>
      <c r="T6097"/>
    </row>
    <row r="6098" spans="15:20">
      <c r="O6098" s="247"/>
      <c r="P6098"/>
      <c r="Q6098" s="224"/>
      <c r="S6098" s="202"/>
      <c r="T6098"/>
    </row>
    <row r="6099" spans="15:20">
      <c r="O6099" s="247"/>
      <c r="P6099"/>
      <c r="Q6099" s="224"/>
      <c r="S6099" s="202"/>
      <c r="T6099"/>
    </row>
    <row r="6100" spans="15:20">
      <c r="O6100" s="247"/>
      <c r="P6100"/>
      <c r="Q6100" s="224"/>
      <c r="S6100" s="202"/>
      <c r="T6100"/>
    </row>
    <row r="6101" spans="15:20">
      <c r="O6101" s="247"/>
      <c r="P6101"/>
      <c r="Q6101" s="224"/>
      <c r="S6101" s="202"/>
      <c r="T6101"/>
    </row>
    <row r="6102" spans="15:20">
      <c r="O6102" s="247"/>
      <c r="P6102"/>
      <c r="Q6102" s="224"/>
      <c r="S6102" s="202"/>
      <c r="T6102"/>
    </row>
    <row r="6103" spans="15:20">
      <c r="O6103" s="247"/>
      <c r="P6103"/>
      <c r="Q6103" s="224"/>
      <c r="S6103" s="202"/>
      <c r="T6103"/>
    </row>
    <row r="6104" spans="15:20">
      <c r="O6104" s="247"/>
      <c r="P6104"/>
      <c r="Q6104" s="224"/>
      <c r="S6104" s="202"/>
      <c r="T6104"/>
    </row>
    <row r="6105" spans="15:20">
      <c r="O6105" s="247"/>
      <c r="P6105"/>
      <c r="Q6105" s="224"/>
      <c r="S6105" s="202"/>
      <c r="T6105"/>
    </row>
    <row r="6106" spans="15:20">
      <c r="O6106" s="247"/>
      <c r="P6106"/>
      <c r="Q6106" s="224"/>
      <c r="S6106" s="202"/>
      <c r="T6106"/>
    </row>
    <row r="6107" spans="15:20">
      <c r="O6107" s="247"/>
      <c r="P6107"/>
      <c r="Q6107" s="224"/>
      <c r="S6107" s="202"/>
      <c r="T6107"/>
    </row>
    <row r="6108" spans="15:20">
      <c r="O6108" s="247"/>
      <c r="P6108"/>
      <c r="Q6108" s="224"/>
      <c r="S6108" s="202"/>
      <c r="T6108"/>
    </row>
    <row r="6109" spans="15:20">
      <c r="O6109" s="247"/>
      <c r="P6109"/>
      <c r="Q6109" s="224"/>
      <c r="S6109" s="202"/>
      <c r="T6109"/>
    </row>
    <row r="6110" spans="15:20">
      <c r="O6110" s="247"/>
      <c r="P6110"/>
      <c r="Q6110" s="224"/>
      <c r="S6110" s="202"/>
      <c r="T6110"/>
    </row>
    <row r="6111" spans="15:20">
      <c r="O6111" s="247"/>
      <c r="P6111"/>
      <c r="Q6111" s="224"/>
      <c r="S6111" s="202"/>
      <c r="T6111"/>
    </row>
    <row r="6112" spans="15:20">
      <c r="O6112" s="247"/>
      <c r="P6112"/>
      <c r="Q6112" s="224"/>
      <c r="S6112" s="202"/>
      <c r="T6112"/>
    </row>
    <row r="6113" spans="15:20">
      <c r="O6113" s="247"/>
      <c r="P6113"/>
      <c r="Q6113" s="224"/>
      <c r="S6113" s="202"/>
      <c r="T6113"/>
    </row>
    <row r="6114" spans="15:20">
      <c r="O6114" s="247"/>
      <c r="P6114"/>
      <c r="Q6114" s="224"/>
      <c r="S6114" s="202"/>
      <c r="T6114"/>
    </row>
    <row r="6115" spans="15:20">
      <c r="O6115" s="247"/>
      <c r="P6115"/>
      <c r="Q6115" s="224"/>
      <c r="S6115" s="202"/>
      <c r="T6115"/>
    </row>
    <row r="6116" spans="15:20">
      <c r="O6116" s="247"/>
      <c r="P6116"/>
      <c r="Q6116" s="224"/>
      <c r="S6116" s="202"/>
      <c r="T6116"/>
    </row>
    <row r="6117" spans="15:20">
      <c r="O6117" s="247"/>
      <c r="P6117"/>
      <c r="Q6117" s="224"/>
      <c r="S6117" s="202"/>
      <c r="T6117"/>
    </row>
    <row r="6118" spans="15:20">
      <c r="O6118" s="247"/>
      <c r="P6118"/>
      <c r="Q6118" s="224"/>
      <c r="S6118" s="202"/>
      <c r="T6118"/>
    </row>
    <row r="6119" spans="15:20">
      <c r="O6119" s="247"/>
      <c r="P6119"/>
      <c r="Q6119" s="224"/>
      <c r="S6119" s="202"/>
      <c r="T6119"/>
    </row>
    <row r="6120" spans="15:20">
      <c r="O6120" s="247"/>
      <c r="P6120"/>
      <c r="Q6120" s="224"/>
      <c r="S6120" s="202"/>
      <c r="T6120"/>
    </row>
    <row r="6121" spans="15:20">
      <c r="O6121" s="247"/>
      <c r="P6121"/>
      <c r="Q6121" s="224"/>
      <c r="S6121" s="202"/>
      <c r="T6121"/>
    </row>
    <row r="6122" spans="15:20">
      <c r="O6122" s="247"/>
      <c r="P6122"/>
      <c r="Q6122" s="224"/>
      <c r="S6122" s="202"/>
      <c r="T6122"/>
    </row>
    <row r="6123" spans="15:20">
      <c r="O6123" s="247"/>
      <c r="P6123"/>
      <c r="Q6123" s="224"/>
      <c r="S6123" s="202"/>
      <c r="T6123"/>
    </row>
    <row r="6124" spans="15:20">
      <c r="O6124" s="247"/>
      <c r="P6124"/>
      <c r="Q6124" s="224"/>
      <c r="S6124" s="202"/>
      <c r="T6124"/>
    </row>
    <row r="6125" spans="15:20">
      <c r="O6125" s="247"/>
      <c r="P6125"/>
      <c r="Q6125" s="224"/>
      <c r="S6125" s="202"/>
      <c r="T6125"/>
    </row>
    <row r="6126" spans="15:20">
      <c r="O6126" s="247"/>
      <c r="P6126"/>
      <c r="Q6126" s="224"/>
      <c r="S6126" s="202"/>
      <c r="T6126"/>
    </row>
    <row r="6127" spans="15:20">
      <c r="O6127" s="247"/>
      <c r="P6127"/>
      <c r="Q6127" s="224"/>
      <c r="S6127" s="202"/>
      <c r="T6127"/>
    </row>
    <row r="6128" spans="15:20">
      <c r="O6128" s="247"/>
      <c r="P6128"/>
      <c r="Q6128" s="224"/>
      <c r="S6128" s="202"/>
      <c r="T6128"/>
    </row>
    <row r="6129" spans="15:20">
      <c r="O6129" s="247"/>
      <c r="P6129"/>
      <c r="Q6129" s="224"/>
      <c r="S6129" s="202"/>
      <c r="T6129"/>
    </row>
    <row r="6130" spans="15:20">
      <c r="O6130" s="247"/>
      <c r="P6130"/>
      <c r="Q6130" s="224"/>
      <c r="S6130" s="202"/>
      <c r="T6130"/>
    </row>
    <row r="6131" spans="15:20">
      <c r="O6131" s="247"/>
      <c r="P6131"/>
      <c r="Q6131" s="224"/>
      <c r="S6131" s="202"/>
      <c r="T6131"/>
    </row>
    <row r="6132" spans="15:20">
      <c r="O6132" s="247"/>
      <c r="P6132"/>
      <c r="Q6132" s="224"/>
      <c r="S6132" s="202"/>
      <c r="T6132"/>
    </row>
    <row r="6133" spans="15:20">
      <c r="O6133" s="247"/>
      <c r="P6133"/>
      <c r="Q6133" s="224"/>
      <c r="S6133" s="202"/>
      <c r="T6133"/>
    </row>
    <row r="6134" spans="15:20">
      <c r="O6134" s="247"/>
      <c r="P6134"/>
      <c r="Q6134" s="224"/>
      <c r="S6134" s="202"/>
      <c r="T6134"/>
    </row>
    <row r="6135" spans="15:20">
      <c r="O6135" s="247"/>
      <c r="P6135"/>
      <c r="Q6135" s="224"/>
      <c r="S6135" s="202"/>
      <c r="T6135"/>
    </row>
    <row r="6136" spans="15:20">
      <c r="O6136" s="247"/>
      <c r="P6136"/>
      <c r="Q6136" s="224"/>
      <c r="S6136" s="202"/>
      <c r="T6136"/>
    </row>
    <row r="6137" spans="15:20">
      <c r="O6137" s="247"/>
      <c r="P6137"/>
      <c r="Q6137" s="224"/>
      <c r="S6137" s="202"/>
      <c r="T6137"/>
    </row>
    <row r="6138" spans="15:20">
      <c r="O6138" s="247"/>
      <c r="P6138"/>
      <c r="Q6138" s="224"/>
      <c r="S6138" s="202"/>
      <c r="T6138"/>
    </row>
    <row r="6139" spans="15:20">
      <c r="O6139" s="247"/>
      <c r="P6139"/>
      <c r="Q6139" s="224"/>
      <c r="S6139" s="202"/>
      <c r="T6139"/>
    </row>
    <row r="6140" spans="15:20">
      <c r="O6140" s="247"/>
      <c r="P6140"/>
      <c r="Q6140" s="224"/>
      <c r="S6140" s="202"/>
      <c r="T6140"/>
    </row>
    <row r="6141" spans="15:20">
      <c r="O6141" s="247"/>
      <c r="P6141"/>
      <c r="Q6141" s="224"/>
      <c r="S6141" s="202"/>
      <c r="T6141"/>
    </row>
    <row r="6142" spans="15:20">
      <c r="O6142" s="247"/>
      <c r="P6142"/>
      <c r="Q6142" s="224"/>
      <c r="S6142" s="202"/>
      <c r="T6142"/>
    </row>
    <row r="6143" spans="15:20">
      <c r="O6143" s="247"/>
      <c r="P6143"/>
      <c r="Q6143" s="224"/>
      <c r="S6143" s="202"/>
      <c r="T6143"/>
    </row>
    <row r="6144" spans="15:20">
      <c r="O6144" s="247"/>
      <c r="P6144"/>
      <c r="Q6144" s="224"/>
      <c r="S6144" s="202"/>
      <c r="T6144"/>
    </row>
    <row r="6145" spans="15:20">
      <c r="O6145" s="247"/>
      <c r="P6145"/>
      <c r="Q6145" s="224"/>
      <c r="S6145" s="202"/>
      <c r="T6145"/>
    </row>
    <row r="6146" spans="15:20">
      <c r="O6146" s="247"/>
      <c r="P6146"/>
      <c r="Q6146" s="224"/>
      <c r="S6146" s="202"/>
      <c r="T6146"/>
    </row>
    <row r="6147" spans="15:20">
      <c r="O6147" s="247"/>
      <c r="P6147"/>
      <c r="Q6147" s="224"/>
      <c r="S6147" s="202"/>
      <c r="T6147"/>
    </row>
    <row r="6148" spans="15:20">
      <c r="O6148" s="247"/>
      <c r="P6148"/>
      <c r="Q6148" s="224"/>
      <c r="S6148" s="202"/>
      <c r="T6148"/>
    </row>
    <row r="6149" spans="15:20">
      <c r="O6149" s="247"/>
      <c r="P6149"/>
      <c r="Q6149" s="224"/>
      <c r="S6149" s="202"/>
      <c r="T6149"/>
    </row>
    <row r="6150" spans="15:20">
      <c r="O6150" s="247"/>
      <c r="P6150"/>
      <c r="Q6150" s="224"/>
      <c r="S6150" s="202"/>
      <c r="T6150"/>
    </row>
    <row r="6151" spans="15:20">
      <c r="O6151" s="247"/>
      <c r="P6151"/>
      <c r="Q6151" s="224"/>
      <c r="S6151" s="202"/>
      <c r="T6151"/>
    </row>
    <row r="6152" spans="15:20">
      <c r="O6152" s="247"/>
      <c r="P6152"/>
      <c r="Q6152" s="224"/>
      <c r="S6152" s="202"/>
      <c r="T6152"/>
    </row>
    <row r="6153" spans="15:20">
      <c r="O6153" s="247"/>
      <c r="P6153"/>
      <c r="Q6153" s="224"/>
      <c r="S6153" s="202"/>
      <c r="T6153"/>
    </row>
    <row r="6154" spans="15:20">
      <c r="O6154" s="247"/>
      <c r="P6154"/>
      <c r="Q6154" s="224"/>
      <c r="S6154" s="202"/>
      <c r="T6154"/>
    </row>
    <row r="6155" spans="15:20">
      <c r="O6155" s="247"/>
      <c r="P6155"/>
      <c r="Q6155" s="224"/>
      <c r="S6155" s="202"/>
      <c r="T6155"/>
    </row>
    <row r="6156" spans="15:20">
      <c r="O6156" s="247"/>
      <c r="P6156"/>
      <c r="Q6156" s="224"/>
      <c r="S6156" s="202"/>
      <c r="T6156"/>
    </row>
    <row r="6157" spans="15:20">
      <c r="O6157" s="247"/>
      <c r="P6157"/>
      <c r="Q6157" s="224"/>
      <c r="S6157" s="202"/>
      <c r="T6157"/>
    </row>
    <row r="6158" spans="15:20">
      <c r="O6158" s="247"/>
      <c r="P6158"/>
      <c r="Q6158" s="224"/>
      <c r="S6158" s="202"/>
      <c r="T6158"/>
    </row>
    <row r="6159" spans="15:20">
      <c r="O6159" s="247"/>
      <c r="P6159"/>
      <c r="Q6159" s="224"/>
      <c r="S6159" s="202"/>
      <c r="T6159"/>
    </row>
    <row r="6160" spans="15:20">
      <c r="O6160" s="247"/>
      <c r="P6160"/>
      <c r="Q6160" s="224"/>
      <c r="S6160" s="202"/>
      <c r="T6160"/>
    </row>
    <row r="6161" spans="15:20">
      <c r="O6161" s="247"/>
      <c r="P6161"/>
      <c r="Q6161" s="224"/>
      <c r="S6161" s="202"/>
      <c r="T6161"/>
    </row>
    <row r="6162" spans="15:20">
      <c r="O6162" s="247"/>
      <c r="P6162"/>
      <c r="Q6162" s="224"/>
      <c r="S6162" s="202"/>
      <c r="T6162"/>
    </row>
    <row r="6163" spans="15:20">
      <c r="O6163" s="247"/>
      <c r="P6163"/>
      <c r="Q6163" s="224"/>
      <c r="S6163" s="202"/>
      <c r="T6163"/>
    </row>
    <row r="6164" spans="15:20">
      <c r="O6164" s="247"/>
      <c r="P6164"/>
      <c r="Q6164" s="224"/>
      <c r="S6164" s="202"/>
      <c r="T6164"/>
    </row>
    <row r="6165" spans="15:20">
      <c r="O6165" s="247"/>
      <c r="P6165"/>
      <c r="Q6165" s="224"/>
      <c r="S6165" s="202"/>
      <c r="T6165"/>
    </row>
    <row r="6166" spans="15:20">
      <c r="O6166" s="247"/>
      <c r="P6166"/>
      <c r="Q6166" s="224"/>
      <c r="S6166" s="202"/>
      <c r="T6166"/>
    </row>
    <row r="6167" spans="15:20">
      <c r="O6167" s="247"/>
      <c r="P6167"/>
      <c r="Q6167" s="224"/>
      <c r="S6167" s="202"/>
      <c r="T6167"/>
    </row>
    <row r="6168" spans="15:20">
      <c r="O6168" s="247"/>
      <c r="P6168"/>
      <c r="Q6168" s="224"/>
      <c r="S6168" s="202"/>
      <c r="T6168"/>
    </row>
    <row r="6169" spans="15:20">
      <c r="O6169" s="247"/>
      <c r="P6169"/>
      <c r="Q6169" s="224"/>
      <c r="S6169" s="202"/>
      <c r="T6169"/>
    </row>
    <row r="6170" spans="15:20">
      <c r="O6170" s="247"/>
      <c r="P6170"/>
      <c r="Q6170" s="224"/>
      <c r="S6170" s="202"/>
      <c r="T6170"/>
    </row>
    <row r="6171" spans="15:20">
      <c r="O6171" s="247"/>
      <c r="P6171"/>
      <c r="Q6171" s="224"/>
      <c r="S6171" s="202"/>
      <c r="T6171"/>
    </row>
    <row r="6172" spans="15:20">
      <c r="O6172" s="247"/>
      <c r="P6172"/>
      <c r="Q6172" s="224"/>
      <c r="S6172" s="202"/>
      <c r="T6172"/>
    </row>
    <row r="6173" spans="15:20">
      <c r="O6173" s="247"/>
      <c r="P6173"/>
      <c r="Q6173" s="224"/>
      <c r="S6173" s="202"/>
      <c r="T6173"/>
    </row>
    <row r="6174" spans="15:20">
      <c r="O6174" s="247"/>
      <c r="P6174"/>
      <c r="Q6174" s="224"/>
      <c r="S6174" s="202"/>
      <c r="T6174"/>
    </row>
    <row r="6175" spans="15:20">
      <c r="O6175" s="247"/>
      <c r="P6175"/>
      <c r="Q6175" s="224"/>
      <c r="S6175" s="202"/>
      <c r="T6175"/>
    </row>
    <row r="6176" spans="15:20">
      <c r="O6176" s="247"/>
      <c r="P6176"/>
      <c r="Q6176" s="224"/>
      <c r="S6176" s="202"/>
      <c r="T6176"/>
    </row>
    <row r="6177" spans="15:20">
      <c r="O6177" s="247"/>
      <c r="P6177"/>
      <c r="Q6177" s="224"/>
      <c r="S6177" s="202"/>
      <c r="T6177"/>
    </row>
    <row r="6178" spans="15:20">
      <c r="O6178" s="247"/>
      <c r="P6178"/>
      <c r="Q6178" s="224"/>
      <c r="S6178" s="202"/>
      <c r="T6178"/>
    </row>
    <row r="6179" spans="15:20">
      <c r="O6179" s="247"/>
      <c r="P6179"/>
      <c r="Q6179" s="224"/>
      <c r="S6179" s="202"/>
      <c r="T6179"/>
    </row>
    <row r="6180" spans="15:20">
      <c r="O6180" s="247"/>
      <c r="P6180"/>
      <c r="Q6180" s="224"/>
      <c r="S6180" s="202"/>
      <c r="T6180"/>
    </row>
    <row r="6181" spans="15:20">
      <c r="O6181" s="247"/>
      <c r="P6181"/>
      <c r="Q6181" s="224"/>
      <c r="S6181" s="202"/>
      <c r="T6181"/>
    </row>
    <row r="6182" spans="15:20">
      <c r="O6182" s="247"/>
      <c r="P6182"/>
      <c r="Q6182" s="224"/>
      <c r="S6182" s="202"/>
      <c r="T6182"/>
    </row>
    <row r="6183" spans="15:20">
      <c r="O6183" s="247"/>
      <c r="P6183"/>
      <c r="Q6183" s="224"/>
      <c r="S6183" s="202"/>
      <c r="T6183"/>
    </row>
    <row r="6184" spans="15:20">
      <c r="O6184" s="247"/>
      <c r="P6184"/>
      <c r="Q6184" s="224"/>
      <c r="S6184" s="202"/>
      <c r="T6184"/>
    </row>
    <row r="6185" spans="15:20">
      <c r="O6185" s="247"/>
      <c r="P6185"/>
      <c r="Q6185" s="224"/>
      <c r="S6185" s="202"/>
      <c r="T6185"/>
    </row>
    <row r="6186" spans="15:20">
      <c r="O6186" s="247"/>
      <c r="P6186"/>
      <c r="Q6186" s="224"/>
      <c r="S6186" s="202"/>
      <c r="T6186"/>
    </row>
    <row r="6187" spans="15:20">
      <c r="O6187" s="247"/>
      <c r="P6187"/>
      <c r="Q6187" s="224"/>
      <c r="S6187" s="202"/>
      <c r="T6187"/>
    </row>
    <row r="6188" spans="15:20">
      <c r="O6188" s="247"/>
      <c r="P6188"/>
      <c r="Q6188" s="224"/>
      <c r="S6188" s="202"/>
      <c r="T6188"/>
    </row>
    <row r="6189" spans="15:20">
      <c r="O6189" s="247"/>
      <c r="P6189"/>
      <c r="Q6189" s="224"/>
      <c r="S6189" s="202"/>
      <c r="T6189"/>
    </row>
    <row r="6190" spans="15:20">
      <c r="O6190" s="247"/>
      <c r="P6190"/>
      <c r="Q6190" s="224"/>
      <c r="S6190" s="202"/>
      <c r="T6190"/>
    </row>
    <row r="6191" spans="15:20">
      <c r="O6191" s="247"/>
      <c r="P6191"/>
      <c r="Q6191" s="224"/>
      <c r="S6191" s="202"/>
      <c r="T6191"/>
    </row>
    <row r="6192" spans="15:20">
      <c r="O6192" s="247"/>
      <c r="P6192"/>
      <c r="Q6192" s="224"/>
      <c r="S6192" s="202"/>
      <c r="T6192"/>
    </row>
    <row r="6193" spans="15:20">
      <c r="O6193" s="247"/>
      <c r="P6193"/>
      <c r="Q6193" s="224"/>
      <c r="S6193" s="202"/>
      <c r="T6193"/>
    </row>
    <row r="6194" spans="15:20">
      <c r="O6194" s="247"/>
      <c r="P6194"/>
      <c r="Q6194" s="224"/>
      <c r="S6194" s="202"/>
      <c r="T6194"/>
    </row>
    <row r="6195" spans="15:20">
      <c r="O6195" s="247"/>
      <c r="P6195"/>
      <c r="Q6195" s="224"/>
      <c r="S6195" s="202"/>
      <c r="T6195"/>
    </row>
    <row r="6196" spans="15:20">
      <c r="O6196" s="247"/>
      <c r="P6196"/>
      <c r="Q6196" s="224"/>
      <c r="S6196" s="202"/>
      <c r="T6196"/>
    </row>
    <row r="6197" spans="15:20">
      <c r="O6197" s="247"/>
      <c r="P6197"/>
      <c r="Q6197" s="224"/>
      <c r="S6197" s="202"/>
      <c r="T6197"/>
    </row>
    <row r="6198" spans="15:20">
      <c r="O6198" s="247"/>
      <c r="P6198"/>
      <c r="Q6198" s="224"/>
      <c r="S6198" s="202"/>
      <c r="T6198"/>
    </row>
    <row r="6199" spans="15:20">
      <c r="O6199" s="247"/>
      <c r="P6199"/>
      <c r="Q6199" s="224"/>
      <c r="S6199" s="202"/>
      <c r="T6199"/>
    </row>
    <row r="6200" spans="15:20">
      <c r="O6200" s="247"/>
      <c r="P6200"/>
      <c r="Q6200" s="224"/>
      <c r="S6200" s="202"/>
      <c r="T6200"/>
    </row>
    <row r="6201" spans="15:20">
      <c r="O6201" s="247"/>
      <c r="P6201"/>
      <c r="Q6201" s="224"/>
      <c r="S6201" s="202"/>
      <c r="T6201"/>
    </row>
    <row r="6202" spans="15:20">
      <c r="O6202" s="247"/>
      <c r="P6202"/>
      <c r="Q6202" s="224"/>
      <c r="S6202" s="202"/>
      <c r="T6202"/>
    </row>
    <row r="6203" spans="15:20">
      <c r="O6203" s="247"/>
      <c r="P6203"/>
      <c r="Q6203" s="224"/>
      <c r="S6203" s="202"/>
      <c r="T6203"/>
    </row>
    <row r="6204" spans="15:20">
      <c r="O6204" s="247"/>
      <c r="P6204"/>
      <c r="Q6204" s="224"/>
      <c r="S6204" s="202"/>
      <c r="T6204"/>
    </row>
    <row r="6205" spans="15:20">
      <c r="O6205" s="247"/>
      <c r="P6205"/>
      <c r="Q6205" s="224"/>
      <c r="S6205" s="202"/>
      <c r="T6205"/>
    </row>
    <row r="6206" spans="15:20">
      <c r="O6206" s="247"/>
      <c r="P6206"/>
      <c r="Q6206" s="224"/>
      <c r="S6206" s="202"/>
      <c r="T6206"/>
    </row>
    <row r="6207" spans="15:20">
      <c r="O6207" s="247"/>
      <c r="P6207"/>
      <c r="Q6207" s="224"/>
      <c r="S6207" s="202"/>
      <c r="T6207"/>
    </row>
    <row r="6208" spans="15:20">
      <c r="O6208" s="247"/>
      <c r="P6208"/>
      <c r="Q6208" s="224"/>
      <c r="S6208" s="202"/>
      <c r="T6208"/>
    </row>
    <row r="6209" spans="15:20">
      <c r="O6209" s="247"/>
      <c r="P6209"/>
      <c r="Q6209" s="224"/>
      <c r="S6209" s="202"/>
      <c r="T6209"/>
    </row>
    <row r="6210" spans="15:20">
      <c r="O6210" s="247"/>
      <c r="P6210"/>
      <c r="Q6210" s="224"/>
      <c r="S6210" s="202"/>
      <c r="T6210"/>
    </row>
    <row r="6211" spans="15:20">
      <c r="O6211" s="247"/>
      <c r="P6211"/>
      <c r="Q6211" s="224"/>
      <c r="S6211" s="202"/>
      <c r="T6211"/>
    </row>
    <row r="6212" spans="15:20">
      <c r="O6212" s="247"/>
      <c r="P6212"/>
      <c r="Q6212" s="224"/>
      <c r="S6212" s="202"/>
      <c r="T6212"/>
    </row>
    <row r="6213" spans="15:20">
      <c r="O6213" s="247"/>
      <c r="P6213"/>
      <c r="Q6213" s="224"/>
      <c r="S6213" s="202"/>
      <c r="T6213"/>
    </row>
    <row r="6214" spans="15:20">
      <c r="O6214" s="247"/>
      <c r="P6214"/>
      <c r="Q6214" s="224"/>
      <c r="S6214" s="202"/>
      <c r="T6214"/>
    </row>
    <row r="6215" spans="15:20">
      <c r="O6215" s="247"/>
      <c r="P6215"/>
      <c r="Q6215" s="224"/>
      <c r="S6215" s="202"/>
      <c r="T6215"/>
    </row>
    <row r="6216" spans="15:20">
      <c r="O6216" s="247"/>
      <c r="P6216"/>
      <c r="Q6216" s="224"/>
      <c r="S6216" s="202"/>
      <c r="T6216"/>
    </row>
    <row r="6217" spans="15:20">
      <c r="O6217" s="247"/>
      <c r="P6217"/>
      <c r="Q6217" s="224"/>
      <c r="S6217" s="202"/>
      <c r="T6217"/>
    </row>
    <row r="6218" spans="15:20">
      <c r="O6218" s="247"/>
      <c r="P6218"/>
      <c r="Q6218" s="224"/>
      <c r="S6218" s="202"/>
      <c r="T6218"/>
    </row>
    <row r="6219" spans="15:20">
      <c r="O6219" s="247"/>
      <c r="P6219"/>
      <c r="Q6219" s="224"/>
      <c r="S6219" s="202"/>
      <c r="T6219"/>
    </row>
    <row r="6220" spans="15:20">
      <c r="O6220" s="247"/>
      <c r="P6220"/>
      <c r="Q6220" s="224"/>
      <c r="S6220" s="202"/>
      <c r="T6220"/>
    </row>
    <row r="6221" spans="15:20">
      <c r="O6221" s="247"/>
      <c r="P6221"/>
      <c r="Q6221" s="224"/>
      <c r="S6221" s="202"/>
      <c r="T6221"/>
    </row>
    <row r="6222" spans="15:20">
      <c r="O6222" s="247"/>
      <c r="P6222"/>
      <c r="Q6222" s="224"/>
      <c r="S6222" s="202"/>
      <c r="T6222"/>
    </row>
    <row r="6223" spans="15:20">
      <c r="O6223" s="247"/>
      <c r="P6223"/>
      <c r="Q6223" s="224"/>
      <c r="S6223" s="202"/>
      <c r="T6223"/>
    </row>
    <row r="6224" spans="15:20">
      <c r="O6224" s="247"/>
      <c r="P6224"/>
      <c r="Q6224" s="224"/>
      <c r="S6224" s="202"/>
      <c r="T6224"/>
    </row>
    <row r="6225" spans="15:20">
      <c r="O6225" s="247"/>
      <c r="P6225"/>
      <c r="Q6225" s="224"/>
      <c r="S6225" s="202"/>
      <c r="T6225"/>
    </row>
    <row r="6226" spans="15:20">
      <c r="O6226" s="247"/>
      <c r="P6226"/>
      <c r="Q6226" s="224"/>
      <c r="S6226" s="202"/>
      <c r="T6226"/>
    </row>
    <row r="6227" spans="15:20">
      <c r="O6227" s="247"/>
      <c r="P6227"/>
      <c r="Q6227" s="224"/>
      <c r="S6227" s="202"/>
      <c r="T6227"/>
    </row>
    <row r="6228" spans="15:20">
      <c r="O6228" s="247"/>
      <c r="P6228"/>
      <c r="Q6228" s="224"/>
      <c r="S6228" s="202"/>
      <c r="T6228"/>
    </row>
    <row r="6229" spans="15:20">
      <c r="O6229" s="247"/>
      <c r="P6229"/>
      <c r="Q6229" s="224"/>
      <c r="S6229" s="202"/>
      <c r="T6229"/>
    </row>
    <row r="6230" spans="15:20">
      <c r="O6230" s="247"/>
      <c r="P6230"/>
      <c r="Q6230" s="224"/>
      <c r="S6230" s="202"/>
      <c r="T6230"/>
    </row>
    <row r="6231" spans="15:20">
      <c r="O6231" s="247"/>
      <c r="P6231"/>
      <c r="Q6231" s="224"/>
      <c r="S6231" s="202"/>
      <c r="T6231"/>
    </row>
    <row r="6232" spans="15:20">
      <c r="O6232" s="247"/>
      <c r="P6232"/>
      <c r="Q6232" s="224"/>
      <c r="S6232" s="202"/>
      <c r="T6232"/>
    </row>
    <row r="6233" spans="15:20">
      <c r="O6233" s="247"/>
      <c r="P6233"/>
      <c r="Q6233" s="224"/>
      <c r="S6233" s="202"/>
      <c r="T6233"/>
    </row>
    <row r="6234" spans="15:20">
      <c r="O6234" s="247"/>
      <c r="P6234"/>
      <c r="Q6234" s="224"/>
      <c r="S6234" s="202"/>
      <c r="T6234"/>
    </row>
    <row r="6235" spans="15:20">
      <c r="O6235" s="247"/>
      <c r="P6235"/>
      <c r="Q6235" s="224"/>
      <c r="S6235" s="202"/>
      <c r="T6235"/>
    </row>
    <row r="6236" spans="15:20">
      <c r="O6236" s="247"/>
      <c r="P6236"/>
      <c r="Q6236" s="224"/>
      <c r="S6236" s="202"/>
      <c r="T6236"/>
    </row>
    <row r="6237" spans="15:20">
      <c r="O6237" s="247"/>
      <c r="P6237"/>
      <c r="Q6237" s="224"/>
      <c r="S6237" s="202"/>
      <c r="T6237"/>
    </row>
    <row r="6238" spans="15:20">
      <c r="O6238" s="247"/>
      <c r="P6238"/>
      <c r="Q6238" s="224"/>
      <c r="S6238" s="202"/>
      <c r="T6238"/>
    </row>
    <row r="6239" spans="15:20">
      <c r="O6239" s="247"/>
      <c r="P6239"/>
      <c r="Q6239" s="224"/>
      <c r="S6239" s="202"/>
      <c r="T6239"/>
    </row>
    <row r="6240" spans="15:20">
      <c r="O6240" s="247"/>
      <c r="P6240"/>
      <c r="Q6240" s="224"/>
      <c r="S6240" s="202"/>
      <c r="T6240"/>
    </row>
    <row r="6241" spans="15:20">
      <c r="O6241" s="247"/>
      <c r="P6241"/>
      <c r="Q6241" s="224"/>
      <c r="S6241" s="202"/>
      <c r="T6241"/>
    </row>
    <row r="6242" spans="15:20">
      <c r="O6242" s="247"/>
      <c r="P6242"/>
      <c r="Q6242" s="224"/>
      <c r="S6242" s="202"/>
      <c r="T6242"/>
    </row>
    <row r="6243" spans="15:20">
      <c r="O6243" s="247"/>
      <c r="P6243"/>
      <c r="Q6243" s="224"/>
      <c r="S6243" s="202"/>
      <c r="T6243"/>
    </row>
    <row r="6244" spans="15:20">
      <c r="O6244" s="247"/>
      <c r="P6244"/>
      <c r="Q6244" s="224"/>
      <c r="S6244" s="202"/>
      <c r="T6244"/>
    </row>
    <row r="6245" spans="15:20">
      <c r="O6245" s="247"/>
      <c r="P6245"/>
      <c r="Q6245" s="224"/>
      <c r="S6245" s="202"/>
      <c r="T6245"/>
    </row>
    <row r="6246" spans="15:20">
      <c r="O6246" s="247"/>
      <c r="P6246"/>
      <c r="Q6246" s="224"/>
      <c r="S6246" s="202"/>
      <c r="T6246"/>
    </row>
    <row r="6247" spans="15:20">
      <c r="O6247" s="247"/>
      <c r="P6247"/>
      <c r="Q6247" s="224"/>
      <c r="S6247" s="202"/>
      <c r="T6247"/>
    </row>
    <row r="6248" spans="15:20">
      <c r="O6248" s="247"/>
      <c r="P6248"/>
      <c r="Q6248" s="224"/>
      <c r="S6248" s="202"/>
      <c r="T6248"/>
    </row>
    <row r="6249" spans="15:20">
      <c r="O6249" s="247"/>
      <c r="P6249"/>
      <c r="Q6249" s="224"/>
      <c r="S6249" s="202"/>
      <c r="T6249"/>
    </row>
    <row r="6250" spans="15:20">
      <c r="O6250" s="247"/>
      <c r="P6250"/>
      <c r="Q6250" s="224"/>
      <c r="S6250" s="202"/>
      <c r="T6250"/>
    </row>
    <row r="6251" spans="15:20">
      <c r="O6251" s="247"/>
      <c r="P6251"/>
      <c r="Q6251" s="224"/>
      <c r="S6251" s="202"/>
      <c r="T6251"/>
    </row>
    <row r="6252" spans="15:20">
      <c r="O6252" s="247"/>
      <c r="P6252"/>
      <c r="Q6252" s="224"/>
      <c r="S6252" s="202"/>
      <c r="T6252"/>
    </row>
    <row r="6253" spans="15:20">
      <c r="O6253" s="247"/>
      <c r="P6253"/>
      <c r="Q6253" s="224"/>
      <c r="S6253" s="202"/>
      <c r="T6253"/>
    </row>
    <row r="6254" spans="15:20">
      <c r="O6254" s="247"/>
      <c r="P6254"/>
      <c r="Q6254" s="224"/>
      <c r="S6254" s="202"/>
      <c r="T6254"/>
    </row>
    <row r="6255" spans="15:20">
      <c r="O6255" s="247"/>
      <c r="P6255"/>
      <c r="Q6255" s="224"/>
      <c r="S6255" s="202"/>
      <c r="T6255"/>
    </row>
    <row r="6256" spans="15:20">
      <c r="O6256" s="247"/>
      <c r="P6256"/>
      <c r="Q6256" s="224"/>
      <c r="S6256" s="202"/>
      <c r="T6256"/>
    </row>
    <row r="6257" spans="15:20">
      <c r="O6257" s="247"/>
      <c r="P6257"/>
      <c r="Q6257" s="224"/>
      <c r="S6257" s="202"/>
      <c r="T6257"/>
    </row>
    <row r="6258" spans="15:20">
      <c r="O6258" s="247"/>
      <c r="P6258"/>
      <c r="Q6258" s="224"/>
      <c r="S6258" s="202"/>
      <c r="T6258"/>
    </row>
    <row r="6259" spans="15:20">
      <c r="O6259" s="247"/>
      <c r="P6259"/>
      <c r="Q6259" s="224"/>
      <c r="S6259" s="202"/>
      <c r="T6259"/>
    </row>
    <row r="6260" spans="15:20">
      <c r="O6260" s="247"/>
      <c r="P6260"/>
      <c r="Q6260" s="224"/>
      <c r="S6260" s="202"/>
      <c r="T6260"/>
    </row>
    <row r="6261" spans="15:20">
      <c r="O6261" s="247"/>
      <c r="P6261"/>
      <c r="Q6261" s="224"/>
      <c r="S6261" s="202"/>
      <c r="T6261"/>
    </row>
    <row r="6262" spans="15:20">
      <c r="O6262" s="247"/>
      <c r="P6262"/>
      <c r="Q6262" s="224"/>
      <c r="S6262" s="202"/>
      <c r="T6262"/>
    </row>
    <row r="6263" spans="15:20">
      <c r="O6263" s="247"/>
      <c r="P6263"/>
      <c r="Q6263" s="224"/>
      <c r="S6263" s="202"/>
      <c r="T6263"/>
    </row>
    <row r="6264" spans="15:20">
      <c r="O6264" s="247"/>
      <c r="P6264"/>
      <c r="Q6264" s="224"/>
      <c r="S6264" s="202"/>
      <c r="T6264"/>
    </row>
    <row r="6265" spans="15:20">
      <c r="O6265" s="247"/>
      <c r="P6265"/>
      <c r="Q6265" s="224"/>
      <c r="S6265" s="202"/>
      <c r="T6265"/>
    </row>
    <row r="6266" spans="15:20">
      <c r="O6266" s="247"/>
      <c r="P6266"/>
      <c r="Q6266" s="224"/>
      <c r="S6266" s="202"/>
      <c r="T6266"/>
    </row>
    <row r="6267" spans="15:20">
      <c r="O6267" s="247"/>
      <c r="P6267"/>
      <c r="Q6267" s="224"/>
      <c r="S6267" s="202"/>
      <c r="T6267"/>
    </row>
    <row r="6268" spans="15:20">
      <c r="O6268" s="247"/>
      <c r="P6268"/>
      <c r="Q6268" s="224"/>
      <c r="S6268" s="202"/>
      <c r="T6268"/>
    </row>
    <row r="6269" spans="15:20">
      <c r="O6269" s="247"/>
      <c r="P6269"/>
      <c r="Q6269" s="224"/>
      <c r="S6269" s="202"/>
      <c r="T6269"/>
    </row>
    <row r="6270" spans="15:20">
      <c r="O6270" s="247"/>
      <c r="P6270"/>
      <c r="Q6270" s="224"/>
      <c r="S6270" s="202"/>
      <c r="T6270"/>
    </row>
    <row r="6271" spans="15:20">
      <c r="O6271" s="247"/>
      <c r="P6271"/>
      <c r="Q6271" s="224"/>
      <c r="S6271" s="202"/>
      <c r="T6271"/>
    </row>
    <row r="6272" spans="15:20">
      <c r="O6272" s="247"/>
      <c r="P6272"/>
      <c r="Q6272" s="224"/>
      <c r="S6272" s="202"/>
      <c r="T6272"/>
    </row>
    <row r="6273" spans="15:20">
      <c r="O6273" s="247"/>
      <c r="P6273"/>
      <c r="Q6273" s="224"/>
      <c r="S6273" s="202"/>
      <c r="T6273"/>
    </row>
    <row r="6274" spans="15:20">
      <c r="O6274" s="247"/>
      <c r="P6274"/>
      <c r="Q6274" s="224"/>
      <c r="S6274" s="202"/>
      <c r="T6274"/>
    </row>
    <row r="6275" spans="15:20">
      <c r="O6275" s="247"/>
      <c r="P6275"/>
      <c r="Q6275" s="224"/>
      <c r="S6275" s="202"/>
      <c r="T6275"/>
    </row>
    <row r="6276" spans="15:20">
      <c r="O6276" s="247"/>
      <c r="P6276"/>
      <c r="Q6276" s="224"/>
      <c r="S6276" s="202"/>
      <c r="T6276"/>
    </row>
    <row r="6277" spans="15:20">
      <c r="O6277" s="247"/>
      <c r="P6277"/>
      <c r="Q6277" s="224"/>
      <c r="S6277" s="202"/>
      <c r="T6277"/>
    </row>
    <row r="6278" spans="15:20">
      <c r="O6278" s="247"/>
      <c r="P6278"/>
      <c r="Q6278" s="224"/>
      <c r="S6278" s="202"/>
      <c r="T6278"/>
    </row>
    <row r="6279" spans="15:20">
      <c r="O6279" s="247"/>
      <c r="P6279"/>
      <c r="Q6279" s="224"/>
      <c r="S6279" s="202"/>
      <c r="T6279"/>
    </row>
    <row r="6280" spans="15:20">
      <c r="O6280" s="247"/>
      <c r="P6280"/>
      <c r="Q6280" s="224"/>
      <c r="S6280" s="202"/>
      <c r="T6280"/>
    </row>
    <row r="6281" spans="15:20">
      <c r="O6281" s="247"/>
      <c r="P6281"/>
      <c r="Q6281" s="224"/>
      <c r="S6281" s="202"/>
      <c r="T6281"/>
    </row>
    <row r="6282" spans="15:20">
      <c r="O6282" s="247"/>
      <c r="P6282"/>
      <c r="Q6282" s="224"/>
      <c r="S6282" s="202"/>
      <c r="T6282"/>
    </row>
    <row r="6283" spans="15:20">
      <c r="O6283" s="247"/>
      <c r="P6283"/>
      <c r="Q6283" s="224"/>
      <c r="S6283" s="202"/>
      <c r="T6283"/>
    </row>
    <row r="6284" spans="15:20">
      <c r="O6284" s="247"/>
      <c r="P6284"/>
      <c r="Q6284" s="224"/>
      <c r="S6284" s="202"/>
      <c r="T6284"/>
    </row>
    <row r="6285" spans="15:20">
      <c r="O6285" s="247"/>
      <c r="P6285"/>
      <c r="Q6285" s="224"/>
      <c r="S6285" s="202"/>
      <c r="T6285"/>
    </row>
    <row r="6286" spans="15:20">
      <c r="O6286" s="247"/>
      <c r="P6286"/>
      <c r="Q6286" s="224"/>
      <c r="S6286" s="202"/>
      <c r="T6286"/>
    </row>
    <row r="6287" spans="15:20">
      <c r="O6287" s="247"/>
      <c r="P6287"/>
      <c r="Q6287" s="224"/>
      <c r="S6287" s="202"/>
      <c r="T6287"/>
    </row>
    <row r="6288" spans="15:20">
      <c r="O6288" s="247"/>
      <c r="P6288"/>
      <c r="Q6288" s="224"/>
      <c r="S6288" s="202"/>
      <c r="T6288"/>
    </row>
    <row r="6289" spans="15:20">
      <c r="O6289" s="247"/>
      <c r="P6289"/>
      <c r="Q6289" s="224"/>
      <c r="S6289" s="202"/>
      <c r="T6289"/>
    </row>
    <row r="6290" spans="15:20">
      <c r="O6290" s="247"/>
      <c r="P6290"/>
      <c r="Q6290" s="224"/>
      <c r="S6290" s="202"/>
      <c r="T6290"/>
    </row>
    <row r="6291" spans="15:20">
      <c r="O6291" s="247"/>
      <c r="P6291"/>
      <c r="Q6291" s="224"/>
      <c r="S6291" s="202"/>
      <c r="T6291"/>
    </row>
    <row r="6292" spans="15:20">
      <c r="O6292" s="247"/>
      <c r="P6292"/>
      <c r="Q6292" s="224"/>
      <c r="S6292" s="202"/>
      <c r="T6292"/>
    </row>
    <row r="6293" spans="15:20">
      <c r="O6293" s="247"/>
      <c r="P6293"/>
      <c r="Q6293" s="224"/>
      <c r="S6293" s="202"/>
      <c r="T6293"/>
    </row>
    <row r="6294" spans="15:20">
      <c r="O6294" s="247"/>
      <c r="P6294"/>
      <c r="Q6294" s="224"/>
      <c r="S6294" s="202"/>
      <c r="T6294"/>
    </row>
    <row r="6295" spans="15:20">
      <c r="O6295" s="247"/>
      <c r="P6295"/>
      <c r="Q6295" s="224"/>
      <c r="S6295" s="202"/>
      <c r="T6295"/>
    </row>
    <row r="6296" spans="15:20">
      <c r="O6296" s="247"/>
      <c r="P6296"/>
      <c r="Q6296" s="224"/>
      <c r="S6296" s="202"/>
      <c r="T6296"/>
    </row>
    <row r="6297" spans="15:20">
      <c r="O6297" s="247"/>
      <c r="P6297"/>
      <c r="Q6297" s="224"/>
      <c r="S6297" s="202"/>
      <c r="T6297"/>
    </row>
    <row r="6298" spans="15:20">
      <c r="O6298" s="247"/>
      <c r="P6298"/>
      <c r="Q6298" s="224"/>
      <c r="S6298" s="202"/>
      <c r="T6298"/>
    </row>
    <row r="6299" spans="15:20">
      <c r="O6299" s="247"/>
      <c r="P6299"/>
      <c r="Q6299" s="224"/>
      <c r="S6299" s="202"/>
      <c r="T6299"/>
    </row>
    <row r="6300" spans="15:20">
      <c r="O6300" s="247"/>
      <c r="P6300"/>
      <c r="Q6300" s="224"/>
      <c r="S6300" s="202"/>
      <c r="T6300"/>
    </row>
    <row r="6301" spans="15:20">
      <c r="O6301" s="247"/>
      <c r="P6301"/>
      <c r="Q6301" s="224"/>
      <c r="S6301" s="202"/>
      <c r="T6301"/>
    </row>
    <row r="6302" spans="15:20">
      <c r="O6302" s="247"/>
      <c r="P6302"/>
      <c r="Q6302" s="224"/>
      <c r="S6302" s="202"/>
      <c r="T6302"/>
    </row>
    <row r="6303" spans="15:20">
      <c r="O6303" s="247"/>
      <c r="P6303"/>
      <c r="Q6303" s="224"/>
      <c r="S6303" s="202"/>
      <c r="T6303"/>
    </row>
    <row r="6304" spans="15:20">
      <c r="O6304" s="247"/>
      <c r="P6304"/>
      <c r="Q6304" s="224"/>
      <c r="S6304" s="202"/>
      <c r="T6304"/>
    </row>
    <row r="6305" spans="15:20">
      <c r="O6305" s="247"/>
      <c r="P6305"/>
      <c r="Q6305" s="224"/>
      <c r="S6305" s="202"/>
      <c r="T6305"/>
    </row>
    <row r="6306" spans="15:20">
      <c r="O6306" s="247"/>
      <c r="P6306"/>
      <c r="Q6306" s="224"/>
      <c r="S6306" s="202"/>
      <c r="T6306"/>
    </row>
    <row r="6307" spans="15:20">
      <c r="O6307" s="247"/>
      <c r="P6307"/>
      <c r="Q6307" s="224"/>
      <c r="S6307" s="202"/>
      <c r="T6307"/>
    </row>
    <row r="6308" spans="15:20">
      <c r="O6308" s="247"/>
      <c r="P6308"/>
      <c r="Q6308" s="224"/>
      <c r="S6308" s="202"/>
      <c r="T6308"/>
    </row>
    <row r="6309" spans="15:20">
      <c r="O6309" s="247"/>
      <c r="P6309"/>
      <c r="Q6309" s="224"/>
      <c r="S6309" s="202"/>
      <c r="T6309"/>
    </row>
    <row r="6310" spans="15:20">
      <c r="O6310" s="247"/>
      <c r="P6310"/>
      <c r="Q6310" s="224"/>
      <c r="S6310" s="202"/>
      <c r="T6310"/>
    </row>
    <row r="6311" spans="15:20">
      <c r="O6311" s="247"/>
      <c r="P6311"/>
      <c r="Q6311" s="224"/>
      <c r="S6311" s="202"/>
      <c r="T6311"/>
    </row>
    <row r="6312" spans="15:20">
      <c r="O6312" s="247"/>
      <c r="P6312"/>
      <c r="Q6312" s="224"/>
      <c r="S6312" s="202"/>
      <c r="T6312"/>
    </row>
    <row r="6313" spans="15:20">
      <c r="O6313" s="247"/>
      <c r="P6313"/>
      <c r="Q6313" s="224"/>
      <c r="S6313" s="202"/>
      <c r="T6313"/>
    </row>
    <row r="6314" spans="15:20">
      <c r="O6314" s="247"/>
      <c r="P6314"/>
      <c r="Q6314" s="224"/>
      <c r="S6314" s="202"/>
      <c r="T6314"/>
    </row>
    <row r="6315" spans="15:20">
      <c r="O6315" s="247"/>
      <c r="P6315"/>
      <c r="Q6315" s="224"/>
      <c r="S6315" s="202"/>
      <c r="T6315"/>
    </row>
    <row r="6316" spans="15:20">
      <c r="O6316" s="247"/>
      <c r="P6316"/>
      <c r="Q6316" s="224"/>
      <c r="S6316" s="202"/>
      <c r="T6316"/>
    </row>
    <row r="6317" spans="15:20">
      <c r="O6317" s="247"/>
      <c r="P6317"/>
      <c r="Q6317" s="224"/>
      <c r="S6317" s="202"/>
      <c r="T6317"/>
    </row>
    <row r="6318" spans="15:20">
      <c r="O6318" s="247"/>
      <c r="P6318"/>
      <c r="Q6318" s="224"/>
      <c r="S6318" s="202"/>
      <c r="T6318"/>
    </row>
    <row r="6319" spans="15:20">
      <c r="O6319" s="247"/>
      <c r="P6319"/>
      <c r="Q6319" s="224"/>
      <c r="S6319" s="202"/>
      <c r="T6319"/>
    </row>
    <row r="6320" spans="15:20">
      <c r="O6320" s="247"/>
      <c r="P6320"/>
      <c r="Q6320" s="224"/>
      <c r="S6320" s="202"/>
      <c r="T6320"/>
    </row>
    <row r="6321" spans="15:20">
      <c r="O6321" s="247"/>
      <c r="P6321"/>
      <c r="Q6321" s="224"/>
      <c r="S6321" s="202"/>
      <c r="T6321"/>
    </row>
    <row r="6322" spans="15:20">
      <c r="O6322" s="247"/>
      <c r="P6322"/>
      <c r="Q6322" s="224"/>
      <c r="S6322" s="202"/>
      <c r="T6322"/>
    </row>
    <row r="6323" spans="15:20">
      <c r="O6323" s="247"/>
      <c r="P6323"/>
      <c r="Q6323" s="224"/>
      <c r="S6323" s="202"/>
      <c r="T6323"/>
    </row>
    <row r="6324" spans="15:20">
      <c r="O6324" s="247"/>
      <c r="P6324"/>
      <c r="Q6324" s="224"/>
      <c r="S6324" s="202"/>
      <c r="T6324"/>
    </row>
    <row r="6325" spans="15:20">
      <c r="O6325" s="247"/>
      <c r="P6325"/>
      <c r="Q6325" s="224"/>
      <c r="S6325" s="202"/>
      <c r="T6325"/>
    </row>
    <row r="6326" spans="15:20">
      <c r="O6326" s="247"/>
      <c r="P6326"/>
      <c r="Q6326" s="224"/>
      <c r="S6326" s="202"/>
      <c r="T6326"/>
    </row>
    <row r="6327" spans="15:20">
      <c r="O6327" s="247"/>
      <c r="P6327"/>
      <c r="Q6327" s="224"/>
      <c r="S6327" s="202"/>
      <c r="T6327"/>
    </row>
    <row r="6328" spans="15:20">
      <c r="O6328" s="247"/>
      <c r="P6328"/>
      <c r="Q6328" s="224"/>
      <c r="S6328" s="202"/>
      <c r="T6328"/>
    </row>
    <row r="6329" spans="15:20">
      <c r="O6329" s="247"/>
      <c r="P6329"/>
      <c r="Q6329" s="224"/>
      <c r="S6329" s="202"/>
      <c r="T6329"/>
    </row>
    <row r="6330" spans="15:20">
      <c r="O6330" s="247"/>
      <c r="P6330"/>
      <c r="Q6330" s="224"/>
      <c r="S6330" s="202"/>
      <c r="T6330"/>
    </row>
    <row r="6331" spans="15:20">
      <c r="O6331" s="247"/>
      <c r="P6331"/>
      <c r="Q6331" s="224"/>
      <c r="S6331" s="202"/>
      <c r="T6331"/>
    </row>
    <row r="6332" spans="15:20">
      <c r="O6332" s="247"/>
      <c r="P6332"/>
      <c r="Q6332" s="224"/>
      <c r="S6332" s="202"/>
      <c r="T6332"/>
    </row>
    <row r="6333" spans="15:20">
      <c r="O6333" s="247"/>
      <c r="P6333"/>
      <c r="Q6333" s="224"/>
      <c r="S6333" s="202"/>
      <c r="T6333"/>
    </row>
    <row r="6334" spans="15:20">
      <c r="O6334" s="247"/>
      <c r="P6334"/>
      <c r="Q6334" s="224"/>
      <c r="S6334" s="202"/>
      <c r="T6334"/>
    </row>
    <row r="6335" spans="15:20">
      <c r="O6335" s="247"/>
      <c r="P6335"/>
      <c r="Q6335" s="224"/>
      <c r="S6335" s="202"/>
      <c r="T6335"/>
    </row>
    <row r="6336" spans="15:20">
      <c r="O6336" s="247"/>
      <c r="P6336"/>
      <c r="Q6336" s="224"/>
      <c r="S6336" s="202"/>
      <c r="T6336"/>
    </row>
    <row r="6337" spans="15:20">
      <c r="O6337" s="247"/>
      <c r="P6337"/>
      <c r="Q6337" s="224"/>
      <c r="S6337" s="202"/>
      <c r="T6337"/>
    </row>
    <row r="6338" spans="15:20">
      <c r="O6338" s="247"/>
      <c r="P6338"/>
      <c r="Q6338" s="224"/>
      <c r="S6338" s="202"/>
      <c r="T6338"/>
    </row>
    <row r="6339" spans="15:20">
      <c r="O6339" s="247"/>
      <c r="P6339"/>
      <c r="Q6339" s="224"/>
      <c r="S6339" s="202"/>
      <c r="T6339"/>
    </row>
    <row r="6340" spans="15:20">
      <c r="O6340" s="247"/>
      <c r="P6340"/>
      <c r="Q6340" s="224"/>
      <c r="S6340" s="202"/>
      <c r="T6340"/>
    </row>
    <row r="6341" spans="15:20">
      <c r="O6341" s="247"/>
      <c r="P6341"/>
      <c r="Q6341" s="224"/>
      <c r="S6341" s="202"/>
      <c r="T6341"/>
    </row>
    <row r="6342" spans="15:20">
      <c r="O6342" s="247"/>
      <c r="P6342"/>
      <c r="Q6342" s="224"/>
      <c r="S6342" s="202"/>
      <c r="T6342"/>
    </row>
    <row r="6343" spans="15:20">
      <c r="O6343" s="247"/>
      <c r="P6343"/>
      <c r="Q6343" s="224"/>
      <c r="S6343" s="202"/>
      <c r="T6343"/>
    </row>
    <row r="6344" spans="15:20">
      <c r="O6344" s="247"/>
      <c r="P6344"/>
      <c r="Q6344" s="224"/>
      <c r="S6344" s="202"/>
      <c r="T6344"/>
    </row>
    <row r="6345" spans="15:20">
      <c r="O6345" s="247"/>
      <c r="P6345"/>
      <c r="Q6345" s="224"/>
      <c r="S6345" s="202"/>
      <c r="T6345"/>
    </row>
    <row r="6346" spans="15:20">
      <c r="O6346" s="247"/>
      <c r="P6346"/>
      <c r="Q6346" s="224"/>
      <c r="S6346" s="202"/>
      <c r="T6346"/>
    </row>
    <row r="6347" spans="15:20">
      <c r="O6347" s="247"/>
      <c r="P6347"/>
      <c r="Q6347" s="224"/>
      <c r="S6347" s="202"/>
      <c r="T6347"/>
    </row>
    <row r="6348" spans="15:20">
      <c r="O6348" s="247"/>
      <c r="P6348"/>
      <c r="Q6348" s="224"/>
      <c r="S6348" s="202"/>
      <c r="T6348"/>
    </row>
    <row r="6349" spans="15:20">
      <c r="O6349" s="247"/>
      <c r="P6349"/>
      <c r="Q6349" s="224"/>
      <c r="S6349" s="202"/>
      <c r="T6349"/>
    </row>
    <row r="6350" spans="15:20">
      <c r="O6350" s="247"/>
      <c r="P6350"/>
      <c r="Q6350" s="224"/>
      <c r="S6350" s="202"/>
      <c r="T6350"/>
    </row>
    <row r="6351" spans="15:20">
      <c r="O6351" s="247"/>
      <c r="P6351"/>
      <c r="Q6351" s="224"/>
      <c r="S6351" s="202"/>
      <c r="T6351"/>
    </row>
    <row r="6352" spans="15:20">
      <c r="O6352" s="247"/>
      <c r="P6352"/>
      <c r="Q6352" s="224"/>
      <c r="S6352" s="202"/>
      <c r="T6352"/>
    </row>
    <row r="6353" spans="15:20">
      <c r="O6353" s="247"/>
      <c r="P6353"/>
      <c r="Q6353" s="224"/>
      <c r="S6353" s="202"/>
      <c r="T6353"/>
    </row>
    <row r="6354" spans="15:20">
      <c r="O6354" s="247"/>
      <c r="P6354"/>
      <c r="Q6354" s="224"/>
      <c r="S6354" s="202"/>
      <c r="T6354"/>
    </row>
    <row r="6355" spans="15:20">
      <c r="O6355" s="247"/>
      <c r="P6355"/>
      <c r="Q6355" s="224"/>
      <c r="S6355" s="202"/>
      <c r="T6355"/>
    </row>
    <row r="6356" spans="15:20">
      <c r="O6356" s="247"/>
      <c r="P6356"/>
      <c r="Q6356" s="224"/>
      <c r="S6356" s="202"/>
      <c r="T6356"/>
    </row>
    <row r="6357" spans="15:20">
      <c r="O6357" s="247"/>
      <c r="P6357"/>
      <c r="Q6357" s="224"/>
      <c r="S6357" s="202"/>
      <c r="T6357"/>
    </row>
    <row r="6358" spans="15:20">
      <c r="O6358" s="247"/>
      <c r="P6358"/>
      <c r="Q6358" s="224"/>
      <c r="S6358" s="202"/>
      <c r="T6358"/>
    </row>
    <row r="6359" spans="15:20">
      <c r="O6359" s="247"/>
      <c r="P6359"/>
      <c r="Q6359" s="224"/>
      <c r="S6359" s="202"/>
      <c r="T6359"/>
    </row>
    <row r="6360" spans="15:20">
      <c r="O6360" s="247"/>
      <c r="P6360"/>
      <c r="Q6360" s="224"/>
      <c r="S6360" s="202"/>
      <c r="T6360"/>
    </row>
    <row r="6361" spans="15:20">
      <c r="O6361" s="247"/>
      <c r="P6361"/>
      <c r="Q6361" s="224"/>
      <c r="S6361" s="202"/>
      <c r="T6361"/>
    </row>
    <row r="6362" spans="15:20">
      <c r="O6362" s="247"/>
      <c r="P6362"/>
      <c r="Q6362" s="224"/>
      <c r="S6362" s="202"/>
      <c r="T6362"/>
    </row>
    <row r="6363" spans="15:20">
      <c r="O6363" s="247"/>
      <c r="P6363"/>
      <c r="Q6363" s="224"/>
      <c r="S6363" s="202"/>
      <c r="T6363"/>
    </row>
    <row r="6364" spans="15:20">
      <c r="O6364" s="247"/>
      <c r="P6364"/>
      <c r="Q6364" s="224"/>
      <c r="S6364" s="202"/>
      <c r="T6364"/>
    </row>
    <row r="6365" spans="15:20">
      <c r="O6365" s="247"/>
      <c r="P6365"/>
      <c r="Q6365" s="224"/>
      <c r="S6365" s="202"/>
      <c r="T6365"/>
    </row>
    <row r="6366" spans="15:20">
      <c r="O6366" s="247"/>
      <c r="P6366"/>
      <c r="Q6366" s="224"/>
      <c r="S6366" s="202"/>
      <c r="T6366"/>
    </row>
    <row r="6367" spans="15:20">
      <c r="O6367" s="247"/>
      <c r="P6367"/>
      <c r="Q6367" s="224"/>
      <c r="S6367" s="202"/>
      <c r="T6367"/>
    </row>
    <row r="6368" spans="15:20">
      <c r="O6368" s="247"/>
      <c r="P6368"/>
      <c r="Q6368" s="224"/>
      <c r="S6368" s="202"/>
      <c r="T6368"/>
    </row>
    <row r="6369" spans="15:20">
      <c r="O6369" s="247"/>
      <c r="P6369"/>
      <c r="Q6369" s="224"/>
      <c r="S6369" s="202"/>
      <c r="T6369"/>
    </row>
    <row r="6370" spans="15:20">
      <c r="O6370" s="247"/>
      <c r="P6370"/>
      <c r="Q6370" s="224"/>
      <c r="S6370" s="202"/>
      <c r="T6370"/>
    </row>
    <row r="6371" spans="15:20">
      <c r="O6371" s="247"/>
      <c r="P6371"/>
      <c r="Q6371" s="224"/>
      <c r="S6371" s="202"/>
      <c r="T6371"/>
    </row>
    <row r="6372" spans="15:20">
      <c r="O6372" s="247"/>
      <c r="P6372"/>
      <c r="Q6372" s="224"/>
      <c r="S6372" s="202"/>
      <c r="T6372"/>
    </row>
    <row r="6373" spans="15:20">
      <c r="O6373" s="247"/>
      <c r="P6373"/>
      <c r="Q6373" s="224"/>
      <c r="S6373" s="202"/>
      <c r="T6373"/>
    </row>
    <row r="6374" spans="15:20">
      <c r="O6374" s="247"/>
      <c r="P6374"/>
      <c r="Q6374" s="224"/>
      <c r="S6374" s="202"/>
      <c r="T6374"/>
    </row>
    <row r="6375" spans="15:20">
      <c r="O6375" s="247"/>
      <c r="P6375"/>
      <c r="Q6375" s="224"/>
      <c r="S6375" s="202"/>
      <c r="T6375"/>
    </row>
    <row r="6376" spans="15:20">
      <c r="O6376" s="247"/>
      <c r="P6376"/>
      <c r="Q6376" s="224"/>
      <c r="S6376" s="202"/>
      <c r="T6376"/>
    </row>
    <row r="6377" spans="15:20">
      <c r="O6377" s="247"/>
      <c r="P6377"/>
      <c r="Q6377" s="224"/>
      <c r="S6377" s="202"/>
      <c r="T6377"/>
    </row>
    <row r="6378" spans="15:20">
      <c r="O6378" s="247"/>
      <c r="P6378"/>
      <c r="Q6378" s="224"/>
      <c r="S6378" s="202"/>
      <c r="T6378"/>
    </row>
    <row r="6379" spans="15:20">
      <c r="O6379" s="247"/>
      <c r="P6379"/>
      <c r="Q6379" s="224"/>
      <c r="S6379" s="202"/>
      <c r="T6379"/>
    </row>
    <row r="6380" spans="15:20">
      <c r="O6380" s="247"/>
      <c r="P6380"/>
      <c r="Q6380" s="224"/>
      <c r="S6380" s="202"/>
      <c r="T6380"/>
    </row>
    <row r="6381" spans="15:20">
      <c r="O6381" s="247"/>
      <c r="P6381"/>
      <c r="Q6381" s="224"/>
      <c r="S6381" s="202"/>
      <c r="T6381"/>
    </row>
    <row r="6382" spans="15:20">
      <c r="O6382" s="247"/>
      <c r="P6382"/>
      <c r="Q6382" s="224"/>
      <c r="S6382" s="202"/>
      <c r="T6382"/>
    </row>
    <row r="6383" spans="15:20">
      <c r="O6383" s="247"/>
      <c r="P6383"/>
      <c r="Q6383" s="224"/>
      <c r="S6383" s="202"/>
      <c r="T6383"/>
    </row>
    <row r="6384" spans="15:20">
      <c r="O6384" s="247"/>
      <c r="P6384"/>
      <c r="Q6384" s="224"/>
      <c r="S6384" s="202"/>
      <c r="T6384"/>
    </row>
    <row r="6385" spans="15:20">
      <c r="O6385" s="247"/>
      <c r="P6385"/>
      <c r="Q6385" s="224"/>
      <c r="S6385" s="202"/>
      <c r="T6385"/>
    </row>
    <row r="6386" spans="15:20">
      <c r="O6386" s="247"/>
      <c r="P6386"/>
      <c r="Q6386" s="224"/>
      <c r="S6386" s="202"/>
      <c r="T6386"/>
    </row>
    <row r="6387" spans="15:20">
      <c r="O6387" s="247"/>
      <c r="P6387"/>
      <c r="Q6387" s="224"/>
      <c r="S6387" s="202"/>
      <c r="T6387"/>
    </row>
    <row r="6388" spans="15:20">
      <c r="O6388" s="247"/>
      <c r="P6388"/>
      <c r="Q6388" s="224"/>
      <c r="S6388" s="202"/>
      <c r="T6388"/>
    </row>
    <row r="6389" spans="15:20">
      <c r="O6389" s="247"/>
      <c r="P6389"/>
      <c r="Q6389" s="224"/>
      <c r="S6389" s="202"/>
      <c r="T6389"/>
    </row>
    <row r="6390" spans="15:20">
      <c r="O6390" s="247"/>
      <c r="P6390"/>
      <c r="Q6390" s="224"/>
      <c r="S6390" s="202"/>
      <c r="T6390"/>
    </row>
    <row r="6391" spans="15:20">
      <c r="O6391" s="247"/>
      <c r="P6391"/>
      <c r="Q6391" s="224"/>
      <c r="S6391" s="202"/>
      <c r="T6391"/>
    </row>
    <row r="6392" spans="15:20">
      <c r="O6392" s="247"/>
      <c r="P6392"/>
      <c r="Q6392" s="224"/>
      <c r="S6392" s="202"/>
      <c r="T6392"/>
    </row>
    <row r="6393" spans="15:20">
      <c r="O6393" s="247"/>
      <c r="P6393"/>
      <c r="Q6393" s="224"/>
      <c r="S6393" s="202"/>
      <c r="T6393"/>
    </row>
    <row r="6394" spans="15:20">
      <c r="O6394" s="247"/>
      <c r="P6394"/>
      <c r="Q6394" s="224"/>
      <c r="S6394" s="202"/>
      <c r="T6394"/>
    </row>
    <row r="6395" spans="15:20">
      <c r="O6395" s="247"/>
      <c r="P6395"/>
      <c r="Q6395" s="224"/>
      <c r="S6395" s="202"/>
      <c r="T6395"/>
    </row>
    <row r="6396" spans="15:20">
      <c r="O6396" s="247"/>
      <c r="P6396"/>
      <c r="Q6396" s="224"/>
      <c r="S6396" s="202"/>
      <c r="T6396"/>
    </row>
    <row r="6397" spans="15:20">
      <c r="O6397" s="247"/>
      <c r="P6397"/>
      <c r="Q6397" s="224"/>
      <c r="S6397" s="202"/>
      <c r="T6397"/>
    </row>
    <row r="6398" spans="15:20">
      <c r="O6398" s="247"/>
      <c r="P6398"/>
      <c r="Q6398" s="224"/>
      <c r="S6398" s="202"/>
      <c r="T6398"/>
    </row>
    <row r="6399" spans="15:20">
      <c r="O6399" s="247"/>
      <c r="P6399"/>
      <c r="Q6399" s="224"/>
      <c r="S6399" s="202"/>
      <c r="T6399"/>
    </row>
    <row r="6400" spans="15:20">
      <c r="O6400" s="247"/>
      <c r="P6400"/>
      <c r="Q6400" s="224"/>
      <c r="S6400" s="202"/>
      <c r="T6400"/>
    </row>
    <row r="6401" spans="15:20">
      <c r="O6401" s="247"/>
      <c r="P6401"/>
      <c r="Q6401" s="224"/>
      <c r="S6401" s="202"/>
      <c r="T6401"/>
    </row>
    <row r="6402" spans="15:20">
      <c r="O6402" s="247"/>
      <c r="P6402"/>
      <c r="Q6402" s="224"/>
      <c r="S6402" s="202"/>
      <c r="T6402"/>
    </row>
    <row r="6403" spans="15:20">
      <c r="O6403" s="247"/>
      <c r="P6403"/>
      <c r="Q6403" s="224"/>
      <c r="S6403" s="202"/>
      <c r="T6403"/>
    </row>
    <row r="6404" spans="15:20">
      <c r="O6404" s="247"/>
      <c r="P6404"/>
      <c r="Q6404" s="224"/>
      <c r="S6404" s="202"/>
      <c r="T6404"/>
    </row>
    <row r="6405" spans="15:20">
      <c r="O6405" s="247"/>
      <c r="P6405"/>
      <c r="Q6405" s="224"/>
      <c r="S6405" s="202"/>
      <c r="T6405"/>
    </row>
    <row r="6406" spans="15:20">
      <c r="O6406" s="247"/>
      <c r="P6406"/>
      <c r="Q6406" s="224"/>
      <c r="S6406" s="202"/>
      <c r="T6406"/>
    </row>
    <row r="6407" spans="15:20">
      <c r="O6407" s="247"/>
      <c r="P6407"/>
      <c r="Q6407" s="224"/>
      <c r="S6407" s="202"/>
      <c r="T6407"/>
    </row>
    <row r="6408" spans="15:20">
      <c r="O6408" s="247"/>
      <c r="P6408"/>
      <c r="Q6408" s="224"/>
      <c r="S6408" s="202"/>
      <c r="T6408"/>
    </row>
    <row r="6409" spans="15:20">
      <c r="O6409" s="247"/>
      <c r="P6409"/>
      <c r="Q6409" s="224"/>
      <c r="S6409" s="202"/>
      <c r="T6409"/>
    </row>
    <row r="6410" spans="15:20">
      <c r="O6410" s="247"/>
      <c r="P6410"/>
      <c r="Q6410" s="224"/>
      <c r="S6410" s="202"/>
      <c r="T6410"/>
    </row>
    <row r="6411" spans="15:20">
      <c r="O6411" s="247"/>
      <c r="P6411"/>
      <c r="Q6411" s="224"/>
      <c r="S6411" s="202"/>
      <c r="T6411"/>
    </row>
    <row r="6412" spans="15:20">
      <c r="O6412" s="247"/>
      <c r="P6412"/>
      <c r="Q6412" s="224"/>
      <c r="S6412" s="202"/>
      <c r="T6412"/>
    </row>
    <row r="6413" spans="15:20">
      <c r="O6413" s="247"/>
      <c r="P6413"/>
      <c r="Q6413" s="224"/>
      <c r="S6413" s="202"/>
      <c r="T6413"/>
    </row>
    <row r="6414" spans="15:20">
      <c r="O6414" s="247"/>
      <c r="P6414"/>
      <c r="Q6414" s="224"/>
      <c r="S6414" s="202"/>
      <c r="T6414"/>
    </row>
    <row r="6415" spans="15:20">
      <c r="O6415" s="247"/>
      <c r="P6415"/>
      <c r="Q6415" s="224"/>
      <c r="S6415" s="202"/>
      <c r="T6415"/>
    </row>
    <row r="6416" spans="15:20">
      <c r="O6416" s="247"/>
      <c r="P6416"/>
      <c r="Q6416" s="224"/>
      <c r="S6416" s="202"/>
      <c r="T6416"/>
    </row>
    <row r="6417" spans="15:20">
      <c r="O6417" s="247"/>
      <c r="P6417"/>
      <c r="Q6417" s="224"/>
      <c r="S6417" s="202"/>
      <c r="T6417"/>
    </row>
    <row r="6418" spans="15:20">
      <c r="O6418" s="247"/>
      <c r="P6418"/>
      <c r="Q6418" s="224"/>
      <c r="S6418" s="202"/>
      <c r="T6418"/>
    </row>
    <row r="6419" spans="15:20">
      <c r="O6419" s="247"/>
      <c r="P6419"/>
      <c r="Q6419" s="224"/>
      <c r="S6419" s="202"/>
      <c r="T6419"/>
    </row>
    <row r="6420" spans="15:20">
      <c r="O6420" s="247"/>
      <c r="P6420"/>
      <c r="Q6420" s="224"/>
      <c r="S6420" s="202"/>
      <c r="T6420"/>
    </row>
    <row r="6421" spans="15:20">
      <c r="O6421" s="247"/>
      <c r="P6421"/>
      <c r="Q6421" s="224"/>
      <c r="S6421" s="202"/>
      <c r="T6421"/>
    </row>
    <row r="6422" spans="15:20">
      <c r="O6422" s="247"/>
      <c r="P6422"/>
      <c r="Q6422" s="224"/>
      <c r="S6422" s="202"/>
      <c r="T6422"/>
    </row>
    <row r="6423" spans="15:20">
      <c r="O6423" s="247"/>
      <c r="P6423"/>
      <c r="Q6423" s="224"/>
      <c r="S6423" s="202"/>
      <c r="T6423"/>
    </row>
    <row r="6424" spans="15:20">
      <c r="O6424" s="247"/>
      <c r="P6424"/>
      <c r="Q6424" s="224"/>
      <c r="S6424" s="202"/>
      <c r="T6424"/>
    </row>
    <row r="6425" spans="15:20">
      <c r="O6425" s="247"/>
      <c r="P6425"/>
      <c r="Q6425" s="224"/>
      <c r="S6425" s="202"/>
      <c r="T6425"/>
    </row>
    <row r="6426" spans="15:20">
      <c r="O6426" s="247"/>
      <c r="P6426"/>
      <c r="Q6426" s="224"/>
      <c r="S6426" s="202"/>
      <c r="T6426"/>
    </row>
    <row r="6427" spans="15:20">
      <c r="O6427" s="247"/>
      <c r="P6427"/>
      <c r="Q6427" s="224"/>
      <c r="S6427" s="202"/>
      <c r="T6427"/>
    </row>
    <row r="6428" spans="15:20">
      <c r="O6428" s="247"/>
      <c r="P6428"/>
      <c r="Q6428" s="224"/>
      <c r="S6428" s="202"/>
      <c r="T6428"/>
    </row>
    <row r="6429" spans="15:20">
      <c r="O6429" s="247"/>
      <c r="P6429"/>
      <c r="Q6429" s="224"/>
      <c r="S6429" s="202"/>
      <c r="T6429"/>
    </row>
    <row r="6430" spans="15:20">
      <c r="O6430" s="247"/>
      <c r="P6430"/>
      <c r="Q6430" s="224"/>
      <c r="S6430" s="202"/>
      <c r="T6430"/>
    </row>
    <row r="6431" spans="15:20">
      <c r="O6431" s="247"/>
      <c r="P6431"/>
      <c r="Q6431" s="224"/>
      <c r="S6431" s="202"/>
      <c r="T6431"/>
    </row>
    <row r="6432" spans="15:20">
      <c r="O6432" s="247"/>
      <c r="P6432"/>
      <c r="Q6432" s="224"/>
      <c r="S6432" s="202"/>
      <c r="T6432"/>
    </row>
    <row r="6433" spans="15:20">
      <c r="O6433" s="247"/>
      <c r="P6433"/>
      <c r="Q6433" s="224"/>
      <c r="S6433" s="202"/>
      <c r="T6433"/>
    </row>
    <row r="6434" spans="15:20">
      <c r="O6434" s="247"/>
      <c r="P6434"/>
      <c r="Q6434" s="224"/>
      <c r="S6434" s="202"/>
      <c r="T6434"/>
    </row>
    <row r="6435" spans="15:20">
      <c r="O6435" s="247"/>
      <c r="P6435"/>
      <c r="Q6435" s="224"/>
      <c r="S6435" s="202"/>
      <c r="T6435"/>
    </row>
    <row r="6436" spans="15:20">
      <c r="O6436" s="247"/>
      <c r="P6436"/>
      <c r="Q6436" s="224"/>
      <c r="S6436" s="202"/>
      <c r="T6436"/>
    </row>
    <row r="6437" spans="15:20">
      <c r="O6437" s="247"/>
      <c r="P6437"/>
      <c r="Q6437" s="224"/>
      <c r="S6437" s="202"/>
      <c r="T6437"/>
    </row>
    <row r="6438" spans="15:20">
      <c r="O6438" s="247"/>
      <c r="P6438"/>
      <c r="Q6438" s="224"/>
      <c r="S6438" s="202"/>
      <c r="T6438"/>
    </row>
    <row r="6439" spans="15:20">
      <c r="O6439" s="247"/>
      <c r="P6439"/>
      <c r="Q6439" s="224"/>
      <c r="S6439" s="202"/>
      <c r="T6439"/>
    </row>
    <row r="6440" spans="15:20">
      <c r="O6440" s="247"/>
      <c r="P6440"/>
      <c r="Q6440" s="224"/>
      <c r="S6440" s="202"/>
      <c r="T6440"/>
    </row>
    <row r="6441" spans="15:20">
      <c r="O6441" s="247"/>
      <c r="P6441"/>
      <c r="Q6441" s="224"/>
      <c r="S6441" s="202"/>
      <c r="T6441"/>
    </row>
    <row r="6442" spans="15:20">
      <c r="O6442" s="247"/>
      <c r="P6442"/>
      <c r="Q6442" s="224"/>
      <c r="S6442" s="202"/>
      <c r="T6442"/>
    </row>
    <row r="6443" spans="15:20">
      <c r="O6443" s="247"/>
      <c r="P6443"/>
      <c r="Q6443" s="224"/>
      <c r="S6443" s="202"/>
      <c r="T6443"/>
    </row>
    <row r="6444" spans="15:20">
      <c r="O6444" s="247"/>
      <c r="P6444"/>
      <c r="Q6444" s="224"/>
      <c r="S6444" s="202"/>
      <c r="T6444"/>
    </row>
    <row r="6445" spans="15:20">
      <c r="O6445" s="247"/>
      <c r="P6445"/>
      <c r="Q6445" s="224"/>
      <c r="S6445" s="202"/>
      <c r="T6445"/>
    </row>
    <row r="6446" spans="15:20">
      <c r="O6446" s="247"/>
      <c r="P6446"/>
      <c r="Q6446" s="224"/>
      <c r="S6446" s="202"/>
      <c r="T6446"/>
    </row>
    <row r="6447" spans="15:20">
      <c r="O6447" s="247"/>
      <c r="P6447"/>
      <c r="Q6447" s="224"/>
      <c r="S6447" s="202"/>
      <c r="T6447"/>
    </row>
    <row r="6448" spans="15:20">
      <c r="O6448" s="247"/>
      <c r="P6448"/>
      <c r="Q6448" s="224"/>
      <c r="S6448" s="202"/>
      <c r="T6448"/>
    </row>
    <row r="6449" spans="15:20">
      <c r="O6449" s="247"/>
      <c r="P6449"/>
      <c r="Q6449" s="224"/>
      <c r="S6449" s="202"/>
      <c r="T6449"/>
    </row>
    <row r="6450" spans="15:20">
      <c r="O6450" s="247"/>
      <c r="P6450"/>
      <c r="Q6450" s="224"/>
      <c r="S6450" s="202"/>
      <c r="T6450"/>
    </row>
    <row r="6451" spans="15:20">
      <c r="O6451" s="247"/>
      <c r="P6451"/>
      <c r="Q6451" s="224"/>
      <c r="S6451" s="202"/>
      <c r="T6451"/>
    </row>
    <row r="6452" spans="15:20">
      <c r="O6452" s="247"/>
      <c r="P6452"/>
      <c r="Q6452" s="224"/>
      <c r="S6452" s="202"/>
      <c r="T6452"/>
    </row>
    <row r="6453" spans="15:20">
      <c r="O6453" s="247"/>
      <c r="P6453"/>
      <c r="Q6453" s="224"/>
      <c r="S6453" s="202"/>
      <c r="T6453"/>
    </row>
    <row r="6454" spans="15:20">
      <c r="O6454" s="247"/>
      <c r="P6454"/>
      <c r="Q6454" s="224"/>
      <c r="S6454" s="202"/>
      <c r="T6454"/>
    </row>
    <row r="6455" spans="15:20">
      <c r="O6455" s="247"/>
      <c r="P6455"/>
      <c r="Q6455" s="224"/>
      <c r="S6455" s="202"/>
      <c r="T6455"/>
    </row>
    <row r="6456" spans="15:20">
      <c r="O6456" s="247"/>
      <c r="P6456"/>
      <c r="Q6456" s="224"/>
      <c r="S6456" s="202"/>
      <c r="T6456"/>
    </row>
    <row r="6457" spans="15:20">
      <c r="O6457" s="247"/>
      <c r="P6457"/>
      <c r="Q6457" s="224"/>
      <c r="S6457" s="202"/>
      <c r="T6457"/>
    </row>
    <row r="6458" spans="15:20">
      <c r="O6458" s="247"/>
      <c r="P6458"/>
      <c r="Q6458" s="224"/>
      <c r="S6458" s="202"/>
      <c r="T6458"/>
    </row>
    <row r="6459" spans="15:20">
      <c r="O6459" s="247"/>
      <c r="P6459"/>
      <c r="Q6459" s="224"/>
      <c r="S6459" s="202"/>
      <c r="T6459"/>
    </row>
    <row r="6460" spans="15:20">
      <c r="O6460" s="247"/>
      <c r="P6460"/>
      <c r="Q6460" s="224"/>
      <c r="S6460" s="202"/>
      <c r="T6460"/>
    </row>
    <row r="6461" spans="15:20">
      <c r="O6461" s="247"/>
      <c r="P6461"/>
      <c r="Q6461" s="224"/>
      <c r="S6461" s="202"/>
      <c r="T6461"/>
    </row>
    <row r="6462" spans="15:20">
      <c r="O6462" s="247"/>
      <c r="P6462"/>
      <c r="Q6462" s="224"/>
      <c r="S6462" s="202"/>
      <c r="T6462"/>
    </row>
    <row r="6463" spans="15:20">
      <c r="O6463" s="247"/>
      <c r="P6463"/>
      <c r="Q6463" s="224"/>
      <c r="S6463" s="202"/>
      <c r="T6463"/>
    </row>
    <row r="6464" spans="15:20">
      <c r="O6464" s="247"/>
      <c r="P6464"/>
      <c r="Q6464" s="224"/>
      <c r="S6464" s="202"/>
      <c r="T6464"/>
    </row>
    <row r="6465" spans="15:20">
      <c r="O6465" s="247"/>
      <c r="P6465"/>
      <c r="Q6465" s="224"/>
      <c r="S6465" s="202"/>
      <c r="T6465"/>
    </row>
    <row r="6466" spans="15:20">
      <c r="O6466" s="247"/>
      <c r="P6466"/>
      <c r="Q6466" s="224"/>
      <c r="S6466" s="202"/>
      <c r="T6466"/>
    </row>
    <row r="6467" spans="15:20">
      <c r="O6467" s="247"/>
      <c r="P6467"/>
      <c r="Q6467" s="224"/>
      <c r="S6467" s="202"/>
      <c r="T6467"/>
    </row>
    <row r="6468" spans="15:20">
      <c r="O6468" s="247"/>
      <c r="P6468"/>
      <c r="Q6468" s="224"/>
      <c r="S6468" s="202"/>
      <c r="T6468"/>
    </row>
    <row r="6469" spans="15:20">
      <c r="O6469" s="247"/>
      <c r="P6469"/>
      <c r="Q6469" s="224"/>
      <c r="S6469" s="202"/>
      <c r="T6469"/>
    </row>
    <row r="6470" spans="15:20">
      <c r="O6470" s="247"/>
      <c r="P6470"/>
      <c r="Q6470" s="224"/>
      <c r="S6470" s="202"/>
      <c r="T6470"/>
    </row>
    <row r="6471" spans="15:20">
      <c r="O6471" s="247"/>
      <c r="P6471"/>
      <c r="Q6471" s="224"/>
      <c r="S6471" s="202"/>
      <c r="T6471"/>
    </row>
    <row r="6472" spans="15:20">
      <c r="O6472" s="247"/>
      <c r="P6472"/>
      <c r="Q6472" s="224"/>
      <c r="S6472" s="202"/>
      <c r="T6472"/>
    </row>
    <row r="6473" spans="15:20">
      <c r="O6473" s="247"/>
      <c r="P6473"/>
      <c r="Q6473" s="224"/>
      <c r="S6473" s="202"/>
      <c r="T6473"/>
    </row>
    <row r="6474" spans="15:20">
      <c r="O6474" s="247"/>
      <c r="P6474"/>
      <c r="Q6474" s="224"/>
      <c r="S6474" s="202"/>
      <c r="T6474"/>
    </row>
    <row r="6475" spans="15:20">
      <c r="O6475" s="247"/>
      <c r="P6475"/>
      <c r="Q6475" s="224"/>
      <c r="S6475" s="202"/>
      <c r="T6475"/>
    </row>
    <row r="6476" spans="15:20">
      <c r="O6476" s="247"/>
      <c r="P6476"/>
      <c r="Q6476" s="224"/>
      <c r="S6476" s="202"/>
      <c r="T6476"/>
    </row>
    <row r="6477" spans="15:20">
      <c r="O6477" s="247"/>
      <c r="P6477"/>
      <c r="Q6477" s="224"/>
      <c r="S6477" s="202"/>
      <c r="T6477"/>
    </row>
    <row r="6478" spans="15:20">
      <c r="O6478" s="247"/>
      <c r="P6478"/>
      <c r="Q6478" s="224"/>
      <c r="S6478" s="202"/>
      <c r="T6478"/>
    </row>
    <row r="6479" spans="15:20">
      <c r="O6479" s="247"/>
      <c r="P6479"/>
      <c r="Q6479" s="224"/>
      <c r="S6479" s="202"/>
      <c r="T6479"/>
    </row>
    <row r="6480" spans="15:20">
      <c r="O6480" s="247"/>
      <c r="P6480"/>
      <c r="Q6480" s="224"/>
      <c r="S6480" s="202"/>
      <c r="T6480"/>
    </row>
    <row r="6481" spans="15:20">
      <c r="O6481" s="247"/>
      <c r="P6481"/>
      <c r="Q6481" s="224"/>
      <c r="S6481" s="202"/>
      <c r="T6481"/>
    </row>
    <row r="6482" spans="15:20">
      <c r="O6482" s="247"/>
      <c r="P6482"/>
      <c r="Q6482" s="224"/>
      <c r="S6482" s="202"/>
      <c r="T6482"/>
    </row>
    <row r="6483" spans="15:20">
      <c r="O6483" s="247"/>
      <c r="P6483"/>
      <c r="Q6483" s="224"/>
      <c r="S6483" s="202"/>
      <c r="T6483"/>
    </row>
    <row r="6484" spans="15:20">
      <c r="O6484" s="247"/>
      <c r="P6484"/>
      <c r="Q6484" s="224"/>
      <c r="S6484" s="202"/>
      <c r="T6484"/>
    </row>
    <row r="6485" spans="15:20">
      <c r="O6485" s="247"/>
      <c r="P6485"/>
      <c r="Q6485" s="224"/>
      <c r="S6485" s="202"/>
      <c r="T6485"/>
    </row>
    <row r="6486" spans="15:20">
      <c r="O6486" s="247"/>
      <c r="P6486"/>
      <c r="Q6486" s="224"/>
      <c r="S6486" s="202"/>
      <c r="T6486"/>
    </row>
    <row r="6487" spans="15:20">
      <c r="O6487" s="247"/>
      <c r="P6487"/>
      <c r="Q6487" s="224"/>
      <c r="S6487" s="202"/>
      <c r="T6487"/>
    </row>
    <row r="6488" spans="15:20">
      <c r="O6488" s="247"/>
      <c r="P6488"/>
      <c r="Q6488" s="224"/>
      <c r="S6488" s="202"/>
      <c r="T6488"/>
    </row>
    <row r="6489" spans="15:20">
      <c r="O6489" s="247"/>
      <c r="P6489"/>
      <c r="Q6489" s="224"/>
      <c r="S6489" s="202"/>
      <c r="T6489"/>
    </row>
    <row r="6490" spans="15:20">
      <c r="O6490" s="247"/>
      <c r="P6490"/>
      <c r="Q6490" s="224"/>
      <c r="S6490" s="202"/>
      <c r="T6490"/>
    </row>
    <row r="6491" spans="15:20">
      <c r="O6491" s="247"/>
      <c r="P6491"/>
      <c r="Q6491" s="224"/>
      <c r="S6491" s="202"/>
      <c r="T6491"/>
    </row>
    <row r="6492" spans="15:20">
      <c r="O6492" s="247"/>
      <c r="P6492"/>
      <c r="Q6492" s="224"/>
      <c r="S6492" s="202"/>
      <c r="T6492"/>
    </row>
    <row r="6493" spans="15:20">
      <c r="O6493" s="247"/>
      <c r="P6493"/>
      <c r="Q6493" s="224"/>
      <c r="S6493" s="202"/>
      <c r="T6493"/>
    </row>
    <row r="6494" spans="15:20">
      <c r="O6494" s="247"/>
      <c r="P6494"/>
      <c r="Q6494" s="224"/>
      <c r="S6494" s="202"/>
      <c r="T6494"/>
    </row>
    <row r="6495" spans="15:20">
      <c r="O6495" s="247"/>
      <c r="P6495"/>
      <c r="Q6495" s="224"/>
      <c r="S6495" s="202"/>
      <c r="T6495"/>
    </row>
    <row r="6496" spans="15:20">
      <c r="O6496" s="247"/>
      <c r="P6496"/>
      <c r="Q6496" s="224"/>
      <c r="S6496" s="202"/>
      <c r="T6496"/>
    </row>
    <row r="6497" spans="15:20">
      <c r="O6497" s="247"/>
      <c r="P6497"/>
      <c r="Q6497" s="224"/>
      <c r="S6497" s="202"/>
      <c r="T6497"/>
    </row>
    <row r="6498" spans="15:20">
      <c r="O6498" s="247"/>
      <c r="P6498"/>
      <c r="Q6498" s="224"/>
      <c r="S6498" s="202"/>
      <c r="T6498"/>
    </row>
    <row r="6499" spans="15:20">
      <c r="O6499" s="247"/>
      <c r="P6499"/>
      <c r="Q6499" s="224"/>
      <c r="S6499" s="202"/>
      <c r="T6499"/>
    </row>
    <row r="6500" spans="15:20">
      <c r="O6500" s="247"/>
      <c r="P6500"/>
      <c r="Q6500" s="224"/>
      <c r="S6500" s="202"/>
      <c r="T6500"/>
    </row>
    <row r="6501" spans="15:20">
      <c r="O6501" s="247"/>
      <c r="P6501"/>
      <c r="Q6501" s="224"/>
      <c r="S6501" s="202"/>
      <c r="T6501"/>
    </row>
    <row r="6502" spans="15:20">
      <c r="O6502" s="247"/>
      <c r="P6502"/>
      <c r="Q6502" s="224"/>
      <c r="S6502" s="202"/>
      <c r="T6502"/>
    </row>
    <row r="6503" spans="15:20">
      <c r="O6503" s="247"/>
      <c r="P6503"/>
      <c r="Q6503" s="224"/>
      <c r="S6503" s="202"/>
      <c r="T6503"/>
    </row>
    <row r="6504" spans="15:20">
      <c r="O6504" s="247"/>
      <c r="P6504"/>
      <c r="Q6504" s="224"/>
      <c r="S6504" s="202"/>
      <c r="T6504"/>
    </row>
    <row r="6505" spans="15:20">
      <c r="O6505" s="247"/>
      <c r="P6505"/>
      <c r="Q6505" s="224"/>
      <c r="S6505" s="202"/>
      <c r="T6505"/>
    </row>
    <row r="6506" spans="15:20">
      <c r="O6506" s="247"/>
      <c r="P6506"/>
      <c r="Q6506" s="224"/>
      <c r="S6506" s="202"/>
      <c r="T6506"/>
    </row>
    <row r="6507" spans="15:20">
      <c r="O6507" s="247"/>
      <c r="P6507"/>
      <c r="Q6507" s="224"/>
      <c r="S6507" s="202"/>
      <c r="T6507"/>
    </row>
    <row r="6508" spans="15:20">
      <c r="O6508" s="247"/>
      <c r="P6508"/>
      <c r="Q6508" s="224"/>
      <c r="S6508" s="202"/>
      <c r="T6508"/>
    </row>
    <row r="6509" spans="15:20">
      <c r="O6509" s="247"/>
      <c r="P6509"/>
      <c r="Q6509" s="224"/>
      <c r="S6509" s="202"/>
      <c r="T6509"/>
    </row>
    <row r="6510" spans="15:20">
      <c r="O6510" s="247"/>
      <c r="P6510"/>
      <c r="Q6510" s="224"/>
      <c r="S6510" s="202"/>
      <c r="T6510"/>
    </row>
    <row r="6511" spans="15:20">
      <c r="O6511" s="247"/>
      <c r="P6511"/>
      <c r="Q6511" s="224"/>
      <c r="S6511" s="202"/>
      <c r="T6511"/>
    </row>
    <row r="6512" spans="15:20">
      <c r="O6512" s="247"/>
      <c r="P6512"/>
      <c r="Q6512" s="224"/>
      <c r="S6512" s="202"/>
      <c r="T6512"/>
    </row>
    <row r="6513" spans="15:20">
      <c r="O6513" s="247"/>
      <c r="P6513"/>
      <c r="Q6513" s="224"/>
      <c r="S6513" s="202"/>
      <c r="T6513"/>
    </row>
    <row r="6514" spans="15:20">
      <c r="O6514" s="247"/>
      <c r="P6514"/>
      <c r="Q6514" s="224"/>
      <c r="S6514" s="202"/>
      <c r="T6514"/>
    </row>
    <row r="6515" spans="15:20">
      <c r="O6515" s="247"/>
      <c r="P6515"/>
      <c r="Q6515" s="224"/>
      <c r="S6515" s="202"/>
      <c r="T6515"/>
    </row>
    <row r="6516" spans="15:20">
      <c r="O6516" s="247"/>
      <c r="P6516"/>
      <c r="Q6516" s="224"/>
      <c r="S6516" s="202"/>
      <c r="T6516"/>
    </row>
    <row r="6517" spans="15:20">
      <c r="O6517" s="247"/>
      <c r="P6517"/>
      <c r="Q6517" s="224"/>
      <c r="S6517" s="202"/>
      <c r="T6517"/>
    </row>
    <row r="6518" spans="15:20">
      <c r="O6518" s="247"/>
      <c r="P6518"/>
      <c r="Q6518" s="224"/>
      <c r="S6518" s="202"/>
      <c r="T6518"/>
    </row>
    <row r="6519" spans="15:20">
      <c r="O6519" s="247"/>
      <c r="P6519"/>
      <c r="Q6519" s="224"/>
      <c r="S6519" s="202"/>
      <c r="T6519"/>
    </row>
    <row r="6520" spans="15:20">
      <c r="O6520" s="247"/>
      <c r="P6520"/>
      <c r="Q6520" s="224"/>
      <c r="S6520" s="202"/>
      <c r="T6520"/>
    </row>
    <row r="6521" spans="15:20">
      <c r="O6521" s="247"/>
      <c r="P6521"/>
      <c r="Q6521" s="224"/>
      <c r="S6521" s="202"/>
      <c r="T6521"/>
    </row>
    <row r="6522" spans="15:20">
      <c r="O6522" s="247"/>
      <c r="P6522"/>
      <c r="Q6522" s="224"/>
      <c r="S6522" s="202"/>
      <c r="T6522"/>
    </row>
    <row r="6523" spans="15:20">
      <c r="O6523" s="247"/>
      <c r="P6523"/>
      <c r="Q6523" s="224"/>
      <c r="S6523" s="202"/>
      <c r="T6523"/>
    </row>
    <row r="6524" spans="15:20">
      <c r="O6524" s="247"/>
      <c r="P6524"/>
      <c r="Q6524" s="224"/>
      <c r="S6524" s="202"/>
      <c r="T6524"/>
    </row>
    <row r="6525" spans="15:20">
      <c r="O6525" s="247"/>
      <c r="P6525"/>
      <c r="Q6525" s="224"/>
      <c r="S6525" s="202"/>
      <c r="T6525"/>
    </row>
    <row r="6526" spans="15:20">
      <c r="O6526" s="247"/>
      <c r="P6526"/>
      <c r="Q6526" s="224"/>
      <c r="S6526" s="202"/>
      <c r="T6526"/>
    </row>
    <row r="6527" spans="15:20">
      <c r="O6527" s="247"/>
      <c r="P6527"/>
      <c r="Q6527" s="224"/>
      <c r="S6527" s="202"/>
      <c r="T6527"/>
    </row>
    <row r="6528" spans="15:20">
      <c r="O6528" s="247"/>
      <c r="P6528"/>
      <c r="Q6528" s="224"/>
      <c r="S6528" s="202"/>
      <c r="T6528"/>
    </row>
    <row r="6529" spans="15:20">
      <c r="O6529" s="247"/>
      <c r="P6529"/>
      <c r="Q6529" s="224"/>
      <c r="S6529" s="202"/>
      <c r="T6529"/>
    </row>
    <row r="6530" spans="15:20">
      <c r="O6530" s="247"/>
      <c r="P6530"/>
      <c r="Q6530" s="224"/>
      <c r="S6530" s="202"/>
      <c r="T6530"/>
    </row>
    <row r="6531" spans="15:20">
      <c r="O6531" s="247"/>
      <c r="P6531"/>
      <c r="Q6531" s="224"/>
      <c r="S6531" s="202"/>
      <c r="T6531"/>
    </row>
    <row r="6532" spans="15:20">
      <c r="O6532" s="247"/>
      <c r="P6532"/>
      <c r="Q6532" s="224"/>
      <c r="S6532" s="202"/>
      <c r="T6532"/>
    </row>
    <row r="6533" spans="15:20">
      <c r="O6533" s="247"/>
      <c r="P6533"/>
      <c r="Q6533" s="224"/>
      <c r="S6533" s="202"/>
      <c r="T6533"/>
    </row>
    <row r="6534" spans="15:20">
      <c r="O6534" s="247"/>
      <c r="P6534"/>
      <c r="Q6534" s="224"/>
      <c r="S6534" s="202"/>
      <c r="T6534"/>
    </row>
    <row r="6535" spans="15:20">
      <c r="O6535" s="247"/>
      <c r="P6535"/>
      <c r="Q6535" s="224"/>
      <c r="S6535" s="202"/>
      <c r="T6535"/>
    </row>
    <row r="6536" spans="15:20">
      <c r="O6536" s="247"/>
      <c r="P6536"/>
      <c r="Q6536" s="224"/>
      <c r="S6536" s="202"/>
      <c r="T6536"/>
    </row>
    <row r="6537" spans="15:20">
      <c r="O6537" s="247"/>
      <c r="P6537"/>
      <c r="Q6537" s="224"/>
      <c r="S6537" s="202"/>
      <c r="T6537"/>
    </row>
    <row r="6538" spans="15:20">
      <c r="O6538" s="247"/>
      <c r="P6538"/>
      <c r="Q6538" s="224"/>
      <c r="S6538" s="202"/>
      <c r="T6538"/>
    </row>
    <row r="6539" spans="15:20">
      <c r="O6539" s="247"/>
      <c r="P6539"/>
      <c r="Q6539" s="224"/>
      <c r="S6539" s="202"/>
      <c r="T6539"/>
    </row>
    <row r="6540" spans="15:20">
      <c r="O6540" s="247"/>
      <c r="P6540"/>
      <c r="Q6540" s="224"/>
      <c r="S6540" s="202"/>
      <c r="T6540"/>
    </row>
    <row r="6541" spans="15:20">
      <c r="O6541" s="247"/>
      <c r="P6541"/>
      <c r="Q6541" s="224"/>
      <c r="S6541" s="202"/>
      <c r="T6541"/>
    </row>
    <row r="6542" spans="15:20">
      <c r="O6542" s="247"/>
      <c r="P6542"/>
      <c r="Q6542" s="224"/>
      <c r="S6542" s="202"/>
      <c r="T6542"/>
    </row>
    <row r="6543" spans="15:20">
      <c r="O6543" s="247"/>
      <c r="P6543"/>
      <c r="Q6543" s="224"/>
      <c r="S6543" s="202"/>
      <c r="T6543"/>
    </row>
    <row r="6544" spans="15:20">
      <c r="O6544" s="247"/>
      <c r="P6544"/>
      <c r="Q6544" s="224"/>
      <c r="S6544" s="202"/>
      <c r="T6544"/>
    </row>
    <row r="6545" spans="15:20">
      <c r="O6545" s="247"/>
      <c r="P6545"/>
      <c r="Q6545" s="224"/>
      <c r="S6545" s="202"/>
      <c r="T6545"/>
    </row>
    <row r="6546" spans="15:20">
      <c r="O6546" s="247"/>
      <c r="P6546"/>
      <c r="Q6546" s="224"/>
      <c r="S6546" s="202"/>
      <c r="T6546"/>
    </row>
    <row r="6547" spans="15:20">
      <c r="O6547" s="247"/>
      <c r="P6547"/>
      <c r="Q6547" s="224"/>
      <c r="S6547" s="202"/>
      <c r="T6547"/>
    </row>
    <row r="6548" spans="15:20">
      <c r="O6548" s="247"/>
      <c r="P6548"/>
      <c r="Q6548" s="224"/>
      <c r="S6548" s="202"/>
      <c r="T6548"/>
    </row>
    <row r="6549" spans="15:20">
      <c r="O6549" s="247"/>
      <c r="P6549"/>
      <c r="Q6549" s="224"/>
      <c r="S6549" s="202"/>
      <c r="T6549"/>
    </row>
    <row r="6550" spans="15:20">
      <c r="O6550" s="247"/>
      <c r="P6550"/>
      <c r="Q6550" s="224"/>
      <c r="S6550" s="202"/>
      <c r="T6550"/>
    </row>
    <row r="6551" spans="15:20">
      <c r="O6551" s="247"/>
      <c r="P6551"/>
      <c r="Q6551" s="224"/>
      <c r="S6551" s="202"/>
      <c r="T6551"/>
    </row>
    <row r="6552" spans="15:20">
      <c r="O6552" s="247"/>
      <c r="P6552"/>
      <c r="Q6552" s="224"/>
      <c r="S6552" s="202"/>
      <c r="T6552"/>
    </row>
    <row r="6553" spans="15:20">
      <c r="O6553" s="247"/>
      <c r="P6553"/>
      <c r="Q6553" s="224"/>
      <c r="S6553" s="202"/>
      <c r="T6553"/>
    </row>
    <row r="6554" spans="15:20">
      <c r="O6554" s="247"/>
      <c r="P6554"/>
      <c r="Q6554" s="224"/>
      <c r="S6554" s="202"/>
      <c r="T6554"/>
    </row>
    <row r="6555" spans="15:20">
      <c r="O6555" s="247"/>
      <c r="P6555"/>
      <c r="Q6555" s="224"/>
      <c r="S6555" s="202"/>
      <c r="T6555"/>
    </row>
    <row r="6556" spans="15:20">
      <c r="O6556" s="247"/>
      <c r="P6556"/>
      <c r="Q6556" s="224"/>
      <c r="S6556" s="202"/>
      <c r="T6556"/>
    </row>
    <row r="6557" spans="15:20">
      <c r="O6557" s="247"/>
      <c r="P6557"/>
      <c r="Q6557" s="224"/>
      <c r="S6557" s="202"/>
      <c r="T6557"/>
    </row>
    <row r="6558" spans="15:20">
      <c r="O6558" s="247"/>
      <c r="P6558"/>
      <c r="Q6558" s="224"/>
      <c r="S6558" s="202"/>
      <c r="T6558"/>
    </row>
    <row r="6559" spans="15:20">
      <c r="O6559" s="247"/>
      <c r="P6559"/>
      <c r="Q6559" s="224"/>
      <c r="S6559" s="202"/>
      <c r="T6559"/>
    </row>
    <row r="6560" spans="15:20">
      <c r="O6560" s="247"/>
      <c r="P6560"/>
      <c r="Q6560" s="224"/>
      <c r="S6560" s="202"/>
      <c r="T6560"/>
    </row>
    <row r="6561" spans="15:20">
      <c r="O6561" s="247"/>
      <c r="P6561"/>
      <c r="Q6561" s="224"/>
      <c r="S6561" s="202"/>
      <c r="T6561"/>
    </row>
    <row r="6562" spans="15:20">
      <c r="O6562" s="247"/>
      <c r="P6562"/>
      <c r="Q6562" s="224"/>
      <c r="S6562" s="202"/>
      <c r="T6562"/>
    </row>
    <row r="6563" spans="15:20">
      <c r="O6563" s="247"/>
      <c r="P6563"/>
      <c r="Q6563" s="224"/>
      <c r="S6563" s="202"/>
      <c r="T6563"/>
    </row>
    <row r="6564" spans="15:20">
      <c r="O6564" s="247"/>
      <c r="P6564"/>
      <c r="Q6564" s="224"/>
      <c r="S6564" s="202"/>
      <c r="T6564"/>
    </row>
    <row r="6565" spans="15:20">
      <c r="O6565" s="247"/>
      <c r="P6565"/>
      <c r="Q6565" s="224"/>
      <c r="S6565" s="202"/>
      <c r="T6565"/>
    </row>
    <row r="6566" spans="15:20">
      <c r="O6566" s="247"/>
      <c r="P6566"/>
      <c r="Q6566" s="224"/>
      <c r="S6566" s="202"/>
      <c r="T6566"/>
    </row>
    <row r="6567" spans="15:20">
      <c r="O6567" s="247"/>
      <c r="P6567"/>
      <c r="Q6567" s="224"/>
      <c r="S6567" s="202"/>
      <c r="T6567"/>
    </row>
    <row r="6568" spans="15:20">
      <c r="O6568" s="247"/>
      <c r="P6568"/>
      <c r="Q6568" s="224"/>
      <c r="S6568" s="202"/>
      <c r="T6568"/>
    </row>
    <row r="6569" spans="15:20">
      <c r="O6569" s="247"/>
      <c r="P6569"/>
      <c r="Q6569" s="224"/>
      <c r="S6569" s="202"/>
      <c r="T6569"/>
    </row>
    <row r="6570" spans="15:20">
      <c r="O6570" s="247"/>
      <c r="P6570"/>
      <c r="Q6570" s="224"/>
      <c r="S6570" s="202"/>
      <c r="T6570"/>
    </row>
    <row r="6571" spans="15:20">
      <c r="O6571" s="247"/>
      <c r="P6571"/>
      <c r="Q6571" s="224"/>
      <c r="S6571" s="202"/>
      <c r="T6571"/>
    </row>
    <row r="6572" spans="15:20">
      <c r="O6572" s="247"/>
      <c r="P6572"/>
      <c r="Q6572" s="224"/>
      <c r="S6572" s="202"/>
      <c r="T6572"/>
    </row>
    <row r="6573" spans="15:20">
      <c r="O6573" s="247"/>
      <c r="P6573"/>
      <c r="Q6573" s="224"/>
      <c r="S6573" s="202"/>
      <c r="T6573"/>
    </row>
    <row r="6574" spans="15:20">
      <c r="O6574" s="247"/>
      <c r="P6574"/>
      <c r="Q6574" s="224"/>
      <c r="S6574" s="202"/>
      <c r="T6574"/>
    </row>
    <row r="6575" spans="15:20">
      <c r="O6575" s="247"/>
      <c r="P6575"/>
      <c r="Q6575" s="224"/>
      <c r="S6575" s="202"/>
      <c r="T6575"/>
    </row>
    <row r="6576" spans="15:20">
      <c r="O6576" s="247"/>
      <c r="P6576"/>
      <c r="Q6576" s="224"/>
      <c r="S6576" s="202"/>
      <c r="T6576"/>
    </row>
    <row r="6577" spans="15:20">
      <c r="O6577" s="247"/>
      <c r="P6577"/>
      <c r="Q6577" s="224"/>
      <c r="S6577" s="202"/>
      <c r="T6577"/>
    </row>
    <row r="6578" spans="15:20">
      <c r="O6578" s="247"/>
      <c r="P6578"/>
      <c r="Q6578" s="224"/>
      <c r="S6578" s="202"/>
      <c r="T6578"/>
    </row>
    <row r="6579" spans="15:20">
      <c r="O6579" s="247"/>
      <c r="P6579"/>
      <c r="Q6579" s="224"/>
      <c r="S6579" s="202"/>
      <c r="T6579"/>
    </row>
    <row r="6580" spans="15:20">
      <c r="O6580" s="247"/>
      <c r="P6580"/>
      <c r="Q6580" s="224"/>
      <c r="S6580" s="202"/>
      <c r="T6580"/>
    </row>
    <row r="6581" spans="15:20">
      <c r="O6581" s="247"/>
      <c r="P6581"/>
      <c r="Q6581" s="224"/>
      <c r="S6581" s="202"/>
      <c r="T6581"/>
    </row>
    <row r="6582" spans="15:20">
      <c r="O6582" s="247"/>
      <c r="P6582"/>
      <c r="Q6582" s="224"/>
      <c r="S6582" s="202"/>
      <c r="T6582"/>
    </row>
    <row r="6583" spans="15:20">
      <c r="O6583" s="247"/>
      <c r="P6583"/>
      <c r="Q6583" s="224"/>
      <c r="S6583" s="202"/>
      <c r="T6583"/>
    </row>
    <row r="6584" spans="15:20">
      <c r="O6584" s="247"/>
      <c r="P6584"/>
      <c r="Q6584" s="224"/>
      <c r="S6584" s="202"/>
      <c r="T6584"/>
    </row>
    <row r="6585" spans="15:20">
      <c r="O6585" s="247"/>
      <c r="P6585"/>
      <c r="Q6585" s="224"/>
      <c r="S6585" s="202"/>
      <c r="T6585"/>
    </row>
    <row r="6586" spans="15:20">
      <c r="O6586" s="247"/>
      <c r="P6586"/>
      <c r="Q6586" s="224"/>
      <c r="S6586" s="202"/>
      <c r="T6586"/>
    </row>
    <row r="6587" spans="15:20">
      <c r="O6587" s="247"/>
      <c r="P6587"/>
      <c r="Q6587" s="224"/>
      <c r="S6587" s="202"/>
      <c r="T6587"/>
    </row>
    <row r="6588" spans="15:20">
      <c r="O6588" s="247"/>
      <c r="P6588"/>
      <c r="Q6588" s="224"/>
      <c r="S6588" s="202"/>
      <c r="T6588"/>
    </row>
    <row r="6589" spans="15:20">
      <c r="O6589" s="247"/>
      <c r="P6589"/>
      <c r="Q6589" s="224"/>
      <c r="S6589" s="202"/>
      <c r="T6589"/>
    </row>
    <row r="6590" spans="15:20">
      <c r="O6590" s="247"/>
      <c r="P6590"/>
      <c r="Q6590" s="224"/>
      <c r="S6590" s="202"/>
      <c r="T6590"/>
    </row>
    <row r="6591" spans="15:20">
      <c r="O6591" s="247"/>
      <c r="P6591"/>
      <c r="Q6591" s="224"/>
      <c r="S6591" s="202"/>
      <c r="T6591"/>
    </row>
    <row r="6592" spans="15:20">
      <c r="O6592" s="247"/>
      <c r="P6592"/>
      <c r="Q6592" s="224"/>
      <c r="S6592" s="202"/>
      <c r="T6592"/>
    </row>
    <row r="6593" spans="15:20">
      <c r="O6593" s="247"/>
      <c r="P6593"/>
      <c r="Q6593" s="224"/>
      <c r="S6593" s="202"/>
      <c r="T6593"/>
    </row>
    <row r="6594" spans="15:20">
      <c r="O6594" s="247"/>
      <c r="P6594"/>
      <c r="Q6594" s="224"/>
      <c r="S6594" s="202"/>
      <c r="T6594"/>
    </row>
    <row r="6595" spans="15:20">
      <c r="O6595" s="247"/>
      <c r="P6595"/>
      <c r="Q6595" s="224"/>
      <c r="S6595" s="202"/>
      <c r="T6595"/>
    </row>
    <row r="6596" spans="15:20">
      <c r="O6596" s="247"/>
      <c r="P6596"/>
      <c r="Q6596" s="224"/>
      <c r="S6596" s="202"/>
      <c r="T6596"/>
    </row>
    <row r="6597" spans="15:20">
      <c r="O6597" s="247"/>
      <c r="P6597"/>
      <c r="Q6597" s="224"/>
      <c r="S6597" s="202"/>
      <c r="T6597"/>
    </row>
    <row r="6598" spans="15:20">
      <c r="O6598" s="247"/>
      <c r="P6598"/>
      <c r="Q6598" s="224"/>
      <c r="S6598" s="202"/>
      <c r="T6598"/>
    </row>
    <row r="6599" spans="15:20">
      <c r="O6599" s="247"/>
      <c r="P6599"/>
      <c r="Q6599" s="224"/>
      <c r="S6599" s="202"/>
      <c r="T6599"/>
    </row>
    <row r="6600" spans="15:20">
      <c r="O6600" s="247"/>
      <c r="P6600"/>
      <c r="Q6600" s="224"/>
      <c r="S6600" s="202"/>
      <c r="T6600"/>
    </row>
    <row r="6601" spans="15:20">
      <c r="O6601" s="247"/>
      <c r="P6601"/>
      <c r="Q6601" s="224"/>
      <c r="S6601" s="202"/>
      <c r="T6601"/>
    </row>
    <row r="6602" spans="15:20">
      <c r="O6602" s="247"/>
      <c r="P6602"/>
      <c r="Q6602" s="224"/>
      <c r="S6602" s="202"/>
      <c r="T6602"/>
    </row>
    <row r="6603" spans="15:20">
      <c r="O6603" s="247"/>
      <c r="P6603"/>
      <c r="Q6603" s="224"/>
      <c r="S6603" s="202"/>
      <c r="T6603"/>
    </row>
    <row r="6604" spans="15:20">
      <c r="O6604" s="247"/>
      <c r="P6604"/>
      <c r="Q6604" s="224"/>
      <c r="S6604" s="202"/>
      <c r="T6604"/>
    </row>
    <row r="6605" spans="15:20">
      <c r="O6605" s="247"/>
      <c r="P6605"/>
      <c r="Q6605" s="224"/>
      <c r="S6605" s="202"/>
      <c r="T6605"/>
    </row>
    <row r="6606" spans="15:20">
      <c r="O6606" s="247"/>
      <c r="P6606"/>
      <c r="Q6606" s="224"/>
      <c r="S6606" s="202"/>
      <c r="T6606"/>
    </row>
    <row r="6607" spans="15:20">
      <c r="O6607" s="247"/>
      <c r="P6607"/>
      <c r="Q6607" s="224"/>
      <c r="S6607" s="202"/>
      <c r="T6607"/>
    </row>
    <row r="6608" spans="15:20">
      <c r="O6608" s="247"/>
      <c r="P6608"/>
      <c r="Q6608" s="224"/>
      <c r="S6608" s="202"/>
      <c r="T6608"/>
    </row>
    <row r="6609" spans="15:20">
      <c r="O6609" s="247"/>
      <c r="P6609"/>
      <c r="Q6609" s="224"/>
      <c r="S6609" s="202"/>
      <c r="T6609"/>
    </row>
    <row r="6610" spans="15:20">
      <c r="O6610" s="247"/>
      <c r="P6610"/>
      <c r="Q6610" s="224"/>
      <c r="S6610" s="202"/>
      <c r="T6610"/>
    </row>
    <row r="6611" spans="15:20">
      <c r="O6611" s="247"/>
      <c r="P6611"/>
      <c r="Q6611" s="224"/>
      <c r="S6611" s="202"/>
      <c r="T6611"/>
    </row>
    <row r="6612" spans="15:20">
      <c r="O6612" s="247"/>
      <c r="P6612"/>
      <c r="Q6612" s="224"/>
      <c r="S6612" s="202"/>
      <c r="T6612"/>
    </row>
    <row r="6613" spans="15:20">
      <c r="O6613" s="247"/>
      <c r="P6613"/>
      <c r="Q6613" s="224"/>
      <c r="S6613" s="202"/>
      <c r="T6613"/>
    </row>
    <row r="6614" spans="15:20">
      <c r="O6614" s="247"/>
      <c r="P6614"/>
      <c r="Q6614" s="224"/>
      <c r="S6614" s="202"/>
      <c r="T6614"/>
    </row>
    <row r="6615" spans="15:20">
      <c r="O6615" s="247"/>
      <c r="P6615"/>
      <c r="Q6615" s="224"/>
      <c r="S6615" s="202"/>
      <c r="T6615"/>
    </row>
    <row r="6616" spans="15:20">
      <c r="O6616" s="247"/>
      <c r="P6616"/>
      <c r="Q6616" s="224"/>
      <c r="S6616" s="202"/>
      <c r="T6616"/>
    </row>
    <row r="6617" spans="15:20">
      <c r="O6617" s="247"/>
      <c r="P6617"/>
      <c r="Q6617" s="224"/>
      <c r="S6617" s="202"/>
      <c r="T6617"/>
    </row>
    <row r="6618" spans="15:20">
      <c r="O6618" s="247"/>
      <c r="P6618"/>
      <c r="Q6618" s="224"/>
      <c r="S6618" s="202"/>
      <c r="T6618"/>
    </row>
    <row r="6619" spans="15:20">
      <c r="O6619" s="247"/>
      <c r="P6619"/>
      <c r="Q6619" s="224"/>
      <c r="S6619" s="202"/>
      <c r="T6619"/>
    </row>
    <row r="6620" spans="15:20">
      <c r="O6620" s="247"/>
      <c r="P6620"/>
      <c r="Q6620" s="224"/>
      <c r="S6620" s="202"/>
      <c r="T6620"/>
    </row>
    <row r="6621" spans="15:20">
      <c r="O6621" s="247"/>
      <c r="P6621"/>
      <c r="Q6621" s="224"/>
      <c r="S6621" s="202"/>
      <c r="T6621"/>
    </row>
    <row r="6622" spans="15:20">
      <c r="O6622" s="247"/>
      <c r="P6622"/>
      <c r="Q6622" s="224"/>
      <c r="S6622" s="202"/>
      <c r="T6622"/>
    </row>
    <row r="6623" spans="15:20">
      <c r="O6623" s="247"/>
      <c r="P6623"/>
      <c r="Q6623" s="224"/>
      <c r="S6623" s="202"/>
      <c r="T6623"/>
    </row>
    <row r="6624" spans="15:20">
      <c r="O6624" s="247"/>
      <c r="P6624"/>
      <c r="Q6624" s="224"/>
      <c r="S6624" s="202"/>
      <c r="T6624"/>
    </row>
    <row r="6625" spans="15:20">
      <c r="O6625" s="247"/>
      <c r="P6625"/>
      <c r="Q6625" s="224"/>
      <c r="S6625" s="202"/>
      <c r="T6625"/>
    </row>
    <row r="6626" spans="15:20">
      <c r="O6626" s="247"/>
      <c r="P6626"/>
      <c r="Q6626" s="224"/>
      <c r="S6626" s="202"/>
      <c r="T6626"/>
    </row>
    <row r="6627" spans="15:20">
      <c r="O6627" s="247"/>
      <c r="P6627"/>
      <c r="Q6627" s="224"/>
      <c r="S6627" s="202"/>
      <c r="T6627"/>
    </row>
    <row r="6628" spans="15:20">
      <c r="O6628" s="247"/>
      <c r="P6628"/>
      <c r="Q6628" s="224"/>
      <c r="S6628" s="202"/>
      <c r="T6628"/>
    </row>
    <row r="6629" spans="15:20">
      <c r="O6629" s="247"/>
      <c r="P6629"/>
      <c r="Q6629" s="224"/>
      <c r="S6629" s="202"/>
      <c r="T6629"/>
    </row>
    <row r="6630" spans="15:20">
      <c r="O6630" s="247"/>
      <c r="P6630"/>
      <c r="Q6630" s="224"/>
      <c r="S6630" s="202"/>
      <c r="T6630"/>
    </row>
    <row r="6631" spans="15:20">
      <c r="O6631" s="247"/>
      <c r="P6631"/>
      <c r="Q6631" s="224"/>
      <c r="S6631" s="202"/>
      <c r="T6631"/>
    </row>
    <row r="6632" spans="15:20">
      <c r="O6632" s="247"/>
      <c r="P6632"/>
      <c r="Q6632" s="224"/>
      <c r="S6632" s="202"/>
      <c r="T6632"/>
    </row>
    <row r="6633" spans="15:20">
      <c r="O6633" s="247"/>
      <c r="P6633"/>
      <c r="Q6633" s="224"/>
      <c r="S6633" s="202"/>
      <c r="T6633"/>
    </row>
    <row r="6634" spans="15:20">
      <c r="O6634" s="247"/>
      <c r="P6634"/>
      <c r="Q6634" s="224"/>
      <c r="S6634" s="202"/>
      <c r="T6634"/>
    </row>
    <row r="6635" spans="15:20">
      <c r="O6635" s="247"/>
      <c r="P6635"/>
      <c r="Q6635" s="224"/>
      <c r="S6635" s="202"/>
      <c r="T6635"/>
    </row>
    <row r="6636" spans="15:20">
      <c r="O6636" s="247"/>
      <c r="P6636"/>
      <c r="Q6636" s="224"/>
      <c r="S6636" s="202"/>
      <c r="T6636"/>
    </row>
    <row r="6637" spans="15:20">
      <c r="O6637" s="247"/>
      <c r="P6637"/>
      <c r="Q6637" s="224"/>
      <c r="S6637" s="202"/>
      <c r="T6637"/>
    </row>
    <row r="6638" spans="15:20">
      <c r="O6638" s="247"/>
      <c r="P6638"/>
      <c r="Q6638" s="224"/>
      <c r="S6638" s="202"/>
      <c r="T6638"/>
    </row>
    <row r="6639" spans="15:20">
      <c r="O6639" s="247"/>
      <c r="P6639"/>
      <c r="Q6639" s="224"/>
      <c r="S6639" s="202"/>
      <c r="T6639"/>
    </row>
    <row r="6640" spans="15:20">
      <c r="O6640" s="247"/>
      <c r="P6640"/>
      <c r="Q6640" s="224"/>
      <c r="S6640" s="202"/>
      <c r="T6640"/>
    </row>
    <row r="6641" spans="15:20">
      <c r="O6641" s="247"/>
      <c r="P6641"/>
      <c r="Q6641" s="224"/>
      <c r="S6641" s="202"/>
      <c r="T6641"/>
    </row>
    <row r="6642" spans="15:20">
      <c r="O6642" s="247"/>
      <c r="P6642"/>
      <c r="Q6642" s="224"/>
      <c r="S6642" s="202"/>
      <c r="T6642"/>
    </row>
    <row r="6643" spans="15:20">
      <c r="O6643" s="247"/>
      <c r="P6643"/>
      <c r="Q6643" s="224"/>
      <c r="S6643" s="202"/>
      <c r="T6643"/>
    </row>
    <row r="6644" spans="15:20">
      <c r="O6644" s="247"/>
      <c r="P6644"/>
      <c r="Q6644" s="224"/>
      <c r="S6644" s="202"/>
      <c r="T6644"/>
    </row>
    <row r="6645" spans="15:20">
      <c r="O6645" s="247"/>
      <c r="P6645"/>
      <c r="Q6645" s="224"/>
      <c r="S6645" s="202"/>
      <c r="T6645"/>
    </row>
    <row r="6646" spans="15:20">
      <c r="O6646" s="247"/>
      <c r="P6646"/>
      <c r="Q6646" s="224"/>
      <c r="S6646" s="202"/>
      <c r="T6646"/>
    </row>
    <row r="6647" spans="15:20">
      <c r="O6647" s="247"/>
      <c r="P6647"/>
      <c r="Q6647" s="224"/>
      <c r="S6647" s="202"/>
      <c r="T6647"/>
    </row>
    <row r="6648" spans="15:20">
      <c r="O6648" s="247"/>
      <c r="P6648"/>
      <c r="Q6648" s="224"/>
      <c r="S6648" s="202"/>
      <c r="T6648"/>
    </row>
    <row r="6649" spans="15:20">
      <c r="O6649" s="247"/>
      <c r="P6649"/>
      <c r="Q6649" s="224"/>
      <c r="S6649" s="202"/>
      <c r="T6649"/>
    </row>
    <row r="6650" spans="15:20">
      <c r="O6650" s="247"/>
      <c r="P6650"/>
      <c r="Q6650" s="224"/>
      <c r="S6650" s="202"/>
      <c r="T6650"/>
    </row>
    <row r="6651" spans="15:20">
      <c r="O6651" s="247"/>
      <c r="P6651"/>
      <c r="Q6651" s="224"/>
      <c r="S6651" s="202"/>
      <c r="T6651"/>
    </row>
    <row r="6652" spans="15:20">
      <c r="O6652" s="247"/>
      <c r="P6652"/>
      <c r="Q6652" s="224"/>
      <c r="S6652" s="202"/>
      <c r="T6652"/>
    </row>
    <row r="6653" spans="15:20">
      <c r="O6653" s="247"/>
      <c r="P6653"/>
      <c r="Q6653" s="224"/>
      <c r="S6653" s="202"/>
      <c r="T6653"/>
    </row>
    <row r="6654" spans="15:20">
      <c r="O6654" s="247"/>
      <c r="P6654"/>
      <c r="Q6654" s="224"/>
      <c r="S6654" s="202"/>
      <c r="T6654"/>
    </row>
    <row r="6655" spans="15:20">
      <c r="O6655" s="247"/>
      <c r="P6655"/>
      <c r="Q6655" s="224"/>
      <c r="S6655" s="202"/>
      <c r="T6655"/>
    </row>
    <row r="6656" spans="15:20">
      <c r="O6656" s="247"/>
      <c r="P6656"/>
      <c r="Q6656" s="224"/>
      <c r="S6656" s="202"/>
      <c r="T6656"/>
    </row>
    <row r="6657" spans="15:20">
      <c r="O6657" s="247"/>
      <c r="P6657"/>
      <c r="Q6657" s="224"/>
      <c r="S6657" s="202"/>
      <c r="T6657"/>
    </row>
    <row r="6658" spans="15:20">
      <c r="O6658" s="247"/>
      <c r="P6658"/>
      <c r="Q6658" s="224"/>
      <c r="S6658" s="202"/>
      <c r="T6658"/>
    </row>
    <row r="6659" spans="15:20">
      <c r="O6659" s="247"/>
      <c r="P6659"/>
      <c r="Q6659" s="224"/>
      <c r="S6659" s="202"/>
      <c r="T6659"/>
    </row>
    <row r="6660" spans="15:20">
      <c r="O6660" s="247"/>
      <c r="P6660"/>
      <c r="Q6660" s="224"/>
      <c r="S6660" s="202"/>
      <c r="T6660"/>
    </row>
    <row r="6661" spans="15:20">
      <c r="O6661" s="247"/>
      <c r="P6661"/>
      <c r="Q6661" s="224"/>
      <c r="S6661" s="202"/>
      <c r="T6661"/>
    </row>
    <row r="6662" spans="15:20">
      <c r="O6662" s="247"/>
      <c r="P6662"/>
      <c r="Q6662" s="224"/>
      <c r="S6662" s="202"/>
      <c r="T6662"/>
    </row>
    <row r="6663" spans="15:20">
      <c r="O6663" s="247"/>
      <c r="P6663"/>
      <c r="Q6663" s="224"/>
      <c r="S6663" s="202"/>
      <c r="T6663"/>
    </row>
    <row r="6664" spans="15:20">
      <c r="O6664" s="247"/>
      <c r="P6664"/>
      <c r="Q6664" s="224"/>
      <c r="S6664" s="202"/>
      <c r="T6664"/>
    </row>
    <row r="6665" spans="15:20">
      <c r="O6665" s="247"/>
      <c r="P6665"/>
      <c r="Q6665" s="224"/>
      <c r="S6665" s="202"/>
      <c r="T6665"/>
    </row>
    <row r="6666" spans="15:20">
      <c r="O6666" s="247"/>
      <c r="P6666"/>
      <c r="Q6666" s="224"/>
      <c r="S6666" s="202"/>
      <c r="T6666"/>
    </row>
    <row r="6667" spans="15:20">
      <c r="O6667" s="247"/>
      <c r="P6667"/>
      <c r="Q6667" s="224"/>
      <c r="S6667" s="202"/>
      <c r="T6667"/>
    </row>
    <row r="6668" spans="15:20">
      <c r="O6668" s="247"/>
      <c r="P6668"/>
      <c r="Q6668" s="224"/>
      <c r="S6668" s="202"/>
      <c r="T6668"/>
    </row>
    <row r="6669" spans="15:20">
      <c r="O6669" s="247"/>
      <c r="P6669"/>
      <c r="Q6669" s="224"/>
      <c r="S6669" s="202"/>
      <c r="T6669"/>
    </row>
    <row r="6670" spans="15:20">
      <c r="O6670" s="247"/>
      <c r="P6670"/>
      <c r="Q6670" s="224"/>
      <c r="S6670" s="202"/>
      <c r="T6670"/>
    </row>
    <row r="6671" spans="15:20">
      <c r="O6671" s="247"/>
      <c r="P6671"/>
      <c r="Q6671" s="224"/>
      <c r="S6671" s="202"/>
      <c r="T6671"/>
    </row>
    <row r="6672" spans="15:20">
      <c r="O6672" s="247"/>
      <c r="P6672"/>
      <c r="Q6672" s="224"/>
      <c r="S6672" s="202"/>
      <c r="T6672"/>
    </row>
    <row r="6673" spans="15:20">
      <c r="O6673" s="247"/>
      <c r="P6673"/>
      <c r="Q6673" s="224"/>
      <c r="S6673" s="202"/>
      <c r="T6673"/>
    </row>
    <row r="6674" spans="15:20">
      <c r="O6674" s="247"/>
      <c r="P6674"/>
      <c r="Q6674" s="224"/>
      <c r="S6674" s="202"/>
      <c r="T6674"/>
    </row>
    <row r="6675" spans="15:20">
      <c r="O6675" s="247"/>
      <c r="P6675"/>
      <c r="Q6675" s="224"/>
      <c r="S6675" s="202"/>
      <c r="T6675"/>
    </row>
    <row r="6676" spans="15:20">
      <c r="O6676" s="247"/>
      <c r="P6676"/>
      <c r="Q6676" s="224"/>
      <c r="S6676" s="202"/>
      <c r="T6676"/>
    </row>
    <row r="6677" spans="15:20">
      <c r="O6677" s="247"/>
      <c r="P6677"/>
      <c r="Q6677" s="224"/>
      <c r="S6677" s="202"/>
      <c r="T6677"/>
    </row>
    <row r="6678" spans="15:20">
      <c r="O6678" s="247"/>
      <c r="P6678"/>
      <c r="Q6678" s="224"/>
      <c r="S6678" s="202"/>
      <c r="T6678"/>
    </row>
    <row r="6679" spans="15:20">
      <c r="O6679" s="247"/>
      <c r="P6679"/>
      <c r="Q6679" s="224"/>
      <c r="S6679" s="202"/>
      <c r="T6679"/>
    </row>
    <row r="6680" spans="15:20">
      <c r="O6680" s="247"/>
      <c r="P6680"/>
      <c r="Q6680" s="224"/>
      <c r="S6680" s="202"/>
      <c r="T6680"/>
    </row>
    <row r="6681" spans="15:20">
      <c r="O6681" s="247"/>
      <c r="P6681"/>
      <c r="Q6681" s="224"/>
      <c r="S6681" s="202"/>
      <c r="T6681"/>
    </row>
    <row r="6682" spans="15:20">
      <c r="O6682" s="247"/>
      <c r="P6682"/>
      <c r="Q6682" s="224"/>
      <c r="S6682" s="202"/>
      <c r="T6682"/>
    </row>
    <row r="6683" spans="15:20">
      <c r="O6683" s="247"/>
      <c r="P6683"/>
      <c r="Q6683" s="224"/>
      <c r="S6683" s="202"/>
      <c r="T6683"/>
    </row>
    <row r="6684" spans="15:20">
      <c r="O6684" s="247"/>
      <c r="P6684"/>
      <c r="Q6684" s="224"/>
      <c r="S6684" s="202"/>
      <c r="T6684"/>
    </row>
    <row r="6685" spans="15:20">
      <c r="O6685" s="247"/>
      <c r="P6685"/>
      <c r="Q6685" s="224"/>
      <c r="S6685" s="202"/>
      <c r="T6685"/>
    </row>
    <row r="6686" spans="15:20">
      <c r="O6686" s="247"/>
      <c r="P6686"/>
      <c r="Q6686" s="224"/>
      <c r="S6686" s="202"/>
      <c r="T6686"/>
    </row>
    <row r="6687" spans="15:20">
      <c r="O6687" s="247"/>
      <c r="P6687"/>
      <c r="Q6687" s="224"/>
      <c r="S6687" s="202"/>
      <c r="T6687"/>
    </row>
    <row r="6688" spans="15:20">
      <c r="O6688" s="247"/>
      <c r="P6688"/>
      <c r="Q6688" s="224"/>
      <c r="S6688" s="202"/>
      <c r="T6688"/>
    </row>
    <row r="6689" spans="15:20">
      <c r="O6689" s="247"/>
      <c r="P6689"/>
      <c r="Q6689" s="224"/>
      <c r="S6689" s="202"/>
      <c r="T6689"/>
    </row>
    <row r="6690" spans="15:20">
      <c r="O6690" s="247"/>
      <c r="P6690"/>
      <c r="Q6690" s="224"/>
      <c r="S6690" s="202"/>
      <c r="T6690"/>
    </row>
    <row r="6691" spans="15:20">
      <c r="O6691" s="247"/>
      <c r="P6691"/>
      <c r="Q6691" s="224"/>
      <c r="S6691" s="202"/>
      <c r="T6691"/>
    </row>
    <row r="6692" spans="15:20">
      <c r="O6692" s="247"/>
      <c r="P6692"/>
      <c r="Q6692" s="224"/>
      <c r="S6692" s="202"/>
      <c r="T6692"/>
    </row>
    <row r="6693" spans="15:20">
      <c r="O6693" s="247"/>
      <c r="P6693"/>
      <c r="Q6693" s="224"/>
      <c r="S6693" s="202"/>
      <c r="T6693"/>
    </row>
    <row r="6694" spans="15:20">
      <c r="O6694" s="247"/>
      <c r="P6694"/>
      <c r="Q6694" s="224"/>
      <c r="S6694" s="202"/>
      <c r="T6694"/>
    </row>
    <row r="6695" spans="15:20">
      <c r="O6695" s="247"/>
      <c r="P6695"/>
      <c r="Q6695" s="224"/>
      <c r="S6695" s="202"/>
      <c r="T6695"/>
    </row>
    <row r="6696" spans="15:20">
      <c r="O6696" s="247"/>
      <c r="P6696"/>
      <c r="Q6696" s="224"/>
      <c r="S6696" s="202"/>
      <c r="T6696"/>
    </row>
    <row r="6697" spans="15:20">
      <c r="O6697" s="247"/>
      <c r="P6697"/>
      <c r="Q6697" s="224"/>
      <c r="S6697" s="202"/>
      <c r="T6697"/>
    </row>
    <row r="6698" spans="15:20">
      <c r="O6698" s="247"/>
      <c r="P6698"/>
      <c r="Q6698" s="224"/>
      <c r="S6698" s="202"/>
      <c r="T6698"/>
    </row>
    <row r="6699" spans="15:20">
      <c r="O6699" s="247"/>
      <c r="P6699"/>
      <c r="Q6699" s="224"/>
      <c r="S6699" s="202"/>
      <c r="T6699"/>
    </row>
    <row r="6700" spans="15:20">
      <c r="O6700" s="247"/>
      <c r="P6700"/>
      <c r="Q6700" s="224"/>
      <c r="S6700" s="202"/>
      <c r="T6700"/>
    </row>
    <row r="6701" spans="15:20">
      <c r="O6701" s="247"/>
      <c r="P6701"/>
      <c r="Q6701" s="224"/>
      <c r="S6701" s="202"/>
      <c r="T6701"/>
    </row>
    <row r="6702" spans="15:20">
      <c r="O6702" s="247"/>
      <c r="P6702"/>
      <c r="Q6702" s="224"/>
      <c r="S6702" s="202"/>
      <c r="T6702"/>
    </row>
    <row r="6703" spans="15:20">
      <c r="O6703" s="247"/>
      <c r="P6703"/>
      <c r="Q6703" s="224"/>
      <c r="S6703" s="202"/>
      <c r="T6703"/>
    </row>
    <row r="6704" spans="15:20">
      <c r="O6704" s="247"/>
      <c r="P6704"/>
      <c r="Q6704" s="224"/>
      <c r="S6704" s="202"/>
      <c r="T6704"/>
    </row>
    <row r="6705" spans="15:20">
      <c r="O6705" s="247"/>
      <c r="P6705"/>
      <c r="Q6705" s="224"/>
      <c r="S6705" s="202"/>
      <c r="T6705"/>
    </row>
    <row r="6706" spans="15:20">
      <c r="O6706" s="247"/>
      <c r="P6706"/>
      <c r="Q6706" s="224"/>
      <c r="S6706" s="202"/>
      <c r="T6706"/>
    </row>
    <row r="6707" spans="15:20">
      <c r="O6707" s="247"/>
      <c r="P6707"/>
      <c r="Q6707" s="224"/>
      <c r="S6707" s="202"/>
      <c r="T6707"/>
    </row>
    <row r="6708" spans="15:20">
      <c r="O6708" s="247"/>
      <c r="P6708"/>
      <c r="Q6708" s="224"/>
      <c r="S6708" s="202"/>
      <c r="T6708"/>
    </row>
    <row r="6709" spans="15:20">
      <c r="O6709" s="247"/>
      <c r="P6709"/>
      <c r="Q6709" s="224"/>
      <c r="S6709" s="202"/>
      <c r="T6709"/>
    </row>
    <row r="6710" spans="15:20">
      <c r="O6710" s="247"/>
      <c r="P6710"/>
      <c r="Q6710" s="224"/>
      <c r="S6710" s="202"/>
      <c r="T6710"/>
    </row>
    <row r="6711" spans="15:20">
      <c r="O6711" s="247"/>
      <c r="P6711"/>
      <c r="Q6711" s="224"/>
      <c r="S6711" s="202"/>
      <c r="T6711"/>
    </row>
    <row r="6712" spans="15:20">
      <c r="O6712" s="247"/>
      <c r="P6712"/>
      <c r="Q6712" s="224"/>
      <c r="S6712" s="202"/>
      <c r="T6712"/>
    </row>
    <row r="6713" spans="15:20">
      <c r="O6713" s="247"/>
      <c r="P6713"/>
      <c r="Q6713" s="224"/>
      <c r="S6713" s="202"/>
      <c r="T6713"/>
    </row>
    <row r="6714" spans="15:20">
      <c r="O6714" s="247"/>
      <c r="P6714"/>
      <c r="Q6714" s="224"/>
      <c r="S6714" s="202"/>
      <c r="T6714"/>
    </row>
    <row r="6715" spans="15:20">
      <c r="O6715" s="247"/>
      <c r="P6715"/>
      <c r="Q6715" s="224"/>
      <c r="S6715" s="202"/>
      <c r="T6715"/>
    </row>
    <row r="6716" spans="15:20">
      <c r="O6716" s="247"/>
      <c r="P6716"/>
      <c r="Q6716" s="224"/>
      <c r="S6716" s="202"/>
      <c r="T6716"/>
    </row>
    <row r="6717" spans="15:20">
      <c r="O6717" s="247"/>
      <c r="P6717"/>
      <c r="Q6717" s="224"/>
      <c r="S6717" s="202"/>
      <c r="T6717"/>
    </row>
    <row r="6718" spans="15:20">
      <c r="O6718" s="247"/>
      <c r="P6718"/>
      <c r="Q6718" s="224"/>
      <c r="S6718" s="202"/>
      <c r="T6718"/>
    </row>
    <row r="6719" spans="15:20">
      <c r="O6719" s="247"/>
      <c r="P6719"/>
      <c r="Q6719" s="224"/>
      <c r="S6719" s="202"/>
      <c r="T6719"/>
    </row>
    <row r="6720" spans="15:20">
      <c r="O6720" s="247"/>
      <c r="P6720"/>
      <c r="Q6720" s="224"/>
      <c r="S6720" s="202"/>
      <c r="T6720"/>
    </row>
    <row r="6721" spans="15:20">
      <c r="O6721" s="247"/>
      <c r="P6721"/>
      <c r="Q6721" s="224"/>
      <c r="S6721" s="202"/>
      <c r="T6721"/>
    </row>
    <row r="6722" spans="15:20">
      <c r="O6722" s="247"/>
      <c r="P6722"/>
      <c r="Q6722" s="224"/>
      <c r="S6722" s="202"/>
      <c r="T6722"/>
    </row>
    <row r="6723" spans="15:20">
      <c r="O6723" s="247"/>
      <c r="P6723"/>
      <c r="Q6723" s="224"/>
      <c r="S6723" s="202"/>
      <c r="T6723"/>
    </row>
    <row r="6724" spans="15:20">
      <c r="O6724" s="247"/>
      <c r="P6724"/>
      <c r="Q6724" s="224"/>
      <c r="S6724" s="202"/>
      <c r="T6724"/>
    </row>
    <row r="6725" spans="15:20">
      <c r="O6725" s="247"/>
      <c r="P6725"/>
      <c r="Q6725" s="224"/>
      <c r="S6725" s="202"/>
      <c r="T6725"/>
    </row>
    <row r="6726" spans="15:20">
      <c r="O6726" s="247"/>
      <c r="P6726"/>
      <c r="Q6726" s="224"/>
      <c r="S6726" s="202"/>
      <c r="T6726"/>
    </row>
    <row r="6727" spans="15:20">
      <c r="O6727" s="247"/>
      <c r="P6727"/>
      <c r="Q6727" s="224"/>
      <c r="S6727" s="202"/>
      <c r="T6727"/>
    </row>
    <row r="6728" spans="15:20">
      <c r="O6728" s="247"/>
      <c r="P6728"/>
      <c r="Q6728" s="224"/>
      <c r="S6728" s="202"/>
      <c r="T6728"/>
    </row>
    <row r="6729" spans="15:20">
      <c r="O6729" s="247"/>
      <c r="P6729"/>
      <c r="Q6729" s="224"/>
      <c r="S6729" s="202"/>
      <c r="T6729"/>
    </row>
    <row r="6730" spans="15:20">
      <c r="O6730" s="247"/>
      <c r="P6730"/>
      <c r="Q6730" s="224"/>
      <c r="S6730" s="202"/>
      <c r="T6730"/>
    </row>
    <row r="6731" spans="15:20">
      <c r="O6731" s="247"/>
      <c r="P6731"/>
      <c r="Q6731" s="224"/>
      <c r="S6731" s="202"/>
      <c r="T6731"/>
    </row>
    <row r="6732" spans="15:20">
      <c r="O6732" s="247"/>
      <c r="P6732"/>
      <c r="Q6732" s="224"/>
      <c r="S6732" s="202"/>
      <c r="T6732"/>
    </row>
    <row r="6733" spans="15:20">
      <c r="O6733" s="247"/>
      <c r="P6733"/>
      <c r="Q6733" s="224"/>
      <c r="S6733" s="202"/>
      <c r="T6733"/>
    </row>
    <row r="6734" spans="15:20">
      <c r="O6734" s="247"/>
      <c r="P6734"/>
      <c r="Q6734" s="224"/>
      <c r="S6734" s="202"/>
      <c r="T6734"/>
    </row>
    <row r="6735" spans="15:20">
      <c r="O6735" s="247"/>
      <c r="P6735"/>
      <c r="Q6735" s="224"/>
      <c r="S6735" s="202"/>
      <c r="T6735"/>
    </row>
    <row r="6736" spans="15:20">
      <c r="O6736" s="247"/>
      <c r="P6736"/>
      <c r="Q6736" s="224"/>
      <c r="S6736" s="202"/>
      <c r="T6736"/>
    </row>
    <row r="6737" spans="15:20">
      <c r="O6737" s="247"/>
      <c r="P6737"/>
      <c r="Q6737" s="224"/>
      <c r="S6737" s="202"/>
      <c r="T6737"/>
    </row>
    <row r="6738" spans="15:20">
      <c r="O6738" s="247"/>
      <c r="P6738"/>
      <c r="Q6738" s="224"/>
      <c r="S6738" s="202"/>
      <c r="T6738"/>
    </row>
    <row r="6739" spans="15:20">
      <c r="O6739" s="247"/>
      <c r="P6739"/>
      <c r="Q6739" s="224"/>
      <c r="S6739" s="202"/>
      <c r="T6739"/>
    </row>
    <row r="6740" spans="15:20">
      <c r="O6740" s="247"/>
      <c r="P6740"/>
      <c r="Q6740" s="224"/>
      <c r="S6740" s="202"/>
      <c r="T6740"/>
    </row>
    <row r="6741" spans="15:20">
      <c r="O6741" s="247"/>
      <c r="P6741"/>
      <c r="Q6741" s="224"/>
      <c r="S6741" s="202"/>
      <c r="T6741"/>
    </row>
    <row r="6742" spans="15:20">
      <c r="O6742" s="247"/>
      <c r="P6742"/>
      <c r="Q6742" s="224"/>
      <c r="S6742" s="202"/>
      <c r="T6742"/>
    </row>
    <row r="6743" spans="15:20">
      <c r="O6743" s="247"/>
      <c r="P6743"/>
      <c r="Q6743" s="224"/>
      <c r="S6743" s="202"/>
      <c r="T6743"/>
    </row>
    <row r="6744" spans="15:20">
      <c r="O6744" s="247"/>
      <c r="P6744"/>
      <c r="Q6744" s="224"/>
      <c r="S6744" s="202"/>
      <c r="T6744"/>
    </row>
    <row r="6745" spans="15:20">
      <c r="O6745" s="247"/>
      <c r="P6745"/>
      <c r="Q6745" s="224"/>
      <c r="S6745" s="202"/>
      <c r="T6745"/>
    </row>
    <row r="6746" spans="15:20">
      <c r="O6746" s="247"/>
      <c r="P6746"/>
      <c r="Q6746" s="224"/>
      <c r="S6746" s="202"/>
      <c r="T6746"/>
    </row>
    <row r="6747" spans="15:20">
      <c r="O6747" s="247"/>
      <c r="P6747"/>
      <c r="Q6747" s="224"/>
      <c r="S6747" s="202"/>
      <c r="T6747"/>
    </row>
    <row r="6748" spans="15:20">
      <c r="O6748" s="247"/>
      <c r="P6748"/>
      <c r="Q6748" s="224"/>
      <c r="S6748" s="202"/>
      <c r="T6748"/>
    </row>
    <row r="6749" spans="15:20">
      <c r="O6749" s="247"/>
      <c r="P6749"/>
      <c r="Q6749" s="224"/>
      <c r="S6749" s="202"/>
      <c r="T6749"/>
    </row>
    <row r="6750" spans="15:20">
      <c r="O6750" s="247"/>
      <c r="P6750"/>
      <c r="Q6750" s="224"/>
      <c r="S6750" s="202"/>
      <c r="T6750"/>
    </row>
    <row r="6751" spans="15:20">
      <c r="O6751" s="247"/>
      <c r="P6751"/>
      <c r="Q6751" s="224"/>
      <c r="S6751" s="202"/>
      <c r="T6751"/>
    </row>
    <row r="6752" spans="15:20">
      <c r="O6752" s="247"/>
      <c r="P6752"/>
      <c r="Q6752" s="224"/>
      <c r="S6752" s="202"/>
      <c r="T6752"/>
    </row>
    <row r="6753" spans="15:20">
      <c r="O6753" s="247"/>
      <c r="P6753"/>
      <c r="Q6753" s="224"/>
      <c r="S6753" s="202"/>
      <c r="T6753"/>
    </row>
    <row r="6754" spans="15:20">
      <c r="O6754" s="247"/>
      <c r="P6754"/>
      <c r="Q6754" s="224"/>
      <c r="S6754" s="202"/>
      <c r="T6754"/>
    </row>
    <row r="6755" spans="15:20">
      <c r="O6755" s="247"/>
      <c r="P6755"/>
      <c r="Q6755" s="224"/>
      <c r="S6755" s="202"/>
      <c r="T6755"/>
    </row>
    <row r="6756" spans="15:20">
      <c r="O6756" s="247"/>
      <c r="P6756"/>
      <c r="Q6756" s="224"/>
      <c r="S6756" s="202"/>
      <c r="T6756"/>
    </row>
    <row r="6757" spans="15:20">
      <c r="O6757" s="247"/>
      <c r="P6757"/>
      <c r="Q6757" s="224"/>
      <c r="S6757" s="202"/>
      <c r="T6757"/>
    </row>
    <row r="6758" spans="15:20">
      <c r="O6758" s="247"/>
      <c r="P6758"/>
      <c r="Q6758" s="224"/>
      <c r="S6758" s="202"/>
      <c r="T6758"/>
    </row>
    <row r="6759" spans="15:20">
      <c r="O6759" s="247"/>
      <c r="P6759"/>
      <c r="Q6759" s="224"/>
      <c r="S6759" s="202"/>
      <c r="T6759"/>
    </row>
    <row r="6760" spans="15:20">
      <c r="O6760" s="247"/>
      <c r="P6760"/>
      <c r="Q6760" s="224"/>
      <c r="S6760" s="202"/>
      <c r="T6760"/>
    </row>
    <row r="6761" spans="15:20">
      <c r="O6761" s="247"/>
      <c r="P6761"/>
      <c r="Q6761" s="224"/>
      <c r="S6761" s="202"/>
      <c r="T6761"/>
    </row>
    <row r="6762" spans="15:20">
      <c r="O6762" s="247"/>
      <c r="P6762"/>
      <c r="Q6762" s="224"/>
      <c r="S6762" s="202"/>
      <c r="T6762"/>
    </row>
    <row r="6763" spans="15:20">
      <c r="O6763" s="247"/>
      <c r="P6763"/>
      <c r="Q6763" s="224"/>
      <c r="S6763" s="202"/>
      <c r="T6763"/>
    </row>
    <row r="6764" spans="15:20">
      <c r="O6764" s="247"/>
      <c r="P6764"/>
      <c r="Q6764" s="224"/>
      <c r="S6764" s="202"/>
      <c r="T6764"/>
    </row>
    <row r="6765" spans="15:20">
      <c r="O6765" s="247"/>
      <c r="P6765"/>
      <c r="Q6765" s="224"/>
      <c r="S6765" s="202"/>
      <c r="T6765"/>
    </row>
    <row r="6766" spans="15:20">
      <c r="O6766" s="247"/>
      <c r="P6766"/>
      <c r="Q6766" s="224"/>
      <c r="S6766" s="202"/>
      <c r="T6766"/>
    </row>
    <row r="6767" spans="15:20">
      <c r="O6767" s="247"/>
      <c r="P6767"/>
      <c r="Q6767" s="224"/>
      <c r="S6767" s="202"/>
      <c r="T6767"/>
    </row>
    <row r="6768" spans="15:20">
      <c r="O6768" s="247"/>
      <c r="P6768"/>
      <c r="Q6768" s="224"/>
      <c r="S6768" s="202"/>
      <c r="T6768"/>
    </row>
    <row r="6769" spans="15:20">
      <c r="O6769" s="247"/>
      <c r="P6769"/>
      <c r="Q6769" s="224"/>
      <c r="S6769" s="202"/>
      <c r="T6769"/>
    </row>
    <row r="6770" spans="15:20">
      <c r="O6770" s="247"/>
      <c r="P6770"/>
      <c r="Q6770" s="224"/>
      <c r="S6770" s="202"/>
      <c r="T6770"/>
    </row>
    <row r="6771" spans="15:20">
      <c r="O6771" s="247"/>
      <c r="P6771"/>
      <c r="Q6771" s="224"/>
      <c r="S6771" s="202"/>
      <c r="T6771"/>
    </row>
    <row r="6772" spans="15:20">
      <c r="O6772" s="247"/>
      <c r="P6772"/>
      <c r="Q6772" s="224"/>
      <c r="S6772" s="202"/>
      <c r="T6772"/>
    </row>
    <row r="6773" spans="15:20">
      <c r="O6773" s="247"/>
      <c r="P6773"/>
      <c r="Q6773" s="224"/>
      <c r="S6773" s="202"/>
      <c r="T6773"/>
    </row>
    <row r="6774" spans="15:20">
      <c r="O6774" s="247"/>
      <c r="P6774"/>
      <c r="Q6774" s="224"/>
      <c r="S6774" s="202"/>
      <c r="T6774"/>
    </row>
    <row r="6775" spans="15:20">
      <c r="O6775" s="247"/>
      <c r="P6775"/>
      <c r="Q6775" s="224"/>
      <c r="S6775" s="202"/>
      <c r="T6775"/>
    </row>
    <row r="6776" spans="15:20">
      <c r="O6776" s="247"/>
      <c r="P6776"/>
      <c r="Q6776" s="224"/>
      <c r="S6776" s="202"/>
      <c r="T6776"/>
    </row>
    <row r="6777" spans="15:20">
      <c r="O6777" s="247"/>
      <c r="P6777"/>
      <c r="Q6777" s="224"/>
      <c r="S6777" s="202"/>
      <c r="T6777"/>
    </row>
    <row r="6778" spans="15:20">
      <c r="O6778" s="247"/>
      <c r="P6778"/>
      <c r="Q6778" s="224"/>
      <c r="S6778" s="202"/>
      <c r="T6778"/>
    </row>
    <row r="6779" spans="15:20">
      <c r="O6779" s="247"/>
      <c r="P6779"/>
      <c r="Q6779" s="224"/>
      <c r="S6779" s="202"/>
      <c r="T6779"/>
    </row>
    <row r="6780" spans="15:20">
      <c r="O6780" s="247"/>
      <c r="P6780"/>
      <c r="Q6780" s="224"/>
      <c r="S6780" s="202"/>
      <c r="T6780"/>
    </row>
    <row r="6781" spans="15:20">
      <c r="O6781" s="247"/>
      <c r="P6781"/>
      <c r="Q6781" s="224"/>
      <c r="S6781" s="202"/>
      <c r="T6781"/>
    </row>
    <row r="6782" spans="15:20">
      <c r="O6782" s="247"/>
      <c r="P6782"/>
      <c r="Q6782" s="224"/>
      <c r="S6782" s="202"/>
      <c r="T6782"/>
    </row>
    <row r="6783" spans="15:20">
      <c r="O6783" s="247"/>
      <c r="P6783"/>
      <c r="Q6783" s="224"/>
      <c r="S6783" s="202"/>
      <c r="T6783"/>
    </row>
    <row r="6784" spans="15:20">
      <c r="O6784" s="247"/>
      <c r="P6784"/>
      <c r="Q6784" s="224"/>
      <c r="S6784" s="202"/>
      <c r="T6784"/>
    </row>
    <row r="6785" spans="15:20">
      <c r="O6785" s="247"/>
      <c r="P6785"/>
      <c r="Q6785" s="224"/>
      <c r="S6785" s="202"/>
      <c r="T6785"/>
    </row>
    <row r="6786" spans="15:20">
      <c r="O6786" s="247"/>
      <c r="P6786"/>
      <c r="Q6786" s="224"/>
      <c r="S6786" s="202"/>
      <c r="T6786"/>
    </row>
    <row r="6787" spans="15:20">
      <c r="O6787" s="247"/>
      <c r="P6787"/>
      <c r="Q6787" s="224"/>
      <c r="S6787" s="202"/>
      <c r="T6787"/>
    </row>
    <row r="6788" spans="15:20">
      <c r="O6788" s="247"/>
      <c r="P6788"/>
      <c r="Q6788" s="224"/>
      <c r="S6788" s="202"/>
      <c r="T6788"/>
    </row>
    <row r="6789" spans="15:20">
      <c r="O6789" s="247"/>
      <c r="P6789"/>
      <c r="Q6789" s="224"/>
      <c r="S6789" s="202"/>
      <c r="T6789"/>
    </row>
    <row r="6790" spans="15:20">
      <c r="O6790" s="247"/>
      <c r="P6790"/>
      <c r="Q6790" s="224"/>
      <c r="S6790" s="202"/>
      <c r="T6790"/>
    </row>
    <row r="6791" spans="15:20">
      <c r="O6791" s="247"/>
      <c r="P6791"/>
      <c r="Q6791" s="224"/>
      <c r="S6791" s="202"/>
      <c r="T6791"/>
    </row>
    <row r="6792" spans="15:20">
      <c r="O6792" s="247"/>
      <c r="P6792"/>
      <c r="Q6792" s="224"/>
      <c r="S6792" s="202"/>
      <c r="T6792"/>
    </row>
    <row r="6793" spans="15:20">
      <c r="O6793" s="247"/>
      <c r="P6793"/>
      <c r="Q6793" s="224"/>
      <c r="S6793" s="202"/>
      <c r="T6793"/>
    </row>
    <row r="6794" spans="15:20">
      <c r="O6794" s="247"/>
      <c r="P6794"/>
      <c r="Q6794" s="224"/>
      <c r="S6794" s="202"/>
      <c r="T6794"/>
    </row>
    <row r="6795" spans="15:20">
      <c r="O6795" s="247"/>
      <c r="P6795"/>
      <c r="Q6795" s="224"/>
      <c r="S6795" s="202"/>
      <c r="T6795"/>
    </row>
    <row r="6796" spans="15:20">
      <c r="O6796" s="247"/>
      <c r="P6796"/>
      <c r="Q6796" s="224"/>
      <c r="S6796" s="202"/>
      <c r="T6796"/>
    </row>
    <row r="6797" spans="15:20">
      <c r="O6797" s="247"/>
      <c r="P6797"/>
      <c r="Q6797" s="224"/>
      <c r="S6797" s="202"/>
      <c r="T6797"/>
    </row>
    <row r="6798" spans="15:20">
      <c r="O6798" s="247"/>
      <c r="P6798"/>
      <c r="Q6798" s="224"/>
      <c r="S6798" s="202"/>
      <c r="T6798"/>
    </row>
    <row r="6799" spans="15:20">
      <c r="O6799" s="247"/>
      <c r="P6799"/>
      <c r="Q6799" s="224"/>
      <c r="S6799" s="202"/>
      <c r="T6799"/>
    </row>
    <row r="6800" spans="15:20">
      <c r="O6800" s="247"/>
      <c r="P6800"/>
      <c r="Q6800" s="224"/>
      <c r="S6800" s="202"/>
      <c r="T6800"/>
    </row>
    <row r="6801" spans="15:20">
      <c r="O6801" s="247"/>
      <c r="P6801"/>
      <c r="Q6801" s="224"/>
      <c r="S6801" s="202"/>
      <c r="T6801"/>
    </row>
    <row r="6802" spans="15:20">
      <c r="O6802" s="247"/>
      <c r="P6802"/>
      <c r="Q6802" s="224"/>
      <c r="S6802" s="202"/>
      <c r="T6802"/>
    </row>
    <row r="6803" spans="15:20">
      <c r="O6803" s="247"/>
      <c r="P6803"/>
      <c r="Q6803" s="224"/>
      <c r="S6803" s="202"/>
      <c r="T6803"/>
    </row>
    <row r="6804" spans="15:20">
      <c r="O6804" s="247"/>
      <c r="P6804"/>
      <c r="Q6804" s="224"/>
      <c r="S6804" s="202"/>
      <c r="T6804"/>
    </row>
    <row r="6805" spans="15:20">
      <c r="O6805" s="247"/>
      <c r="P6805"/>
      <c r="Q6805" s="224"/>
      <c r="S6805" s="202"/>
      <c r="T6805"/>
    </row>
    <row r="6806" spans="15:20">
      <c r="O6806" s="247"/>
      <c r="P6806"/>
      <c r="Q6806" s="224"/>
      <c r="S6806" s="202"/>
      <c r="T6806"/>
    </row>
    <row r="6807" spans="15:20">
      <c r="O6807" s="247"/>
      <c r="P6807"/>
      <c r="Q6807" s="224"/>
      <c r="S6807" s="202"/>
      <c r="T6807"/>
    </row>
    <row r="6808" spans="15:20">
      <c r="O6808" s="247"/>
      <c r="P6808"/>
      <c r="Q6808" s="224"/>
      <c r="S6808" s="202"/>
      <c r="T6808"/>
    </row>
    <row r="6809" spans="15:20">
      <c r="O6809" s="247"/>
      <c r="P6809"/>
      <c r="Q6809" s="224"/>
      <c r="S6809" s="202"/>
      <c r="T6809"/>
    </row>
    <row r="6810" spans="15:20">
      <c r="O6810" s="247"/>
      <c r="P6810"/>
      <c r="Q6810" s="224"/>
      <c r="S6810" s="202"/>
      <c r="T6810"/>
    </row>
    <row r="6811" spans="15:20">
      <c r="O6811" s="247"/>
      <c r="P6811"/>
      <c r="Q6811" s="224"/>
      <c r="S6811" s="202"/>
      <c r="T6811"/>
    </row>
    <row r="6812" spans="15:20">
      <c r="O6812" s="247"/>
      <c r="P6812"/>
      <c r="Q6812" s="224"/>
      <c r="S6812" s="202"/>
      <c r="T6812"/>
    </row>
    <row r="6813" spans="15:20">
      <c r="O6813" s="247"/>
      <c r="P6813"/>
      <c r="Q6813" s="224"/>
      <c r="S6813" s="202"/>
      <c r="T6813"/>
    </row>
    <row r="6814" spans="15:20">
      <c r="O6814" s="247"/>
      <c r="P6814"/>
      <c r="Q6814" s="224"/>
      <c r="S6814" s="202"/>
      <c r="T6814"/>
    </row>
    <row r="6815" spans="15:20">
      <c r="O6815" s="247"/>
      <c r="P6815"/>
      <c r="Q6815" s="224"/>
      <c r="S6815" s="202"/>
      <c r="T6815"/>
    </row>
    <row r="6816" spans="15:20">
      <c r="O6816" s="247"/>
      <c r="P6816"/>
      <c r="Q6816" s="224"/>
      <c r="S6816" s="202"/>
      <c r="T6816"/>
    </row>
    <row r="6817" spans="15:20">
      <c r="O6817" s="247"/>
      <c r="P6817"/>
      <c r="Q6817" s="224"/>
      <c r="S6817" s="202"/>
      <c r="T6817"/>
    </row>
    <row r="6818" spans="15:20">
      <c r="O6818" s="247"/>
      <c r="P6818"/>
      <c r="Q6818" s="224"/>
      <c r="S6818" s="202"/>
      <c r="T6818"/>
    </row>
    <row r="6819" spans="15:20">
      <c r="O6819" s="247"/>
      <c r="P6819"/>
      <c r="Q6819" s="224"/>
      <c r="S6819" s="202"/>
      <c r="T6819"/>
    </row>
    <row r="6820" spans="15:20">
      <c r="O6820" s="247"/>
      <c r="P6820"/>
      <c r="Q6820" s="224"/>
      <c r="S6820" s="202"/>
      <c r="T6820"/>
    </row>
    <row r="6821" spans="15:20">
      <c r="O6821" s="247"/>
      <c r="P6821"/>
      <c r="Q6821" s="224"/>
      <c r="S6821" s="202"/>
      <c r="T6821"/>
    </row>
    <row r="6822" spans="15:20">
      <c r="O6822" s="247"/>
      <c r="P6822"/>
      <c r="Q6822" s="224"/>
      <c r="S6822" s="202"/>
      <c r="T6822"/>
    </row>
    <row r="6823" spans="15:20">
      <c r="O6823" s="247"/>
      <c r="P6823"/>
      <c r="Q6823" s="224"/>
      <c r="S6823" s="202"/>
      <c r="T6823"/>
    </row>
    <row r="6824" spans="15:20">
      <c r="O6824" s="247"/>
      <c r="P6824"/>
      <c r="Q6824" s="224"/>
      <c r="S6824" s="202"/>
      <c r="T6824"/>
    </row>
    <row r="6825" spans="15:20">
      <c r="O6825" s="247"/>
      <c r="P6825"/>
      <c r="Q6825" s="224"/>
      <c r="S6825" s="202"/>
      <c r="T6825"/>
    </row>
    <row r="6826" spans="15:20">
      <c r="O6826" s="247"/>
      <c r="P6826"/>
      <c r="Q6826" s="224"/>
      <c r="S6826" s="202"/>
      <c r="T6826"/>
    </row>
    <row r="6827" spans="15:20">
      <c r="O6827" s="247"/>
      <c r="P6827"/>
      <c r="Q6827" s="224"/>
      <c r="S6827" s="202"/>
      <c r="T6827"/>
    </row>
    <row r="6828" spans="15:20">
      <c r="O6828" s="247"/>
      <c r="P6828"/>
      <c r="Q6828" s="224"/>
      <c r="S6828" s="202"/>
      <c r="T6828"/>
    </row>
    <row r="6829" spans="15:20">
      <c r="O6829" s="247"/>
      <c r="P6829"/>
      <c r="Q6829" s="224"/>
      <c r="S6829" s="202"/>
      <c r="T6829"/>
    </row>
    <row r="6830" spans="15:20">
      <c r="O6830" s="247"/>
      <c r="P6830"/>
      <c r="Q6830" s="224"/>
      <c r="S6830" s="202"/>
      <c r="T6830"/>
    </row>
    <row r="6831" spans="15:20">
      <c r="O6831" s="247"/>
      <c r="P6831"/>
      <c r="Q6831" s="224"/>
      <c r="S6831" s="202"/>
      <c r="T6831"/>
    </row>
    <row r="6832" spans="15:20">
      <c r="O6832" s="247"/>
      <c r="P6832"/>
      <c r="Q6832" s="224"/>
      <c r="S6832" s="202"/>
      <c r="T6832"/>
    </row>
    <row r="6833" spans="15:20">
      <c r="O6833" s="247"/>
      <c r="P6833"/>
      <c r="Q6833" s="224"/>
      <c r="S6833" s="202"/>
      <c r="T6833"/>
    </row>
    <row r="6834" spans="15:20">
      <c r="O6834" s="247"/>
      <c r="P6834"/>
      <c r="Q6834" s="224"/>
      <c r="S6834" s="202"/>
      <c r="T6834"/>
    </row>
    <row r="6835" spans="15:20">
      <c r="O6835" s="247"/>
      <c r="P6835"/>
      <c r="Q6835" s="224"/>
      <c r="S6835" s="202"/>
      <c r="T6835"/>
    </row>
    <row r="6836" spans="15:20">
      <c r="O6836" s="247"/>
      <c r="P6836"/>
      <c r="Q6836" s="224"/>
      <c r="S6836" s="202"/>
      <c r="T6836"/>
    </row>
    <row r="6837" spans="15:20">
      <c r="O6837" s="247"/>
      <c r="P6837"/>
      <c r="Q6837" s="224"/>
      <c r="S6837" s="202"/>
      <c r="T6837"/>
    </row>
    <row r="6838" spans="15:20">
      <c r="O6838" s="247"/>
      <c r="P6838"/>
      <c r="Q6838" s="224"/>
      <c r="S6838" s="202"/>
      <c r="T6838"/>
    </row>
    <row r="6839" spans="15:20">
      <c r="O6839" s="247"/>
      <c r="P6839"/>
      <c r="Q6839" s="224"/>
      <c r="S6839" s="202"/>
      <c r="T6839"/>
    </row>
    <row r="6840" spans="15:20">
      <c r="O6840" s="247"/>
      <c r="P6840"/>
      <c r="Q6840" s="224"/>
      <c r="S6840" s="202"/>
      <c r="T6840"/>
    </row>
    <row r="6841" spans="15:20">
      <c r="O6841" s="247"/>
      <c r="P6841"/>
      <c r="Q6841" s="224"/>
      <c r="S6841" s="202"/>
      <c r="T6841"/>
    </row>
    <row r="6842" spans="15:20">
      <c r="O6842" s="247"/>
      <c r="P6842"/>
      <c r="Q6842" s="224"/>
      <c r="S6842" s="202"/>
      <c r="T6842"/>
    </row>
    <row r="6843" spans="15:20">
      <c r="O6843" s="247"/>
      <c r="P6843"/>
      <c r="Q6843" s="224"/>
      <c r="S6843" s="202"/>
      <c r="T6843"/>
    </row>
    <row r="6844" spans="15:20">
      <c r="O6844" s="247"/>
      <c r="P6844"/>
      <c r="Q6844" s="224"/>
      <c r="S6844" s="202"/>
      <c r="T6844"/>
    </row>
    <row r="6845" spans="15:20">
      <c r="O6845" s="247"/>
      <c r="P6845"/>
      <c r="Q6845" s="224"/>
      <c r="S6845" s="202"/>
      <c r="T6845"/>
    </row>
    <row r="6846" spans="15:20">
      <c r="O6846" s="247"/>
      <c r="P6846"/>
      <c r="Q6846" s="224"/>
      <c r="S6846" s="202"/>
      <c r="T6846"/>
    </row>
    <row r="6847" spans="15:20">
      <c r="O6847" s="247"/>
      <c r="P6847"/>
      <c r="Q6847" s="224"/>
      <c r="S6847" s="202"/>
      <c r="T6847"/>
    </row>
    <row r="6848" spans="15:20">
      <c r="O6848" s="247"/>
      <c r="P6848"/>
      <c r="Q6848" s="224"/>
      <c r="S6848" s="202"/>
      <c r="T6848"/>
    </row>
    <row r="6849" spans="15:20">
      <c r="O6849" s="247"/>
      <c r="P6849"/>
      <c r="Q6849" s="224"/>
      <c r="S6849" s="202"/>
      <c r="T6849"/>
    </row>
    <row r="6850" spans="15:20">
      <c r="O6850" s="247"/>
      <c r="P6850"/>
      <c r="Q6850" s="224"/>
      <c r="S6850" s="202"/>
      <c r="T6850"/>
    </row>
    <row r="6851" spans="15:20">
      <c r="O6851" s="247"/>
      <c r="P6851"/>
      <c r="Q6851" s="224"/>
      <c r="S6851" s="202"/>
      <c r="T6851"/>
    </row>
    <row r="6852" spans="15:20">
      <c r="O6852" s="247"/>
      <c r="P6852"/>
      <c r="Q6852" s="224"/>
      <c r="S6852" s="202"/>
      <c r="T6852"/>
    </row>
    <row r="6853" spans="15:20">
      <c r="O6853" s="247"/>
      <c r="P6853"/>
      <c r="Q6853" s="224"/>
      <c r="S6853" s="202"/>
      <c r="T6853"/>
    </row>
    <row r="6854" spans="15:20">
      <c r="O6854" s="247"/>
      <c r="P6854"/>
      <c r="Q6854" s="224"/>
      <c r="S6854" s="202"/>
      <c r="T6854"/>
    </row>
    <row r="6855" spans="15:20">
      <c r="O6855" s="247"/>
      <c r="P6855"/>
      <c r="Q6855" s="224"/>
      <c r="S6855" s="202"/>
      <c r="T6855"/>
    </row>
    <row r="6856" spans="15:20">
      <c r="O6856" s="247"/>
      <c r="P6856"/>
      <c r="Q6856" s="224"/>
      <c r="S6856" s="202"/>
      <c r="T6856"/>
    </row>
    <row r="6857" spans="15:20">
      <c r="O6857" s="247"/>
      <c r="P6857"/>
      <c r="Q6857" s="224"/>
      <c r="S6857" s="202"/>
      <c r="T6857"/>
    </row>
    <row r="6858" spans="15:20">
      <c r="O6858" s="247"/>
      <c r="P6858"/>
      <c r="Q6858" s="224"/>
      <c r="S6858" s="202"/>
      <c r="T6858"/>
    </row>
    <row r="6859" spans="15:20">
      <c r="O6859" s="247"/>
      <c r="P6859"/>
      <c r="Q6859" s="224"/>
      <c r="S6859" s="202"/>
      <c r="T6859"/>
    </row>
    <row r="6860" spans="15:20">
      <c r="O6860" s="247"/>
      <c r="P6860"/>
      <c r="Q6860" s="224"/>
      <c r="S6860" s="202"/>
      <c r="T6860"/>
    </row>
    <row r="6861" spans="15:20">
      <c r="O6861" s="247"/>
      <c r="P6861"/>
      <c r="Q6861" s="224"/>
      <c r="S6861" s="202"/>
      <c r="T6861"/>
    </row>
    <row r="6862" spans="15:20">
      <c r="O6862" s="247"/>
      <c r="P6862"/>
      <c r="Q6862" s="224"/>
      <c r="S6862" s="202"/>
      <c r="T6862"/>
    </row>
    <row r="6863" spans="15:20">
      <c r="O6863" s="247"/>
      <c r="P6863"/>
      <c r="Q6863" s="224"/>
      <c r="S6863" s="202"/>
      <c r="T6863"/>
    </row>
    <row r="6864" spans="15:20">
      <c r="O6864" s="247"/>
      <c r="P6864"/>
      <c r="Q6864" s="224"/>
      <c r="S6864" s="202"/>
      <c r="T6864"/>
    </row>
    <row r="6865" spans="15:20">
      <c r="O6865" s="247"/>
      <c r="P6865"/>
      <c r="Q6865" s="224"/>
      <c r="S6865" s="202"/>
      <c r="T6865"/>
    </row>
    <row r="6866" spans="15:20">
      <c r="O6866" s="247"/>
      <c r="P6866"/>
      <c r="Q6866" s="224"/>
      <c r="S6866" s="202"/>
      <c r="T6866"/>
    </row>
    <row r="6867" spans="15:20">
      <c r="O6867" s="247"/>
      <c r="P6867"/>
      <c r="Q6867" s="224"/>
      <c r="S6867" s="202"/>
      <c r="T6867"/>
    </row>
    <row r="6868" spans="15:20">
      <c r="O6868" s="247"/>
      <c r="P6868"/>
      <c r="Q6868" s="224"/>
      <c r="S6868" s="202"/>
      <c r="T6868"/>
    </row>
    <row r="6869" spans="15:20">
      <c r="O6869" s="247"/>
      <c r="P6869"/>
      <c r="Q6869" s="224"/>
      <c r="S6869" s="202"/>
      <c r="T6869"/>
    </row>
    <row r="6870" spans="15:20">
      <c r="O6870" s="247"/>
      <c r="P6870"/>
      <c r="Q6870" s="224"/>
      <c r="S6870" s="202"/>
      <c r="T6870"/>
    </row>
    <row r="6871" spans="15:20">
      <c r="O6871" s="247"/>
      <c r="P6871"/>
      <c r="Q6871" s="224"/>
      <c r="S6871" s="202"/>
      <c r="T6871"/>
    </row>
    <row r="6872" spans="15:20">
      <c r="O6872" s="247"/>
      <c r="P6872"/>
      <c r="Q6872" s="224"/>
      <c r="S6872" s="202"/>
      <c r="T6872"/>
    </row>
    <row r="6873" spans="15:20">
      <c r="O6873" s="247"/>
      <c r="P6873"/>
      <c r="Q6873" s="224"/>
      <c r="S6873" s="202"/>
      <c r="T6873"/>
    </row>
    <row r="6874" spans="15:20">
      <c r="O6874" s="247"/>
      <c r="P6874"/>
      <c r="Q6874" s="224"/>
      <c r="S6874" s="202"/>
      <c r="T6874"/>
    </row>
    <row r="6875" spans="15:20">
      <c r="O6875" s="247"/>
      <c r="P6875"/>
      <c r="Q6875" s="224"/>
      <c r="S6875" s="202"/>
      <c r="T6875"/>
    </row>
    <row r="6876" spans="15:20">
      <c r="O6876" s="247"/>
      <c r="P6876"/>
      <c r="Q6876" s="224"/>
      <c r="S6876" s="202"/>
      <c r="T6876"/>
    </row>
    <row r="6877" spans="15:20">
      <c r="O6877" s="247"/>
      <c r="P6877"/>
      <c r="Q6877" s="224"/>
      <c r="S6877" s="202"/>
      <c r="T6877"/>
    </row>
    <row r="6878" spans="15:20">
      <c r="O6878" s="247"/>
      <c r="P6878"/>
      <c r="Q6878" s="224"/>
      <c r="S6878" s="202"/>
      <c r="T6878"/>
    </row>
    <row r="6879" spans="15:20">
      <c r="O6879" s="247"/>
      <c r="P6879"/>
      <c r="Q6879" s="224"/>
      <c r="S6879" s="202"/>
      <c r="T6879"/>
    </row>
    <row r="6880" spans="15:20">
      <c r="O6880" s="247"/>
      <c r="P6880"/>
      <c r="Q6880" s="224"/>
      <c r="S6880" s="202"/>
      <c r="T6880"/>
    </row>
    <row r="6881" spans="15:20">
      <c r="O6881" s="247"/>
      <c r="P6881"/>
      <c r="Q6881" s="224"/>
      <c r="S6881" s="202"/>
      <c r="T6881"/>
    </row>
    <row r="6882" spans="15:20">
      <c r="O6882" s="247"/>
      <c r="P6882"/>
      <c r="Q6882" s="224"/>
      <c r="S6882" s="202"/>
      <c r="T6882"/>
    </row>
    <row r="6883" spans="15:20">
      <c r="O6883" s="247"/>
      <c r="P6883"/>
      <c r="Q6883" s="224"/>
      <c r="S6883" s="202"/>
      <c r="T6883"/>
    </row>
    <row r="6884" spans="15:20">
      <c r="O6884" s="247"/>
      <c r="P6884"/>
      <c r="Q6884" s="224"/>
      <c r="S6884" s="202"/>
      <c r="T6884"/>
    </row>
    <row r="6885" spans="15:20">
      <c r="O6885" s="247"/>
      <c r="P6885"/>
      <c r="Q6885" s="224"/>
      <c r="S6885" s="202"/>
      <c r="T6885"/>
    </row>
    <row r="6886" spans="15:20">
      <c r="O6886" s="247"/>
      <c r="P6886"/>
      <c r="Q6886" s="224"/>
      <c r="S6886" s="202"/>
      <c r="T6886"/>
    </row>
    <row r="6887" spans="15:20">
      <c r="O6887" s="247"/>
      <c r="P6887"/>
      <c r="Q6887" s="224"/>
      <c r="S6887" s="202"/>
      <c r="T6887"/>
    </row>
    <row r="6888" spans="15:20">
      <c r="O6888" s="247"/>
      <c r="P6888"/>
      <c r="Q6888" s="224"/>
      <c r="S6888" s="202"/>
      <c r="T6888"/>
    </row>
    <row r="6889" spans="15:20">
      <c r="O6889" s="247"/>
      <c r="P6889"/>
      <c r="Q6889" s="224"/>
      <c r="S6889" s="202"/>
      <c r="T6889"/>
    </row>
    <row r="6890" spans="15:20">
      <c r="O6890" s="247"/>
      <c r="P6890"/>
      <c r="Q6890" s="224"/>
      <c r="S6890" s="202"/>
      <c r="T6890"/>
    </row>
    <row r="6891" spans="15:20">
      <c r="O6891" s="247"/>
      <c r="P6891"/>
      <c r="Q6891" s="224"/>
      <c r="S6891" s="202"/>
      <c r="T6891"/>
    </row>
    <row r="6892" spans="15:20">
      <c r="O6892" s="247"/>
      <c r="P6892"/>
      <c r="Q6892" s="224"/>
      <c r="S6892" s="202"/>
      <c r="T6892"/>
    </row>
    <row r="6893" spans="15:20">
      <c r="O6893" s="247"/>
      <c r="P6893"/>
      <c r="Q6893" s="224"/>
      <c r="S6893" s="202"/>
      <c r="T6893"/>
    </row>
    <row r="6894" spans="15:20">
      <c r="O6894" s="247"/>
      <c r="P6894"/>
      <c r="Q6894" s="224"/>
      <c r="S6894" s="202"/>
      <c r="T6894"/>
    </row>
    <row r="6895" spans="15:20">
      <c r="O6895" s="247"/>
      <c r="P6895"/>
      <c r="Q6895" s="224"/>
      <c r="S6895" s="202"/>
      <c r="T6895"/>
    </row>
    <row r="6896" spans="15:20">
      <c r="O6896" s="247"/>
      <c r="P6896"/>
      <c r="Q6896" s="224"/>
      <c r="S6896" s="202"/>
      <c r="T6896"/>
    </row>
    <row r="6897" spans="15:20">
      <c r="O6897" s="247"/>
      <c r="P6897"/>
      <c r="Q6897" s="224"/>
      <c r="S6897" s="202"/>
      <c r="T6897"/>
    </row>
    <row r="6898" spans="15:20">
      <c r="O6898" s="247"/>
      <c r="P6898"/>
      <c r="Q6898" s="224"/>
      <c r="S6898" s="202"/>
      <c r="T6898"/>
    </row>
    <row r="6899" spans="15:20">
      <c r="O6899" s="247"/>
      <c r="P6899"/>
      <c r="Q6899" s="224"/>
      <c r="S6899" s="202"/>
      <c r="T6899"/>
    </row>
    <row r="6900" spans="15:20">
      <c r="O6900" s="247"/>
      <c r="P6900"/>
      <c r="Q6900" s="224"/>
      <c r="S6900" s="202"/>
      <c r="T6900"/>
    </row>
    <row r="6901" spans="15:20">
      <c r="O6901" s="247"/>
      <c r="P6901"/>
      <c r="Q6901" s="224"/>
      <c r="S6901" s="202"/>
      <c r="T6901"/>
    </row>
    <row r="6902" spans="15:20">
      <c r="O6902" s="247"/>
      <c r="P6902"/>
      <c r="Q6902" s="224"/>
      <c r="S6902" s="202"/>
      <c r="T6902"/>
    </row>
    <row r="6903" spans="15:20">
      <c r="O6903" s="247"/>
      <c r="P6903"/>
      <c r="Q6903" s="224"/>
      <c r="S6903" s="202"/>
      <c r="T6903"/>
    </row>
    <row r="6904" spans="15:20">
      <c r="O6904" s="247"/>
      <c r="P6904"/>
      <c r="Q6904" s="224"/>
      <c r="S6904" s="202"/>
      <c r="T6904"/>
    </row>
    <row r="6905" spans="15:20">
      <c r="O6905" s="247"/>
      <c r="P6905"/>
      <c r="Q6905" s="224"/>
      <c r="S6905" s="202"/>
      <c r="T6905"/>
    </row>
    <row r="6906" spans="15:20">
      <c r="O6906" s="247"/>
      <c r="P6906"/>
      <c r="Q6906" s="224"/>
      <c r="S6906" s="202"/>
      <c r="T6906"/>
    </row>
    <row r="6907" spans="15:20">
      <c r="O6907" s="247"/>
      <c r="P6907"/>
      <c r="Q6907" s="224"/>
      <c r="S6907" s="202"/>
      <c r="T6907"/>
    </row>
    <row r="6908" spans="15:20">
      <c r="O6908" s="247"/>
      <c r="P6908"/>
      <c r="Q6908" s="224"/>
      <c r="S6908" s="202"/>
      <c r="T6908"/>
    </row>
    <row r="6909" spans="15:20">
      <c r="O6909" s="247"/>
      <c r="P6909"/>
      <c r="Q6909" s="224"/>
      <c r="S6909" s="202"/>
      <c r="T6909"/>
    </row>
    <row r="6910" spans="15:20">
      <c r="O6910" s="247"/>
      <c r="P6910"/>
      <c r="Q6910" s="224"/>
      <c r="S6910" s="202"/>
      <c r="T6910"/>
    </row>
    <row r="6911" spans="15:20">
      <c r="O6911" s="247"/>
      <c r="P6911"/>
      <c r="Q6911" s="224"/>
      <c r="S6911" s="202"/>
      <c r="T6911"/>
    </row>
    <row r="6912" spans="15:20">
      <c r="O6912" s="247"/>
      <c r="P6912"/>
      <c r="Q6912" s="224"/>
      <c r="S6912" s="202"/>
      <c r="T6912"/>
    </row>
    <row r="6913" spans="15:20">
      <c r="O6913" s="247"/>
      <c r="P6913"/>
      <c r="Q6913" s="224"/>
      <c r="S6913" s="202"/>
      <c r="T6913"/>
    </row>
    <row r="6914" spans="15:20">
      <c r="O6914" s="247"/>
      <c r="P6914"/>
      <c r="Q6914" s="224"/>
      <c r="S6914" s="202"/>
      <c r="T6914"/>
    </row>
    <row r="6915" spans="15:20">
      <c r="O6915" s="247"/>
      <c r="P6915"/>
      <c r="Q6915" s="224"/>
      <c r="S6915" s="202"/>
      <c r="T6915"/>
    </row>
    <row r="6916" spans="15:20">
      <c r="O6916" s="247"/>
      <c r="P6916"/>
      <c r="Q6916" s="224"/>
      <c r="S6916" s="202"/>
      <c r="T6916"/>
    </row>
    <row r="6917" spans="15:20">
      <c r="O6917" s="247"/>
      <c r="P6917"/>
      <c r="Q6917" s="224"/>
      <c r="S6917" s="202"/>
      <c r="T6917"/>
    </row>
    <row r="6918" spans="15:20">
      <c r="O6918" s="247"/>
      <c r="P6918"/>
      <c r="Q6918" s="224"/>
      <c r="S6918" s="202"/>
      <c r="T6918"/>
    </row>
    <row r="6919" spans="15:20">
      <c r="O6919" s="247"/>
      <c r="P6919"/>
      <c r="Q6919" s="224"/>
      <c r="S6919" s="202"/>
      <c r="T6919"/>
    </row>
    <row r="6920" spans="15:20">
      <c r="O6920" s="247"/>
      <c r="P6920"/>
      <c r="Q6920" s="224"/>
      <c r="S6920" s="202"/>
      <c r="T6920"/>
    </row>
    <row r="6921" spans="15:20">
      <c r="O6921" s="247"/>
      <c r="P6921"/>
      <c r="Q6921" s="224"/>
      <c r="S6921" s="202"/>
      <c r="T6921"/>
    </row>
    <row r="6922" spans="15:20">
      <c r="O6922" s="247"/>
      <c r="P6922"/>
      <c r="Q6922" s="224"/>
      <c r="S6922" s="202"/>
      <c r="T6922"/>
    </row>
    <row r="6923" spans="15:20">
      <c r="O6923" s="247"/>
      <c r="P6923"/>
      <c r="Q6923" s="224"/>
      <c r="S6923" s="202"/>
      <c r="T6923"/>
    </row>
    <row r="6924" spans="15:20">
      <c r="O6924" s="247"/>
      <c r="P6924"/>
      <c r="Q6924" s="224"/>
      <c r="S6924" s="202"/>
      <c r="T6924"/>
    </row>
    <row r="6925" spans="15:20">
      <c r="O6925" s="247"/>
      <c r="P6925"/>
      <c r="Q6925" s="224"/>
      <c r="S6925" s="202"/>
      <c r="T6925"/>
    </row>
    <row r="6926" spans="15:20">
      <c r="O6926" s="247"/>
      <c r="P6926"/>
      <c r="Q6926" s="224"/>
      <c r="S6926" s="202"/>
      <c r="T6926"/>
    </row>
    <row r="6927" spans="15:20">
      <c r="O6927" s="247"/>
      <c r="P6927"/>
      <c r="Q6927" s="224"/>
      <c r="S6927" s="202"/>
      <c r="T6927"/>
    </row>
    <row r="6928" spans="15:20">
      <c r="O6928" s="247"/>
      <c r="P6928"/>
      <c r="Q6928" s="224"/>
      <c r="S6928" s="202"/>
      <c r="T6928"/>
    </row>
    <row r="6929" spans="15:20">
      <c r="O6929" s="247"/>
      <c r="P6929"/>
      <c r="Q6929" s="224"/>
      <c r="S6929" s="202"/>
      <c r="T6929"/>
    </row>
    <row r="6930" spans="15:20">
      <c r="O6930" s="247"/>
      <c r="P6930"/>
      <c r="Q6930" s="224"/>
      <c r="S6930" s="202"/>
      <c r="T6930"/>
    </row>
    <row r="6931" spans="15:20">
      <c r="O6931" s="247"/>
      <c r="P6931"/>
      <c r="Q6931" s="224"/>
      <c r="S6931" s="202"/>
      <c r="T6931"/>
    </row>
    <row r="6932" spans="15:20">
      <c r="O6932" s="247"/>
      <c r="P6932"/>
      <c r="Q6932" s="224"/>
      <c r="S6932" s="202"/>
      <c r="T6932"/>
    </row>
    <row r="6933" spans="15:20">
      <c r="O6933" s="247"/>
      <c r="P6933"/>
      <c r="Q6933" s="224"/>
      <c r="S6933" s="202"/>
      <c r="T6933"/>
    </row>
    <row r="6934" spans="15:20">
      <c r="O6934" s="247"/>
      <c r="P6934"/>
      <c r="Q6934" s="224"/>
      <c r="S6934" s="202"/>
      <c r="T6934"/>
    </row>
    <row r="6935" spans="15:20">
      <c r="O6935" s="247"/>
      <c r="P6935"/>
      <c r="Q6935" s="224"/>
      <c r="S6935" s="202"/>
      <c r="T6935"/>
    </row>
    <row r="6936" spans="15:20">
      <c r="O6936" s="247"/>
      <c r="P6936"/>
      <c r="Q6936" s="224"/>
      <c r="S6936" s="202"/>
      <c r="T6936"/>
    </row>
    <row r="6937" spans="15:20">
      <c r="O6937" s="247"/>
      <c r="P6937"/>
      <c r="Q6937" s="224"/>
      <c r="S6937" s="202"/>
      <c r="T6937"/>
    </row>
    <row r="6938" spans="15:20">
      <c r="O6938" s="247"/>
      <c r="P6938"/>
      <c r="Q6938" s="224"/>
      <c r="S6938" s="202"/>
      <c r="T6938"/>
    </row>
    <row r="6939" spans="15:20">
      <c r="O6939" s="247"/>
      <c r="P6939"/>
      <c r="Q6939" s="224"/>
      <c r="S6939" s="202"/>
      <c r="T6939"/>
    </row>
    <row r="6940" spans="15:20">
      <c r="O6940" s="247"/>
      <c r="P6940"/>
      <c r="Q6940" s="224"/>
      <c r="S6940" s="202"/>
      <c r="T6940"/>
    </row>
    <row r="6941" spans="15:20">
      <c r="O6941" s="247"/>
      <c r="P6941"/>
      <c r="Q6941" s="224"/>
      <c r="S6941" s="202"/>
      <c r="T6941"/>
    </row>
    <row r="6942" spans="15:20">
      <c r="O6942" s="247"/>
      <c r="P6942"/>
      <c r="Q6942" s="224"/>
      <c r="S6942" s="202"/>
      <c r="T6942"/>
    </row>
    <row r="6943" spans="15:20">
      <c r="O6943" s="247"/>
      <c r="P6943"/>
      <c r="Q6943" s="224"/>
      <c r="S6943" s="202"/>
      <c r="T6943"/>
    </row>
    <row r="6944" spans="15:20">
      <c r="O6944" s="247"/>
      <c r="P6944"/>
      <c r="Q6944" s="224"/>
      <c r="S6944" s="202"/>
      <c r="T6944"/>
    </row>
    <row r="6945" spans="15:20">
      <c r="O6945" s="247"/>
      <c r="P6945"/>
      <c r="Q6945" s="224"/>
      <c r="S6945" s="202"/>
      <c r="T6945"/>
    </row>
    <row r="6946" spans="15:20">
      <c r="O6946" s="247"/>
      <c r="P6946"/>
      <c r="Q6946" s="224"/>
      <c r="S6946" s="202"/>
      <c r="T6946"/>
    </row>
    <row r="6947" spans="15:20">
      <c r="O6947" s="247"/>
      <c r="P6947"/>
      <c r="Q6947" s="224"/>
      <c r="S6947" s="202"/>
      <c r="T6947"/>
    </row>
    <row r="6948" spans="15:20">
      <c r="O6948" s="247"/>
      <c r="P6948"/>
      <c r="Q6948" s="224"/>
      <c r="S6948" s="202"/>
      <c r="T6948"/>
    </row>
    <row r="6949" spans="15:20">
      <c r="O6949" s="247"/>
      <c r="P6949"/>
      <c r="Q6949" s="224"/>
      <c r="S6949" s="202"/>
      <c r="T6949"/>
    </row>
    <row r="6950" spans="15:20">
      <c r="O6950" s="247"/>
      <c r="P6950"/>
      <c r="Q6950" s="224"/>
      <c r="S6950" s="202"/>
      <c r="T6950"/>
    </row>
    <row r="6951" spans="15:20">
      <c r="O6951" s="247"/>
      <c r="P6951"/>
      <c r="Q6951" s="224"/>
      <c r="S6951" s="202"/>
      <c r="T6951"/>
    </row>
    <row r="6952" spans="15:20">
      <c r="O6952" s="247"/>
      <c r="P6952"/>
      <c r="Q6952" s="224"/>
      <c r="S6952" s="202"/>
      <c r="T6952"/>
    </row>
    <row r="6953" spans="15:20">
      <c r="O6953" s="247"/>
      <c r="P6953"/>
      <c r="Q6953" s="224"/>
      <c r="S6953" s="202"/>
      <c r="T6953"/>
    </row>
    <row r="6954" spans="15:20">
      <c r="O6954" s="247"/>
      <c r="P6954"/>
      <c r="Q6954" s="224"/>
      <c r="S6954" s="202"/>
      <c r="T6954"/>
    </row>
    <row r="6955" spans="15:20">
      <c r="O6955" s="247"/>
      <c r="P6955"/>
      <c r="Q6955" s="224"/>
      <c r="S6955" s="202"/>
      <c r="T6955"/>
    </row>
    <row r="6956" spans="15:20">
      <c r="O6956" s="247"/>
      <c r="P6956"/>
      <c r="Q6956" s="224"/>
      <c r="S6956" s="202"/>
      <c r="T6956"/>
    </row>
    <row r="6957" spans="15:20">
      <c r="O6957" s="247"/>
      <c r="P6957"/>
      <c r="Q6957" s="224"/>
      <c r="S6957" s="202"/>
      <c r="T6957"/>
    </row>
    <row r="6958" spans="15:20">
      <c r="O6958" s="247"/>
      <c r="P6958"/>
      <c r="Q6958" s="224"/>
      <c r="S6958" s="202"/>
      <c r="T6958"/>
    </row>
    <row r="6959" spans="15:20">
      <c r="O6959" s="247"/>
      <c r="P6959"/>
      <c r="Q6959" s="224"/>
      <c r="S6959" s="202"/>
      <c r="T6959"/>
    </row>
    <row r="6960" spans="15:20">
      <c r="O6960" s="247"/>
      <c r="P6960"/>
      <c r="Q6960" s="224"/>
      <c r="S6960" s="202"/>
      <c r="T6960"/>
    </row>
    <row r="6961" spans="15:20">
      <c r="O6961" s="247"/>
      <c r="P6961"/>
      <c r="Q6961" s="224"/>
      <c r="S6961" s="202"/>
      <c r="T6961"/>
    </row>
    <row r="6962" spans="15:20">
      <c r="O6962" s="247"/>
      <c r="P6962"/>
      <c r="Q6962" s="224"/>
      <c r="S6962" s="202"/>
      <c r="T6962"/>
    </row>
    <row r="6963" spans="15:20">
      <c r="O6963" s="247"/>
      <c r="P6963"/>
      <c r="Q6963" s="224"/>
      <c r="S6963" s="202"/>
      <c r="T6963"/>
    </row>
    <row r="6964" spans="15:20">
      <c r="O6964" s="247"/>
      <c r="P6964"/>
      <c r="Q6964" s="224"/>
      <c r="S6964" s="202"/>
      <c r="T6964"/>
    </row>
    <row r="6965" spans="15:20">
      <c r="O6965" s="247"/>
      <c r="P6965"/>
      <c r="Q6965" s="224"/>
      <c r="S6965" s="202"/>
      <c r="T6965"/>
    </row>
    <row r="6966" spans="15:20">
      <c r="O6966" s="247"/>
      <c r="P6966"/>
      <c r="Q6966" s="224"/>
      <c r="S6966" s="202"/>
      <c r="T6966"/>
    </row>
    <row r="6967" spans="15:20">
      <c r="O6967" s="247"/>
      <c r="P6967"/>
      <c r="Q6967" s="224"/>
      <c r="S6967" s="202"/>
      <c r="T6967"/>
    </row>
    <row r="6968" spans="15:20">
      <c r="O6968" s="247"/>
      <c r="P6968"/>
      <c r="Q6968" s="224"/>
      <c r="S6968" s="202"/>
      <c r="T6968"/>
    </row>
    <row r="6969" spans="15:20">
      <c r="O6969" s="247"/>
      <c r="P6969"/>
      <c r="Q6969" s="224"/>
      <c r="S6969" s="202"/>
      <c r="T6969"/>
    </row>
    <row r="6970" spans="15:20">
      <c r="O6970" s="247"/>
      <c r="P6970"/>
      <c r="Q6970" s="224"/>
      <c r="S6970" s="202"/>
      <c r="T6970"/>
    </row>
    <row r="6971" spans="15:20">
      <c r="O6971" s="247"/>
      <c r="P6971"/>
      <c r="Q6971" s="224"/>
      <c r="S6971" s="202"/>
      <c r="T6971"/>
    </row>
    <row r="6972" spans="15:20">
      <c r="O6972" s="247"/>
      <c r="P6972"/>
      <c r="Q6972" s="224"/>
      <c r="S6972" s="202"/>
      <c r="T6972"/>
    </row>
    <row r="6973" spans="15:20">
      <c r="O6973" s="247"/>
      <c r="P6973"/>
      <c r="Q6973" s="224"/>
      <c r="S6973" s="202"/>
      <c r="T6973"/>
    </row>
    <row r="6974" spans="15:20">
      <c r="O6974" s="247"/>
      <c r="P6974"/>
      <c r="Q6974" s="224"/>
      <c r="S6974" s="202"/>
      <c r="T6974"/>
    </row>
    <row r="6975" spans="15:20">
      <c r="O6975" s="247"/>
      <c r="P6975"/>
      <c r="Q6975" s="224"/>
      <c r="S6975" s="202"/>
      <c r="T6975"/>
    </row>
    <row r="6976" spans="15:20">
      <c r="O6976" s="247"/>
      <c r="P6976"/>
      <c r="Q6976" s="224"/>
      <c r="S6976" s="202"/>
      <c r="T6976"/>
    </row>
    <row r="6977" spans="15:20">
      <c r="O6977" s="247"/>
      <c r="P6977"/>
      <c r="Q6977" s="224"/>
      <c r="S6977" s="202"/>
      <c r="T6977"/>
    </row>
    <row r="6978" spans="15:20">
      <c r="O6978" s="247"/>
      <c r="P6978"/>
      <c r="Q6978" s="224"/>
      <c r="S6978" s="202"/>
      <c r="T6978"/>
    </row>
    <row r="6979" spans="15:20">
      <c r="O6979" s="247"/>
      <c r="P6979"/>
      <c r="Q6979" s="224"/>
      <c r="S6979" s="202"/>
      <c r="T6979"/>
    </row>
    <row r="6980" spans="15:20">
      <c r="O6980" s="247"/>
      <c r="P6980"/>
      <c r="Q6980" s="224"/>
      <c r="S6980" s="202"/>
      <c r="T6980"/>
    </row>
    <row r="6981" spans="15:20">
      <c r="O6981" s="247"/>
      <c r="P6981"/>
      <c r="Q6981" s="224"/>
      <c r="S6981" s="202"/>
      <c r="T6981"/>
    </row>
    <row r="6982" spans="15:20">
      <c r="O6982" s="247"/>
      <c r="P6982"/>
      <c r="Q6982" s="224"/>
      <c r="S6982" s="202"/>
      <c r="T6982"/>
    </row>
    <row r="6983" spans="15:20">
      <c r="O6983" s="247"/>
      <c r="P6983"/>
      <c r="Q6983" s="224"/>
      <c r="S6983" s="202"/>
      <c r="T6983"/>
    </row>
    <row r="6984" spans="15:20">
      <c r="O6984" s="247"/>
      <c r="P6984"/>
      <c r="Q6984" s="224"/>
      <c r="S6984" s="202"/>
      <c r="T6984"/>
    </row>
    <row r="6985" spans="15:20">
      <c r="O6985" s="247"/>
      <c r="P6985"/>
      <c r="Q6985" s="224"/>
      <c r="S6985" s="202"/>
      <c r="T6985"/>
    </row>
    <row r="6986" spans="15:20">
      <c r="O6986" s="247"/>
      <c r="P6986"/>
      <c r="Q6986" s="224"/>
      <c r="S6986" s="202"/>
      <c r="T6986"/>
    </row>
    <row r="6987" spans="15:20">
      <c r="O6987" s="247"/>
      <c r="P6987"/>
      <c r="Q6987" s="224"/>
      <c r="S6987" s="202"/>
      <c r="T6987"/>
    </row>
    <row r="6988" spans="15:20">
      <c r="O6988" s="247"/>
      <c r="P6988"/>
      <c r="Q6988" s="224"/>
      <c r="S6988" s="202"/>
      <c r="T6988"/>
    </row>
    <row r="6989" spans="15:20">
      <c r="O6989" s="247"/>
      <c r="P6989"/>
      <c r="Q6989" s="224"/>
      <c r="S6989" s="202"/>
      <c r="T6989"/>
    </row>
    <row r="6990" spans="15:20">
      <c r="O6990" s="247"/>
      <c r="P6990"/>
      <c r="Q6990" s="224"/>
      <c r="S6990" s="202"/>
      <c r="T6990"/>
    </row>
    <row r="6991" spans="15:20">
      <c r="O6991" s="247"/>
      <c r="P6991"/>
      <c r="Q6991" s="224"/>
      <c r="S6991" s="202"/>
      <c r="T6991"/>
    </row>
    <row r="6992" spans="15:20">
      <c r="O6992" s="247"/>
      <c r="P6992"/>
      <c r="Q6992" s="224"/>
      <c r="S6992" s="202"/>
      <c r="T6992"/>
    </row>
    <row r="6993" spans="15:20">
      <c r="O6993" s="247"/>
      <c r="P6993"/>
      <c r="Q6993" s="224"/>
      <c r="S6993" s="202"/>
      <c r="T6993"/>
    </row>
    <row r="6994" spans="15:20">
      <c r="O6994" s="247"/>
      <c r="P6994"/>
      <c r="Q6994" s="224"/>
      <c r="S6994" s="202"/>
      <c r="T6994"/>
    </row>
    <row r="6995" spans="15:20">
      <c r="O6995" s="247"/>
      <c r="P6995"/>
      <c r="Q6995" s="224"/>
      <c r="S6995" s="202"/>
      <c r="T6995"/>
    </row>
    <row r="6996" spans="15:20">
      <c r="O6996" s="247"/>
      <c r="P6996"/>
      <c r="Q6996" s="224"/>
      <c r="S6996" s="202"/>
      <c r="T6996"/>
    </row>
    <row r="6997" spans="15:20">
      <c r="O6997" s="247"/>
      <c r="P6997"/>
      <c r="Q6997" s="224"/>
      <c r="S6997" s="202"/>
      <c r="T6997"/>
    </row>
    <row r="6998" spans="15:20">
      <c r="O6998" s="247"/>
      <c r="P6998"/>
      <c r="Q6998" s="224"/>
      <c r="S6998" s="202"/>
      <c r="T6998"/>
    </row>
    <row r="6999" spans="15:20">
      <c r="O6999" s="247"/>
      <c r="P6999"/>
      <c r="Q6999" s="224"/>
      <c r="S6999" s="202"/>
      <c r="T6999"/>
    </row>
    <row r="7000" spans="15:20">
      <c r="O7000" s="247"/>
      <c r="P7000"/>
      <c r="Q7000" s="224"/>
      <c r="S7000" s="202"/>
      <c r="T7000"/>
    </row>
    <row r="7001" spans="15:20">
      <c r="O7001" s="247"/>
      <c r="P7001"/>
      <c r="Q7001" s="224"/>
      <c r="S7001" s="202"/>
      <c r="T7001"/>
    </row>
    <row r="7002" spans="15:20">
      <c r="O7002" s="247"/>
      <c r="P7002"/>
      <c r="Q7002" s="224"/>
      <c r="S7002" s="202"/>
      <c r="T7002"/>
    </row>
    <row r="7003" spans="15:20">
      <c r="O7003" s="247"/>
      <c r="P7003"/>
      <c r="Q7003" s="224"/>
      <c r="S7003" s="202"/>
      <c r="T7003"/>
    </row>
    <row r="7004" spans="15:20">
      <c r="O7004" s="247"/>
      <c r="P7004"/>
      <c r="Q7004" s="224"/>
      <c r="S7004" s="202"/>
      <c r="T7004"/>
    </row>
    <row r="7005" spans="15:20">
      <c r="O7005" s="247"/>
      <c r="P7005"/>
      <c r="Q7005" s="224"/>
      <c r="S7005" s="202"/>
      <c r="T7005"/>
    </row>
    <row r="7006" spans="15:20">
      <c r="O7006" s="247"/>
      <c r="P7006"/>
      <c r="Q7006" s="224"/>
      <c r="S7006" s="202"/>
      <c r="T7006"/>
    </row>
    <row r="7007" spans="15:20">
      <c r="O7007" s="247"/>
      <c r="P7007"/>
      <c r="Q7007" s="224"/>
      <c r="S7007" s="202"/>
      <c r="T7007"/>
    </row>
    <row r="7008" spans="15:20">
      <c r="O7008" s="247"/>
      <c r="P7008"/>
      <c r="Q7008" s="224"/>
      <c r="S7008" s="202"/>
      <c r="T7008"/>
    </row>
    <row r="7009" spans="15:20">
      <c r="O7009" s="247"/>
      <c r="P7009"/>
      <c r="Q7009" s="224"/>
      <c r="S7009" s="202"/>
      <c r="T7009"/>
    </row>
    <row r="7010" spans="15:20">
      <c r="O7010" s="247"/>
      <c r="P7010"/>
      <c r="Q7010" s="224"/>
      <c r="S7010" s="202"/>
      <c r="T7010"/>
    </row>
    <row r="7011" spans="15:20">
      <c r="O7011" s="247"/>
      <c r="P7011"/>
      <c r="Q7011" s="224"/>
      <c r="S7011" s="202"/>
      <c r="T7011"/>
    </row>
    <row r="7012" spans="15:20">
      <c r="O7012" s="247"/>
      <c r="P7012"/>
      <c r="Q7012" s="224"/>
      <c r="S7012" s="202"/>
      <c r="T7012"/>
    </row>
    <row r="7013" spans="15:20">
      <c r="O7013" s="247"/>
      <c r="P7013"/>
      <c r="Q7013" s="224"/>
      <c r="S7013" s="202"/>
      <c r="T7013"/>
    </row>
    <row r="7014" spans="15:20">
      <c r="O7014" s="247"/>
      <c r="P7014"/>
      <c r="Q7014" s="224"/>
      <c r="S7014" s="202"/>
      <c r="T7014"/>
    </row>
    <row r="7015" spans="15:20">
      <c r="O7015" s="247"/>
      <c r="P7015"/>
      <c r="Q7015" s="224"/>
      <c r="S7015" s="202"/>
      <c r="T7015"/>
    </row>
    <row r="7016" spans="15:20">
      <c r="O7016" s="247"/>
      <c r="P7016"/>
      <c r="Q7016" s="224"/>
      <c r="S7016" s="202"/>
      <c r="T7016"/>
    </row>
    <row r="7017" spans="15:20">
      <c r="O7017" s="247"/>
      <c r="P7017"/>
      <c r="Q7017" s="224"/>
      <c r="S7017" s="202"/>
      <c r="T7017"/>
    </row>
    <row r="7018" spans="15:20">
      <c r="O7018" s="247"/>
      <c r="P7018"/>
      <c r="Q7018" s="224"/>
      <c r="S7018" s="202"/>
      <c r="T7018"/>
    </row>
    <row r="7019" spans="15:20">
      <c r="O7019" s="247"/>
      <c r="P7019"/>
      <c r="Q7019" s="224"/>
      <c r="S7019" s="202"/>
      <c r="T7019"/>
    </row>
    <row r="7020" spans="15:20">
      <c r="O7020" s="247"/>
      <c r="P7020"/>
      <c r="Q7020" s="224"/>
      <c r="S7020" s="202"/>
      <c r="T7020"/>
    </row>
    <row r="7021" spans="15:20">
      <c r="O7021" s="247"/>
      <c r="P7021"/>
      <c r="Q7021" s="224"/>
      <c r="S7021" s="202"/>
      <c r="T7021"/>
    </row>
    <row r="7022" spans="15:20">
      <c r="O7022" s="247"/>
      <c r="P7022"/>
      <c r="Q7022" s="224"/>
      <c r="S7022" s="202"/>
      <c r="T7022"/>
    </row>
    <row r="7023" spans="15:20">
      <c r="O7023" s="247"/>
      <c r="P7023"/>
      <c r="Q7023" s="224"/>
      <c r="S7023" s="202"/>
      <c r="T7023"/>
    </row>
    <row r="7024" spans="15:20">
      <c r="O7024" s="247"/>
      <c r="P7024"/>
      <c r="Q7024" s="224"/>
      <c r="S7024" s="202"/>
      <c r="T7024"/>
    </row>
    <row r="7025" spans="15:20">
      <c r="O7025" s="247"/>
      <c r="P7025"/>
      <c r="Q7025" s="224"/>
      <c r="S7025" s="202"/>
      <c r="T7025"/>
    </row>
    <row r="7026" spans="15:20">
      <c r="O7026" s="247"/>
      <c r="P7026"/>
      <c r="Q7026" s="224"/>
      <c r="S7026" s="202"/>
      <c r="T7026"/>
    </row>
    <row r="7027" spans="15:20">
      <c r="O7027" s="247"/>
      <c r="P7027"/>
      <c r="Q7027" s="224"/>
      <c r="S7027" s="202"/>
      <c r="T7027"/>
    </row>
    <row r="7028" spans="15:20">
      <c r="O7028" s="247"/>
      <c r="P7028"/>
      <c r="Q7028" s="224"/>
      <c r="S7028" s="202"/>
      <c r="T7028"/>
    </row>
    <row r="7029" spans="15:20">
      <c r="O7029" s="247"/>
      <c r="P7029"/>
      <c r="Q7029" s="224"/>
      <c r="S7029" s="202"/>
      <c r="T7029"/>
    </row>
    <row r="7030" spans="15:20">
      <c r="O7030" s="247"/>
      <c r="P7030"/>
      <c r="Q7030" s="224"/>
      <c r="S7030" s="202"/>
      <c r="T7030"/>
    </row>
    <row r="7031" spans="15:20">
      <c r="O7031" s="247"/>
      <c r="P7031"/>
      <c r="Q7031" s="224"/>
      <c r="S7031" s="202"/>
      <c r="T7031"/>
    </row>
    <row r="7032" spans="15:20">
      <c r="O7032" s="247"/>
      <c r="P7032"/>
      <c r="Q7032" s="224"/>
      <c r="S7032" s="202"/>
      <c r="T7032"/>
    </row>
    <row r="7033" spans="15:20">
      <c r="O7033" s="247"/>
      <c r="P7033"/>
      <c r="Q7033" s="224"/>
      <c r="S7033" s="202"/>
      <c r="T7033"/>
    </row>
    <row r="7034" spans="15:20">
      <c r="O7034" s="247"/>
      <c r="P7034"/>
      <c r="Q7034" s="224"/>
      <c r="S7034" s="202"/>
      <c r="T7034"/>
    </row>
    <row r="7035" spans="15:20">
      <c r="O7035" s="247"/>
      <c r="P7035"/>
      <c r="Q7035" s="224"/>
      <c r="S7035" s="202"/>
      <c r="T7035"/>
    </row>
    <row r="7036" spans="15:20">
      <c r="O7036" s="247"/>
      <c r="P7036"/>
      <c r="Q7036" s="224"/>
      <c r="S7036" s="202"/>
      <c r="T7036"/>
    </row>
    <row r="7037" spans="15:20">
      <c r="O7037" s="247"/>
      <c r="P7037"/>
      <c r="Q7037" s="224"/>
      <c r="S7037" s="202"/>
      <c r="T7037"/>
    </row>
    <row r="7038" spans="15:20">
      <c r="O7038" s="247"/>
      <c r="P7038"/>
      <c r="Q7038" s="224"/>
      <c r="S7038" s="202"/>
      <c r="T7038"/>
    </row>
    <row r="7039" spans="15:20">
      <c r="O7039" s="247"/>
      <c r="P7039"/>
      <c r="Q7039" s="224"/>
      <c r="S7039" s="202"/>
      <c r="T7039"/>
    </row>
    <row r="7040" spans="15:20">
      <c r="O7040" s="247"/>
      <c r="P7040"/>
      <c r="Q7040" s="224"/>
      <c r="S7040" s="202"/>
      <c r="T7040"/>
    </row>
    <row r="7041" spans="15:20">
      <c r="O7041" s="247"/>
      <c r="P7041"/>
      <c r="Q7041" s="224"/>
      <c r="S7041" s="202"/>
      <c r="T7041"/>
    </row>
    <row r="7042" spans="15:20">
      <c r="O7042" s="247"/>
      <c r="P7042"/>
      <c r="Q7042" s="224"/>
      <c r="S7042" s="202"/>
      <c r="T7042"/>
    </row>
    <row r="7043" spans="15:20">
      <c r="O7043" s="247"/>
      <c r="P7043"/>
      <c r="Q7043" s="224"/>
      <c r="S7043" s="202"/>
      <c r="T7043"/>
    </row>
    <row r="7044" spans="15:20">
      <c r="O7044" s="247"/>
      <c r="P7044"/>
      <c r="Q7044" s="224"/>
      <c r="S7044" s="202"/>
      <c r="T7044"/>
    </row>
    <row r="7045" spans="15:20">
      <c r="O7045" s="247"/>
      <c r="P7045"/>
      <c r="Q7045" s="224"/>
      <c r="S7045" s="202"/>
      <c r="T7045"/>
    </row>
    <row r="7046" spans="15:20">
      <c r="O7046" s="247"/>
      <c r="P7046"/>
      <c r="Q7046" s="224"/>
      <c r="S7046" s="202"/>
      <c r="T7046"/>
    </row>
    <row r="7047" spans="15:20">
      <c r="O7047" s="247"/>
      <c r="P7047"/>
      <c r="Q7047" s="224"/>
      <c r="S7047" s="202"/>
      <c r="T7047"/>
    </row>
    <row r="7048" spans="15:20">
      <c r="O7048" s="247"/>
      <c r="P7048"/>
      <c r="Q7048" s="224"/>
      <c r="S7048" s="202"/>
      <c r="T7048"/>
    </row>
    <row r="7049" spans="15:20">
      <c r="O7049" s="247"/>
      <c r="P7049"/>
      <c r="Q7049" s="224"/>
      <c r="S7049" s="202"/>
      <c r="T7049"/>
    </row>
    <row r="7050" spans="15:20">
      <c r="O7050" s="247"/>
      <c r="P7050"/>
      <c r="Q7050" s="224"/>
      <c r="S7050" s="202"/>
      <c r="T7050"/>
    </row>
    <row r="7051" spans="15:20">
      <c r="O7051" s="247"/>
      <c r="P7051"/>
      <c r="Q7051" s="224"/>
      <c r="S7051" s="202"/>
      <c r="T7051"/>
    </row>
    <row r="7052" spans="15:20">
      <c r="O7052" s="247"/>
      <c r="P7052"/>
      <c r="Q7052" s="224"/>
      <c r="S7052" s="202"/>
      <c r="T7052"/>
    </row>
    <row r="7053" spans="15:20">
      <c r="O7053" s="247"/>
      <c r="P7053"/>
      <c r="Q7053" s="224"/>
      <c r="S7053" s="202"/>
      <c r="T7053"/>
    </row>
    <row r="7054" spans="15:20">
      <c r="O7054" s="247"/>
      <c r="P7054"/>
      <c r="Q7054" s="224"/>
      <c r="S7054" s="202"/>
      <c r="T7054"/>
    </row>
    <row r="7055" spans="15:20">
      <c r="O7055" s="247"/>
      <c r="P7055"/>
      <c r="Q7055" s="224"/>
      <c r="S7055" s="202"/>
      <c r="T7055"/>
    </row>
    <row r="7056" spans="15:20">
      <c r="O7056" s="247"/>
      <c r="P7056"/>
      <c r="Q7056" s="224"/>
      <c r="S7056" s="202"/>
      <c r="T7056"/>
    </row>
    <row r="7057" spans="15:20">
      <c r="O7057" s="247"/>
      <c r="P7057"/>
      <c r="Q7057" s="224"/>
      <c r="S7057" s="202"/>
      <c r="T7057"/>
    </row>
    <row r="7058" spans="15:20">
      <c r="O7058" s="247"/>
      <c r="P7058"/>
      <c r="Q7058" s="224"/>
      <c r="S7058" s="202"/>
      <c r="T7058"/>
    </row>
    <row r="7059" spans="15:20">
      <c r="O7059" s="247"/>
      <c r="P7059"/>
      <c r="Q7059" s="224"/>
      <c r="S7059" s="202"/>
      <c r="T7059"/>
    </row>
    <row r="7060" spans="15:20">
      <c r="O7060" s="247"/>
      <c r="P7060"/>
      <c r="Q7060" s="224"/>
      <c r="S7060" s="202"/>
      <c r="T7060"/>
    </row>
    <row r="7061" spans="15:20">
      <c r="O7061" s="247"/>
      <c r="P7061"/>
      <c r="Q7061" s="224"/>
      <c r="S7061" s="202"/>
      <c r="T7061"/>
    </row>
    <row r="7062" spans="15:20">
      <c r="O7062" s="247"/>
      <c r="P7062"/>
      <c r="Q7062" s="224"/>
      <c r="S7062" s="202"/>
      <c r="T7062"/>
    </row>
    <row r="7063" spans="15:20">
      <c r="O7063" s="247"/>
      <c r="P7063"/>
      <c r="Q7063" s="224"/>
      <c r="S7063" s="202"/>
      <c r="T7063"/>
    </row>
    <row r="7064" spans="15:20">
      <c r="O7064" s="247"/>
      <c r="P7064"/>
      <c r="Q7064" s="224"/>
      <c r="S7064" s="202"/>
      <c r="T7064"/>
    </row>
    <row r="7065" spans="15:20">
      <c r="O7065" s="247"/>
      <c r="P7065"/>
      <c r="Q7065" s="224"/>
      <c r="S7065" s="202"/>
      <c r="T7065"/>
    </row>
    <row r="7066" spans="15:20">
      <c r="O7066" s="247"/>
      <c r="P7066"/>
      <c r="Q7066" s="224"/>
      <c r="S7066" s="202"/>
      <c r="T7066"/>
    </row>
    <row r="7067" spans="15:20">
      <c r="O7067" s="247"/>
      <c r="P7067"/>
      <c r="Q7067" s="224"/>
      <c r="S7067" s="202"/>
      <c r="T7067"/>
    </row>
    <row r="7068" spans="15:20">
      <c r="O7068" s="247"/>
      <c r="P7068"/>
      <c r="Q7068" s="224"/>
      <c r="S7068" s="202"/>
      <c r="T7068"/>
    </row>
    <row r="7069" spans="15:20">
      <c r="O7069" s="247"/>
      <c r="P7069"/>
      <c r="Q7069" s="224"/>
      <c r="S7069" s="202"/>
      <c r="T7069"/>
    </row>
    <row r="7070" spans="15:20">
      <c r="O7070" s="247"/>
      <c r="P7070"/>
      <c r="Q7070" s="224"/>
      <c r="S7070" s="202"/>
      <c r="T7070"/>
    </row>
    <row r="7071" spans="15:20">
      <c r="O7071" s="247"/>
      <c r="P7071"/>
      <c r="Q7071" s="224"/>
      <c r="S7071" s="202"/>
      <c r="T7071"/>
    </row>
    <row r="7072" spans="15:20">
      <c r="O7072" s="247"/>
      <c r="P7072"/>
      <c r="Q7072" s="224"/>
      <c r="S7072" s="202"/>
      <c r="T7072"/>
    </row>
    <row r="7073" spans="15:20">
      <c r="O7073" s="247"/>
      <c r="P7073"/>
      <c r="Q7073" s="224"/>
      <c r="S7073" s="202"/>
      <c r="T7073"/>
    </row>
    <row r="7074" spans="15:20">
      <c r="O7074" s="247"/>
      <c r="P7074"/>
      <c r="Q7074" s="224"/>
      <c r="S7074" s="202"/>
      <c r="T7074"/>
    </row>
    <row r="7075" spans="15:20">
      <c r="O7075" s="247"/>
      <c r="P7075"/>
      <c r="Q7075" s="224"/>
      <c r="S7075" s="202"/>
      <c r="T7075"/>
    </row>
    <row r="7076" spans="15:20">
      <c r="O7076" s="247"/>
      <c r="P7076"/>
      <c r="Q7076" s="224"/>
      <c r="S7076" s="202"/>
      <c r="T7076"/>
    </row>
    <row r="7077" spans="15:20">
      <c r="O7077" s="247"/>
      <c r="P7077"/>
      <c r="Q7077" s="224"/>
      <c r="S7077" s="202"/>
      <c r="T7077"/>
    </row>
    <row r="7078" spans="15:20">
      <c r="O7078" s="247"/>
      <c r="P7078"/>
      <c r="Q7078" s="224"/>
      <c r="S7078" s="202"/>
      <c r="T7078"/>
    </row>
    <row r="7079" spans="15:20">
      <c r="O7079" s="247"/>
      <c r="P7079"/>
      <c r="Q7079" s="224"/>
      <c r="S7079" s="202"/>
      <c r="T7079"/>
    </row>
    <row r="7080" spans="15:20">
      <c r="O7080" s="247"/>
      <c r="P7080"/>
      <c r="Q7080" s="224"/>
      <c r="S7080" s="202"/>
      <c r="T7080"/>
    </row>
    <row r="7081" spans="15:20">
      <c r="O7081" s="247"/>
      <c r="P7081"/>
      <c r="Q7081" s="224"/>
      <c r="S7081" s="202"/>
      <c r="T7081"/>
    </row>
    <row r="7082" spans="15:20">
      <c r="O7082" s="247"/>
      <c r="P7082"/>
      <c r="Q7082" s="224"/>
      <c r="S7082" s="202"/>
      <c r="T7082"/>
    </row>
    <row r="7083" spans="15:20">
      <c r="O7083" s="247"/>
      <c r="P7083"/>
      <c r="Q7083" s="224"/>
      <c r="S7083" s="202"/>
      <c r="T7083"/>
    </row>
    <row r="7084" spans="15:20">
      <c r="O7084" s="247"/>
      <c r="P7084"/>
      <c r="Q7084" s="224"/>
      <c r="S7084" s="202"/>
      <c r="T7084"/>
    </row>
    <row r="7085" spans="15:20">
      <c r="O7085" s="247"/>
      <c r="P7085"/>
      <c r="Q7085" s="224"/>
      <c r="S7085" s="202"/>
      <c r="T7085"/>
    </row>
    <row r="7086" spans="15:20">
      <c r="O7086" s="247"/>
      <c r="P7086"/>
      <c r="Q7086" s="224"/>
      <c r="S7086" s="202"/>
      <c r="T7086"/>
    </row>
    <row r="7087" spans="15:20">
      <c r="O7087" s="247"/>
      <c r="P7087"/>
      <c r="Q7087" s="224"/>
      <c r="S7087" s="202"/>
      <c r="T7087"/>
    </row>
    <row r="7088" spans="15:20">
      <c r="O7088" s="247"/>
      <c r="P7088"/>
      <c r="Q7088" s="224"/>
      <c r="S7088" s="202"/>
      <c r="T7088"/>
    </row>
    <row r="7089" spans="15:20">
      <c r="O7089" s="247"/>
      <c r="P7089"/>
      <c r="Q7089" s="224"/>
      <c r="S7089" s="202"/>
      <c r="T7089"/>
    </row>
    <row r="7090" spans="15:20">
      <c r="O7090" s="247"/>
      <c r="P7090"/>
      <c r="Q7090" s="224"/>
      <c r="S7090" s="202"/>
      <c r="T7090"/>
    </row>
    <row r="7091" spans="15:20">
      <c r="O7091" s="247"/>
      <c r="P7091"/>
      <c r="Q7091" s="224"/>
      <c r="S7091" s="202"/>
      <c r="T7091"/>
    </row>
    <row r="7092" spans="15:20">
      <c r="O7092" s="247"/>
      <c r="P7092"/>
      <c r="Q7092" s="224"/>
      <c r="S7092" s="202"/>
      <c r="T7092"/>
    </row>
    <row r="7093" spans="15:20">
      <c r="O7093" s="247"/>
      <c r="P7093"/>
      <c r="Q7093" s="224"/>
      <c r="S7093" s="202"/>
      <c r="T7093"/>
    </row>
    <row r="7094" spans="15:20">
      <c r="O7094" s="247"/>
      <c r="P7094"/>
      <c r="Q7094" s="224"/>
      <c r="S7094" s="202"/>
      <c r="T7094"/>
    </row>
    <row r="7095" spans="15:20">
      <c r="O7095" s="247"/>
      <c r="P7095"/>
      <c r="Q7095" s="224"/>
      <c r="S7095" s="202"/>
      <c r="T7095"/>
    </row>
    <row r="7096" spans="15:20">
      <c r="O7096" s="247"/>
      <c r="P7096"/>
      <c r="Q7096" s="224"/>
      <c r="S7096" s="202"/>
      <c r="T7096"/>
    </row>
    <row r="7097" spans="15:20">
      <c r="O7097" s="247"/>
      <c r="P7097"/>
      <c r="Q7097" s="224"/>
      <c r="S7097" s="202"/>
      <c r="T7097"/>
    </row>
    <row r="7098" spans="15:20">
      <c r="O7098" s="247"/>
      <c r="P7098"/>
      <c r="Q7098" s="224"/>
      <c r="S7098" s="202"/>
      <c r="T7098"/>
    </row>
    <row r="7099" spans="15:20">
      <c r="O7099" s="247"/>
      <c r="P7099"/>
      <c r="Q7099" s="224"/>
      <c r="S7099" s="202"/>
      <c r="T7099"/>
    </row>
    <row r="7100" spans="15:20">
      <c r="O7100" s="247"/>
      <c r="P7100"/>
      <c r="Q7100" s="224"/>
      <c r="S7100" s="202"/>
      <c r="T7100"/>
    </row>
    <row r="7101" spans="15:20">
      <c r="O7101" s="247"/>
      <c r="P7101"/>
      <c r="Q7101" s="224"/>
      <c r="S7101" s="202"/>
      <c r="T7101"/>
    </row>
    <row r="7102" spans="15:20">
      <c r="O7102" s="247"/>
      <c r="P7102"/>
      <c r="Q7102" s="224"/>
      <c r="S7102" s="202"/>
      <c r="T7102"/>
    </row>
    <row r="7103" spans="15:20">
      <c r="O7103" s="247"/>
      <c r="P7103"/>
      <c r="Q7103" s="224"/>
      <c r="S7103" s="202"/>
      <c r="T7103"/>
    </row>
    <row r="7104" spans="15:20">
      <c r="O7104" s="247"/>
      <c r="P7104"/>
      <c r="Q7104" s="224"/>
      <c r="S7104" s="202"/>
      <c r="T7104"/>
    </row>
    <row r="7105" spans="15:20">
      <c r="O7105" s="247"/>
      <c r="P7105"/>
      <c r="Q7105" s="224"/>
      <c r="S7105" s="202"/>
      <c r="T7105"/>
    </row>
    <row r="7106" spans="15:20">
      <c r="O7106" s="247"/>
      <c r="P7106"/>
      <c r="Q7106" s="224"/>
      <c r="S7106" s="202"/>
      <c r="T7106"/>
    </row>
    <row r="7107" spans="15:20">
      <c r="O7107" s="247"/>
      <c r="P7107"/>
      <c r="Q7107" s="224"/>
      <c r="S7107" s="202"/>
      <c r="T7107"/>
    </row>
    <row r="7108" spans="15:20">
      <c r="O7108" s="247"/>
      <c r="P7108"/>
      <c r="Q7108" s="224"/>
      <c r="S7108" s="202"/>
      <c r="T7108"/>
    </row>
    <row r="7109" spans="15:20">
      <c r="O7109" s="247"/>
      <c r="P7109"/>
      <c r="Q7109" s="224"/>
      <c r="S7109" s="202"/>
      <c r="T7109"/>
    </row>
    <row r="7110" spans="15:20">
      <c r="O7110" s="247"/>
      <c r="P7110"/>
      <c r="Q7110" s="224"/>
      <c r="S7110" s="202"/>
      <c r="T7110"/>
    </row>
    <row r="7111" spans="15:20">
      <c r="O7111" s="247"/>
      <c r="P7111"/>
      <c r="Q7111" s="224"/>
      <c r="S7111" s="202"/>
      <c r="T7111"/>
    </row>
    <row r="7112" spans="15:20">
      <c r="O7112" s="247"/>
      <c r="P7112"/>
      <c r="Q7112" s="224"/>
      <c r="S7112" s="202"/>
      <c r="T7112"/>
    </row>
    <row r="7113" spans="15:20">
      <c r="O7113" s="247"/>
      <c r="P7113"/>
      <c r="Q7113" s="224"/>
      <c r="S7113" s="202"/>
      <c r="T7113"/>
    </row>
    <row r="7114" spans="15:20">
      <c r="O7114" s="247"/>
      <c r="P7114"/>
      <c r="Q7114" s="224"/>
      <c r="S7114" s="202"/>
      <c r="T7114"/>
    </row>
    <row r="7115" spans="15:20">
      <c r="O7115" s="247"/>
      <c r="P7115"/>
      <c r="Q7115" s="224"/>
      <c r="S7115" s="202"/>
      <c r="T7115"/>
    </row>
    <row r="7116" spans="15:20">
      <c r="O7116" s="247"/>
      <c r="P7116"/>
      <c r="Q7116" s="224"/>
      <c r="S7116" s="202"/>
      <c r="T7116"/>
    </row>
    <row r="7117" spans="15:20">
      <c r="O7117" s="247"/>
      <c r="P7117"/>
      <c r="Q7117" s="224"/>
      <c r="S7117" s="202"/>
      <c r="T7117"/>
    </row>
    <row r="7118" spans="15:20">
      <c r="O7118" s="247"/>
      <c r="P7118"/>
      <c r="Q7118" s="224"/>
      <c r="S7118" s="202"/>
      <c r="T7118"/>
    </row>
    <row r="7119" spans="15:20">
      <c r="O7119" s="247"/>
      <c r="P7119"/>
      <c r="Q7119" s="224"/>
      <c r="S7119" s="202"/>
      <c r="T7119"/>
    </row>
    <row r="7120" spans="15:20">
      <c r="O7120" s="247"/>
      <c r="P7120"/>
      <c r="Q7120" s="224"/>
      <c r="S7120" s="202"/>
      <c r="T7120"/>
    </row>
    <row r="7121" spans="15:20">
      <c r="O7121" s="247"/>
      <c r="P7121"/>
      <c r="Q7121" s="224"/>
      <c r="S7121" s="202"/>
      <c r="T7121"/>
    </row>
    <row r="7122" spans="15:20">
      <c r="O7122" s="247"/>
      <c r="P7122"/>
      <c r="Q7122" s="224"/>
      <c r="S7122" s="202"/>
      <c r="T7122"/>
    </row>
    <row r="7123" spans="15:20">
      <c r="O7123" s="247"/>
      <c r="P7123"/>
      <c r="Q7123" s="224"/>
      <c r="S7123" s="202"/>
      <c r="T7123"/>
    </row>
    <row r="7124" spans="15:20">
      <c r="O7124" s="247"/>
      <c r="P7124"/>
      <c r="Q7124" s="224"/>
      <c r="S7124" s="202"/>
      <c r="T7124"/>
    </row>
    <row r="7125" spans="15:20">
      <c r="O7125" s="247"/>
      <c r="P7125"/>
      <c r="Q7125" s="224"/>
      <c r="S7125" s="202"/>
      <c r="T7125"/>
    </row>
    <row r="7126" spans="15:20">
      <c r="O7126" s="247"/>
      <c r="P7126"/>
      <c r="Q7126" s="224"/>
      <c r="S7126" s="202"/>
      <c r="T7126"/>
    </row>
    <row r="7127" spans="15:20">
      <c r="O7127" s="247"/>
      <c r="P7127"/>
      <c r="Q7127" s="224"/>
      <c r="S7127" s="202"/>
      <c r="T7127"/>
    </row>
    <row r="7128" spans="15:20">
      <c r="O7128" s="247"/>
      <c r="P7128"/>
      <c r="Q7128" s="224"/>
      <c r="S7128" s="202"/>
      <c r="T7128"/>
    </row>
    <row r="7129" spans="15:20">
      <c r="O7129" s="247"/>
      <c r="P7129"/>
      <c r="Q7129" s="224"/>
      <c r="S7129" s="202"/>
      <c r="T7129"/>
    </row>
    <row r="7130" spans="15:20">
      <c r="O7130" s="247"/>
      <c r="P7130"/>
      <c r="Q7130" s="224"/>
      <c r="S7130" s="202"/>
      <c r="T7130"/>
    </row>
    <row r="7131" spans="15:20">
      <c r="O7131" s="247"/>
      <c r="P7131"/>
      <c r="Q7131" s="224"/>
      <c r="S7131" s="202"/>
      <c r="T7131"/>
    </row>
    <row r="7132" spans="15:20">
      <c r="O7132" s="247"/>
      <c r="P7132"/>
      <c r="Q7132" s="224"/>
      <c r="S7132" s="202"/>
      <c r="T7132"/>
    </row>
    <row r="7133" spans="15:20">
      <c r="O7133" s="247"/>
      <c r="P7133"/>
      <c r="Q7133" s="224"/>
      <c r="S7133" s="202"/>
      <c r="T7133"/>
    </row>
    <row r="7134" spans="15:20">
      <c r="O7134" s="247"/>
      <c r="P7134"/>
      <c r="Q7134" s="224"/>
      <c r="S7134" s="202"/>
      <c r="T7134"/>
    </row>
    <row r="7135" spans="15:20">
      <c r="O7135" s="247"/>
      <c r="P7135"/>
      <c r="Q7135" s="224"/>
      <c r="S7135" s="202"/>
      <c r="T7135"/>
    </row>
    <row r="7136" spans="15:20">
      <c r="O7136" s="247"/>
      <c r="P7136"/>
      <c r="Q7136" s="224"/>
      <c r="S7136" s="202"/>
      <c r="T7136"/>
    </row>
    <row r="7137" spans="15:20">
      <c r="O7137" s="247"/>
      <c r="P7137"/>
      <c r="Q7137" s="224"/>
      <c r="S7137" s="202"/>
      <c r="T7137"/>
    </row>
    <row r="7138" spans="15:20">
      <c r="O7138" s="247"/>
      <c r="P7138"/>
      <c r="Q7138" s="224"/>
      <c r="S7138" s="202"/>
      <c r="T7138"/>
    </row>
    <row r="7139" spans="15:20">
      <c r="O7139" s="247"/>
      <c r="P7139"/>
      <c r="Q7139" s="224"/>
      <c r="S7139" s="202"/>
      <c r="T7139"/>
    </row>
    <row r="7140" spans="15:20">
      <c r="O7140" s="247"/>
      <c r="P7140"/>
      <c r="Q7140" s="224"/>
      <c r="S7140" s="202"/>
      <c r="T7140"/>
    </row>
    <row r="7141" spans="15:20">
      <c r="O7141" s="247"/>
      <c r="P7141"/>
      <c r="Q7141" s="224"/>
      <c r="S7141" s="202"/>
      <c r="T7141"/>
    </row>
    <row r="7142" spans="15:20">
      <c r="O7142" s="247"/>
      <c r="P7142"/>
      <c r="Q7142" s="224"/>
      <c r="S7142" s="202"/>
      <c r="T7142"/>
    </row>
    <row r="7143" spans="15:20">
      <c r="O7143" s="247"/>
      <c r="P7143"/>
      <c r="Q7143" s="224"/>
      <c r="S7143" s="202"/>
      <c r="T7143"/>
    </row>
    <row r="7144" spans="15:20">
      <c r="O7144" s="247"/>
      <c r="P7144"/>
      <c r="Q7144" s="224"/>
      <c r="S7144" s="202"/>
      <c r="T7144"/>
    </row>
    <row r="7145" spans="15:20">
      <c r="O7145" s="247"/>
      <c r="P7145"/>
      <c r="Q7145" s="224"/>
      <c r="S7145" s="202"/>
      <c r="T7145"/>
    </row>
    <row r="7146" spans="15:20">
      <c r="O7146" s="247"/>
      <c r="P7146"/>
      <c r="Q7146" s="224"/>
      <c r="S7146" s="202"/>
      <c r="T7146"/>
    </row>
    <row r="7147" spans="15:20">
      <c r="O7147" s="247"/>
      <c r="P7147"/>
      <c r="Q7147" s="224"/>
      <c r="S7147" s="202"/>
      <c r="T7147"/>
    </row>
    <row r="7148" spans="15:20">
      <c r="O7148" s="247"/>
      <c r="P7148"/>
      <c r="Q7148" s="224"/>
      <c r="S7148" s="202"/>
      <c r="T7148"/>
    </row>
    <row r="7149" spans="15:20">
      <c r="O7149" s="247"/>
      <c r="P7149"/>
      <c r="Q7149" s="224"/>
      <c r="S7149" s="202"/>
      <c r="T7149"/>
    </row>
    <row r="7150" spans="15:20">
      <c r="O7150" s="247"/>
      <c r="P7150"/>
      <c r="Q7150" s="224"/>
      <c r="S7150" s="202"/>
      <c r="T7150"/>
    </row>
    <row r="7151" spans="15:20">
      <c r="O7151" s="247"/>
      <c r="P7151"/>
      <c r="Q7151" s="224"/>
      <c r="S7151" s="202"/>
      <c r="T7151"/>
    </row>
    <row r="7152" spans="15:20">
      <c r="O7152" s="247"/>
      <c r="P7152"/>
      <c r="Q7152" s="224"/>
      <c r="S7152" s="202"/>
      <c r="T7152"/>
    </row>
    <row r="7153" spans="15:20">
      <c r="O7153" s="247"/>
      <c r="P7153"/>
      <c r="Q7153" s="224"/>
      <c r="S7153" s="202"/>
      <c r="T7153"/>
    </row>
    <row r="7154" spans="15:20">
      <c r="O7154" s="247"/>
      <c r="P7154"/>
      <c r="Q7154" s="224"/>
      <c r="S7154" s="202"/>
      <c r="T7154"/>
    </row>
    <row r="7155" spans="15:20">
      <c r="O7155" s="247"/>
      <c r="P7155"/>
      <c r="Q7155" s="224"/>
      <c r="S7155" s="202"/>
      <c r="T7155"/>
    </row>
    <row r="7156" spans="15:20">
      <c r="O7156" s="247"/>
      <c r="P7156"/>
      <c r="Q7156" s="224"/>
      <c r="S7156" s="202"/>
      <c r="T7156"/>
    </row>
    <row r="7157" spans="15:20">
      <c r="O7157" s="247"/>
      <c r="P7157"/>
      <c r="Q7157" s="224"/>
      <c r="S7157" s="202"/>
      <c r="T7157"/>
    </row>
    <row r="7158" spans="15:20">
      <c r="O7158" s="247"/>
      <c r="P7158"/>
      <c r="Q7158" s="224"/>
      <c r="S7158" s="202"/>
      <c r="T7158"/>
    </row>
    <row r="7159" spans="15:20">
      <c r="O7159" s="247"/>
      <c r="P7159"/>
      <c r="Q7159" s="224"/>
      <c r="S7159" s="202"/>
      <c r="T7159"/>
    </row>
    <row r="7160" spans="15:20">
      <c r="O7160" s="247"/>
      <c r="P7160"/>
      <c r="Q7160" s="224"/>
      <c r="S7160" s="202"/>
      <c r="T7160"/>
    </row>
    <row r="7161" spans="15:20">
      <c r="O7161" s="247"/>
      <c r="P7161"/>
      <c r="Q7161" s="224"/>
      <c r="S7161" s="202"/>
      <c r="T7161"/>
    </row>
    <row r="7162" spans="15:20">
      <c r="O7162" s="247"/>
      <c r="P7162"/>
      <c r="Q7162" s="224"/>
      <c r="S7162" s="202"/>
      <c r="T7162"/>
    </row>
    <row r="7163" spans="15:20">
      <c r="O7163" s="247"/>
      <c r="P7163"/>
      <c r="Q7163" s="224"/>
      <c r="S7163" s="202"/>
      <c r="T7163"/>
    </row>
    <row r="7164" spans="15:20">
      <c r="O7164" s="247"/>
      <c r="P7164"/>
      <c r="Q7164" s="224"/>
      <c r="S7164" s="202"/>
      <c r="T7164"/>
    </row>
    <row r="7165" spans="15:20">
      <c r="O7165" s="247"/>
      <c r="P7165"/>
      <c r="Q7165" s="224"/>
      <c r="S7165" s="202"/>
      <c r="T7165"/>
    </row>
    <row r="7166" spans="15:20">
      <c r="O7166" s="247"/>
      <c r="P7166"/>
      <c r="Q7166" s="224"/>
      <c r="S7166" s="202"/>
      <c r="T7166"/>
    </row>
    <row r="7167" spans="15:20">
      <c r="O7167" s="247"/>
      <c r="P7167"/>
      <c r="Q7167" s="224"/>
      <c r="S7167" s="202"/>
      <c r="T7167"/>
    </row>
    <row r="7168" spans="15:20">
      <c r="O7168" s="247"/>
      <c r="P7168"/>
      <c r="Q7168" s="224"/>
      <c r="S7168" s="202"/>
      <c r="T7168"/>
    </row>
    <row r="7169" spans="15:20">
      <c r="O7169" s="247"/>
      <c r="P7169"/>
      <c r="Q7169" s="224"/>
      <c r="S7169" s="202"/>
      <c r="T7169"/>
    </row>
    <row r="7170" spans="15:20">
      <c r="O7170" s="247"/>
      <c r="P7170"/>
      <c r="Q7170" s="224"/>
      <c r="S7170" s="202"/>
      <c r="T7170"/>
    </row>
    <row r="7171" spans="15:20">
      <c r="O7171" s="247"/>
      <c r="P7171"/>
      <c r="Q7171" s="224"/>
      <c r="S7171" s="202"/>
      <c r="T7171"/>
    </row>
    <row r="7172" spans="15:20">
      <c r="O7172" s="247"/>
      <c r="P7172"/>
      <c r="Q7172" s="224"/>
      <c r="S7172" s="202"/>
      <c r="T7172"/>
    </row>
    <row r="7173" spans="15:20">
      <c r="O7173" s="247"/>
      <c r="P7173"/>
      <c r="Q7173" s="224"/>
      <c r="S7173" s="202"/>
      <c r="T7173"/>
    </row>
    <row r="7174" spans="15:20">
      <c r="O7174" s="247"/>
      <c r="P7174"/>
      <c r="Q7174" s="224"/>
      <c r="S7174" s="202"/>
      <c r="T7174"/>
    </row>
    <row r="7175" spans="15:20">
      <c r="O7175" s="247"/>
      <c r="P7175"/>
      <c r="Q7175" s="224"/>
      <c r="S7175" s="202"/>
      <c r="T7175"/>
    </row>
    <row r="7176" spans="15:20">
      <c r="O7176" s="247"/>
      <c r="P7176"/>
      <c r="Q7176" s="224"/>
      <c r="S7176" s="202"/>
      <c r="T7176"/>
    </row>
    <row r="7177" spans="15:20">
      <c r="O7177" s="247"/>
      <c r="P7177"/>
      <c r="Q7177" s="224"/>
      <c r="S7177" s="202"/>
      <c r="T7177"/>
    </row>
    <row r="7178" spans="15:20">
      <c r="O7178" s="247"/>
      <c r="P7178"/>
      <c r="Q7178" s="224"/>
      <c r="S7178" s="202"/>
      <c r="T7178"/>
    </row>
    <row r="7179" spans="15:20">
      <c r="O7179" s="247"/>
      <c r="P7179"/>
      <c r="Q7179" s="224"/>
      <c r="S7179" s="202"/>
      <c r="T7179"/>
    </row>
    <row r="7180" spans="15:20">
      <c r="O7180" s="247"/>
      <c r="P7180"/>
      <c r="Q7180" s="224"/>
      <c r="S7180" s="202"/>
      <c r="T7180"/>
    </row>
    <row r="7181" spans="15:20">
      <c r="O7181" s="247"/>
      <c r="P7181"/>
      <c r="Q7181" s="224"/>
      <c r="S7181" s="202"/>
      <c r="T7181"/>
    </row>
    <row r="7182" spans="15:20">
      <c r="O7182" s="247"/>
      <c r="P7182"/>
      <c r="Q7182" s="224"/>
      <c r="S7182" s="202"/>
      <c r="T7182"/>
    </row>
    <row r="7183" spans="15:20">
      <c r="O7183" s="247"/>
      <c r="P7183"/>
      <c r="Q7183" s="224"/>
      <c r="S7183" s="202"/>
      <c r="T7183"/>
    </row>
    <row r="7184" spans="15:20">
      <c r="O7184" s="247"/>
      <c r="P7184"/>
      <c r="Q7184" s="224"/>
      <c r="S7184" s="202"/>
      <c r="T7184"/>
    </row>
    <row r="7185" spans="15:20">
      <c r="O7185" s="247"/>
      <c r="P7185"/>
      <c r="Q7185" s="224"/>
      <c r="S7185" s="202"/>
      <c r="T7185"/>
    </row>
    <row r="7186" spans="15:20">
      <c r="O7186" s="247"/>
      <c r="P7186"/>
      <c r="Q7186" s="224"/>
      <c r="S7186" s="202"/>
      <c r="T7186"/>
    </row>
    <row r="7187" spans="15:20">
      <c r="O7187" s="247"/>
      <c r="P7187"/>
      <c r="Q7187" s="224"/>
      <c r="S7187" s="202"/>
      <c r="T7187"/>
    </row>
    <row r="7188" spans="15:20">
      <c r="O7188" s="247"/>
      <c r="P7188"/>
      <c r="Q7188" s="224"/>
      <c r="S7188" s="202"/>
      <c r="T7188"/>
    </row>
    <row r="7189" spans="15:20">
      <c r="O7189" s="247"/>
      <c r="P7189"/>
      <c r="Q7189" s="224"/>
      <c r="S7189" s="202"/>
      <c r="T7189"/>
    </row>
    <row r="7190" spans="15:20">
      <c r="O7190" s="247"/>
      <c r="P7190"/>
      <c r="Q7190" s="224"/>
      <c r="S7190" s="202"/>
      <c r="T7190"/>
    </row>
    <row r="7191" spans="15:20">
      <c r="O7191" s="247"/>
      <c r="P7191"/>
      <c r="Q7191" s="224"/>
      <c r="S7191" s="202"/>
      <c r="T7191"/>
    </row>
    <row r="7192" spans="15:20">
      <c r="O7192" s="247"/>
      <c r="P7192"/>
      <c r="Q7192" s="224"/>
      <c r="S7192" s="202"/>
      <c r="T7192"/>
    </row>
    <row r="7193" spans="15:20">
      <c r="O7193" s="247"/>
      <c r="P7193"/>
      <c r="Q7193" s="224"/>
      <c r="S7193" s="202"/>
      <c r="T7193"/>
    </row>
    <row r="7194" spans="15:20">
      <c r="O7194" s="247"/>
      <c r="P7194"/>
      <c r="Q7194" s="224"/>
      <c r="S7194" s="202"/>
      <c r="T7194"/>
    </row>
    <row r="7195" spans="15:20">
      <c r="O7195" s="247"/>
      <c r="P7195"/>
      <c r="Q7195" s="224"/>
      <c r="S7195" s="202"/>
      <c r="T7195"/>
    </row>
    <row r="7196" spans="15:20">
      <c r="O7196" s="247"/>
      <c r="P7196"/>
      <c r="Q7196" s="224"/>
      <c r="S7196" s="202"/>
      <c r="T7196"/>
    </row>
    <row r="7197" spans="15:20">
      <c r="O7197" s="247"/>
      <c r="P7197"/>
      <c r="Q7197" s="224"/>
      <c r="S7197" s="202"/>
      <c r="T7197"/>
    </row>
    <row r="7198" spans="15:20">
      <c r="O7198" s="247"/>
      <c r="P7198"/>
      <c r="Q7198" s="224"/>
      <c r="S7198" s="202"/>
      <c r="T7198"/>
    </row>
    <row r="7199" spans="15:20">
      <c r="O7199" s="247"/>
      <c r="P7199"/>
      <c r="Q7199" s="224"/>
      <c r="S7199" s="202"/>
      <c r="T7199"/>
    </row>
    <row r="7200" spans="15:20">
      <c r="O7200" s="247"/>
      <c r="P7200"/>
      <c r="Q7200" s="224"/>
      <c r="S7200" s="202"/>
      <c r="T7200"/>
    </row>
    <row r="7201" spans="15:20">
      <c r="O7201" s="247"/>
      <c r="P7201"/>
      <c r="Q7201" s="224"/>
      <c r="S7201" s="202"/>
      <c r="T7201"/>
    </row>
    <row r="7202" spans="15:20">
      <c r="O7202" s="247"/>
      <c r="P7202"/>
      <c r="Q7202" s="224"/>
      <c r="S7202" s="202"/>
      <c r="T7202"/>
    </row>
    <row r="7203" spans="15:20">
      <c r="O7203" s="247"/>
      <c r="P7203"/>
      <c r="Q7203" s="224"/>
      <c r="S7203" s="202"/>
      <c r="T7203"/>
    </row>
    <row r="7204" spans="15:20">
      <c r="O7204" s="247"/>
      <c r="P7204"/>
      <c r="Q7204" s="224"/>
      <c r="S7204" s="202"/>
      <c r="T7204"/>
    </row>
    <row r="7205" spans="15:20">
      <c r="O7205" s="247"/>
      <c r="P7205"/>
      <c r="Q7205" s="224"/>
      <c r="S7205" s="202"/>
      <c r="T7205"/>
    </row>
    <row r="7206" spans="15:20">
      <c r="O7206" s="247"/>
      <c r="P7206"/>
      <c r="Q7206" s="224"/>
      <c r="S7206" s="202"/>
      <c r="T7206"/>
    </row>
    <row r="7207" spans="15:20">
      <c r="O7207" s="247"/>
      <c r="P7207"/>
      <c r="Q7207" s="224"/>
      <c r="S7207" s="202"/>
      <c r="T7207"/>
    </row>
    <row r="7208" spans="15:20">
      <c r="O7208" s="247"/>
      <c r="P7208"/>
      <c r="Q7208" s="224"/>
      <c r="S7208" s="202"/>
      <c r="T7208"/>
    </row>
    <row r="7209" spans="15:20">
      <c r="O7209" s="247"/>
      <c r="P7209"/>
      <c r="Q7209" s="224"/>
      <c r="S7209" s="202"/>
      <c r="T7209"/>
    </row>
    <row r="7210" spans="15:20">
      <c r="O7210" s="247"/>
      <c r="P7210"/>
      <c r="Q7210" s="224"/>
      <c r="S7210" s="202"/>
      <c r="T7210"/>
    </row>
    <row r="7211" spans="15:20">
      <c r="O7211" s="247"/>
      <c r="P7211"/>
      <c r="Q7211" s="224"/>
      <c r="S7211" s="202"/>
      <c r="T7211"/>
    </row>
    <row r="7212" spans="15:20">
      <c r="O7212" s="247"/>
      <c r="P7212"/>
      <c r="Q7212" s="224"/>
      <c r="S7212" s="202"/>
      <c r="T7212"/>
    </row>
    <row r="7213" spans="15:20">
      <c r="O7213" s="247"/>
      <c r="P7213"/>
      <c r="Q7213" s="224"/>
      <c r="S7213" s="202"/>
      <c r="T7213"/>
    </row>
    <row r="7214" spans="15:20">
      <c r="O7214" s="247"/>
      <c r="P7214"/>
      <c r="Q7214" s="224"/>
      <c r="S7214" s="202"/>
      <c r="T7214"/>
    </row>
    <row r="7215" spans="15:20">
      <c r="O7215" s="247"/>
      <c r="P7215"/>
      <c r="Q7215" s="224"/>
      <c r="S7215" s="202"/>
      <c r="T7215"/>
    </row>
    <row r="7216" spans="15:20">
      <c r="O7216" s="247"/>
      <c r="P7216"/>
      <c r="Q7216" s="224"/>
      <c r="S7216" s="202"/>
      <c r="T7216"/>
    </row>
    <row r="7217" spans="15:20">
      <c r="O7217" s="247"/>
      <c r="P7217"/>
      <c r="Q7217" s="224"/>
      <c r="S7217" s="202"/>
      <c r="T7217"/>
    </row>
    <row r="7218" spans="15:20">
      <c r="O7218" s="247"/>
      <c r="P7218"/>
      <c r="Q7218" s="224"/>
      <c r="S7218" s="202"/>
      <c r="T7218"/>
    </row>
    <row r="7219" spans="15:20">
      <c r="O7219" s="247"/>
      <c r="P7219"/>
      <c r="Q7219" s="224"/>
      <c r="S7219" s="202"/>
      <c r="T7219"/>
    </row>
    <row r="7220" spans="15:20">
      <c r="O7220" s="247"/>
      <c r="P7220"/>
      <c r="Q7220" s="224"/>
      <c r="S7220" s="202"/>
      <c r="T7220"/>
    </row>
    <row r="7221" spans="15:20">
      <c r="O7221" s="247"/>
      <c r="P7221"/>
      <c r="Q7221" s="224"/>
      <c r="S7221" s="202"/>
      <c r="T7221"/>
    </row>
    <row r="7222" spans="15:20">
      <c r="O7222" s="247"/>
      <c r="P7222"/>
      <c r="Q7222" s="224"/>
      <c r="S7222" s="202"/>
      <c r="T7222"/>
    </row>
    <row r="7223" spans="15:20">
      <c r="O7223" s="247"/>
      <c r="P7223"/>
      <c r="Q7223" s="224"/>
      <c r="S7223" s="202"/>
      <c r="T7223"/>
    </row>
    <row r="7224" spans="15:20">
      <c r="O7224" s="247"/>
      <c r="P7224"/>
      <c r="Q7224" s="224"/>
      <c r="S7224" s="202"/>
      <c r="T7224"/>
    </row>
    <row r="7225" spans="15:20">
      <c r="O7225" s="247"/>
      <c r="P7225"/>
      <c r="Q7225" s="224"/>
      <c r="S7225" s="202"/>
      <c r="T7225"/>
    </row>
    <row r="7226" spans="15:20">
      <c r="O7226" s="247"/>
      <c r="P7226"/>
      <c r="Q7226" s="224"/>
      <c r="S7226" s="202"/>
      <c r="T7226"/>
    </row>
    <row r="7227" spans="15:20">
      <c r="O7227" s="247"/>
      <c r="P7227"/>
      <c r="Q7227" s="224"/>
      <c r="S7227" s="202"/>
      <c r="T7227"/>
    </row>
    <row r="7228" spans="15:20">
      <c r="O7228" s="247"/>
      <c r="P7228"/>
      <c r="Q7228" s="224"/>
      <c r="S7228" s="202"/>
      <c r="T7228"/>
    </row>
    <row r="7229" spans="15:20">
      <c r="O7229" s="247"/>
      <c r="P7229"/>
      <c r="Q7229" s="224"/>
      <c r="S7229" s="202"/>
      <c r="T7229"/>
    </row>
    <row r="7230" spans="15:20">
      <c r="O7230" s="247"/>
      <c r="P7230"/>
      <c r="Q7230" s="224"/>
      <c r="S7230" s="202"/>
      <c r="T7230"/>
    </row>
    <row r="7231" spans="15:20">
      <c r="O7231" s="247"/>
      <c r="P7231"/>
      <c r="Q7231" s="224"/>
      <c r="S7231" s="202"/>
      <c r="T7231"/>
    </row>
    <row r="7232" spans="15:20">
      <c r="O7232" s="247"/>
      <c r="P7232"/>
      <c r="Q7232" s="224"/>
      <c r="S7232" s="202"/>
      <c r="T7232"/>
    </row>
    <row r="7233" spans="15:20">
      <c r="O7233" s="247"/>
      <c r="P7233"/>
      <c r="Q7233" s="224"/>
      <c r="S7233" s="202"/>
      <c r="T7233"/>
    </row>
    <row r="7234" spans="15:20">
      <c r="O7234" s="247"/>
      <c r="P7234"/>
      <c r="Q7234" s="224"/>
      <c r="S7234" s="202"/>
      <c r="T7234"/>
    </row>
    <row r="7235" spans="15:20">
      <c r="O7235" s="247"/>
      <c r="P7235"/>
      <c r="Q7235" s="224"/>
      <c r="S7235" s="202"/>
      <c r="T7235"/>
    </row>
    <row r="7236" spans="15:20">
      <c r="O7236" s="247"/>
      <c r="P7236"/>
      <c r="Q7236" s="224"/>
      <c r="S7236" s="202"/>
      <c r="T7236"/>
    </row>
    <row r="7237" spans="15:20">
      <c r="O7237" s="247"/>
      <c r="P7237"/>
      <c r="Q7237" s="224"/>
      <c r="S7237" s="202"/>
      <c r="T7237"/>
    </row>
    <row r="7238" spans="15:20">
      <c r="O7238" s="247"/>
      <c r="P7238"/>
      <c r="Q7238" s="224"/>
      <c r="S7238" s="202"/>
      <c r="T7238"/>
    </row>
    <row r="7239" spans="15:20">
      <c r="O7239" s="247"/>
      <c r="P7239"/>
      <c r="Q7239" s="224"/>
      <c r="S7239" s="202"/>
      <c r="T7239"/>
    </row>
    <row r="7240" spans="15:20">
      <c r="O7240" s="247"/>
      <c r="P7240"/>
      <c r="Q7240" s="224"/>
      <c r="S7240" s="202"/>
      <c r="T7240"/>
    </row>
    <row r="7241" spans="15:20">
      <c r="O7241" s="247"/>
      <c r="P7241"/>
      <c r="Q7241" s="224"/>
      <c r="S7241" s="202"/>
      <c r="T7241"/>
    </row>
    <row r="7242" spans="15:20">
      <c r="O7242" s="247"/>
      <c r="P7242"/>
      <c r="Q7242" s="224"/>
      <c r="S7242" s="202"/>
      <c r="T7242"/>
    </row>
    <row r="7243" spans="15:20">
      <c r="O7243" s="247"/>
      <c r="P7243"/>
      <c r="Q7243" s="224"/>
      <c r="S7243" s="202"/>
      <c r="T7243"/>
    </row>
    <row r="7244" spans="15:20">
      <c r="O7244" s="247"/>
      <c r="P7244"/>
      <c r="Q7244" s="224"/>
      <c r="S7244" s="202"/>
      <c r="T7244"/>
    </row>
    <row r="7245" spans="15:20">
      <c r="O7245" s="247"/>
      <c r="P7245"/>
      <c r="Q7245" s="224"/>
      <c r="S7245" s="202"/>
      <c r="T7245"/>
    </row>
    <row r="7246" spans="15:20">
      <c r="O7246" s="247"/>
      <c r="P7246"/>
      <c r="Q7246" s="224"/>
      <c r="S7246" s="202"/>
      <c r="T7246"/>
    </row>
    <row r="7247" spans="15:20">
      <c r="O7247" s="247"/>
      <c r="P7247"/>
      <c r="Q7247" s="224"/>
      <c r="S7247" s="202"/>
      <c r="T7247"/>
    </row>
    <row r="7248" spans="15:20">
      <c r="O7248" s="247"/>
      <c r="P7248"/>
      <c r="Q7248" s="224"/>
      <c r="S7248" s="202"/>
      <c r="T7248"/>
    </row>
    <row r="7249" spans="15:20">
      <c r="O7249" s="247"/>
      <c r="P7249"/>
      <c r="Q7249" s="224"/>
      <c r="S7249" s="202"/>
      <c r="T7249"/>
    </row>
    <row r="7250" spans="15:20">
      <c r="O7250" s="247"/>
      <c r="P7250"/>
      <c r="Q7250" s="224"/>
      <c r="S7250" s="202"/>
      <c r="T7250"/>
    </row>
    <row r="7251" spans="15:20">
      <c r="O7251" s="247"/>
      <c r="P7251"/>
      <c r="Q7251" s="224"/>
      <c r="S7251" s="202"/>
      <c r="T7251"/>
    </row>
    <row r="7252" spans="15:20">
      <c r="O7252" s="247"/>
      <c r="P7252"/>
      <c r="Q7252" s="224"/>
      <c r="S7252" s="202"/>
      <c r="T7252"/>
    </row>
    <row r="7253" spans="15:20">
      <c r="O7253" s="247"/>
      <c r="P7253"/>
      <c r="Q7253" s="224"/>
      <c r="S7253" s="202"/>
      <c r="T7253"/>
    </row>
    <row r="7254" spans="15:20">
      <c r="O7254" s="247"/>
      <c r="P7254"/>
      <c r="Q7254" s="224"/>
      <c r="S7254" s="202"/>
      <c r="T7254"/>
    </row>
    <row r="7255" spans="15:20">
      <c r="O7255" s="247"/>
      <c r="P7255"/>
      <c r="Q7255" s="224"/>
      <c r="S7255" s="202"/>
      <c r="T7255"/>
    </row>
    <row r="7256" spans="15:20">
      <c r="O7256" s="247"/>
      <c r="P7256"/>
      <c r="Q7256" s="224"/>
      <c r="S7256" s="202"/>
      <c r="T7256"/>
    </row>
    <row r="7257" spans="15:20">
      <c r="O7257" s="247"/>
      <c r="P7257"/>
      <c r="Q7257" s="224"/>
      <c r="S7257" s="202"/>
      <c r="T7257"/>
    </row>
    <row r="7258" spans="15:20">
      <c r="O7258" s="247"/>
      <c r="P7258"/>
      <c r="Q7258" s="224"/>
      <c r="S7258" s="202"/>
      <c r="T7258"/>
    </row>
    <row r="7259" spans="15:20">
      <c r="O7259" s="247"/>
      <c r="P7259"/>
      <c r="Q7259" s="224"/>
      <c r="S7259" s="202"/>
      <c r="T7259"/>
    </row>
    <row r="7260" spans="15:20">
      <c r="O7260" s="247"/>
      <c r="P7260"/>
      <c r="Q7260" s="224"/>
      <c r="S7260" s="202"/>
      <c r="T7260"/>
    </row>
    <row r="7261" spans="15:20">
      <c r="O7261" s="247"/>
      <c r="P7261"/>
      <c r="Q7261" s="224"/>
      <c r="S7261" s="202"/>
      <c r="T7261"/>
    </row>
    <row r="7262" spans="15:20">
      <c r="O7262" s="247"/>
      <c r="P7262"/>
      <c r="Q7262" s="224"/>
      <c r="S7262" s="202"/>
      <c r="T7262"/>
    </row>
    <row r="7263" spans="15:20">
      <c r="O7263" s="247"/>
      <c r="P7263"/>
      <c r="Q7263" s="224"/>
      <c r="S7263" s="202"/>
      <c r="T7263"/>
    </row>
    <row r="7264" spans="15:20">
      <c r="O7264" s="247"/>
      <c r="P7264"/>
      <c r="Q7264" s="224"/>
      <c r="S7264" s="202"/>
      <c r="T7264"/>
    </row>
    <row r="7265" spans="15:20">
      <c r="O7265" s="247"/>
      <c r="P7265"/>
      <c r="Q7265" s="224"/>
      <c r="S7265" s="202"/>
      <c r="T7265"/>
    </row>
    <row r="7266" spans="15:20">
      <c r="O7266" s="247"/>
      <c r="P7266"/>
      <c r="Q7266" s="224"/>
      <c r="S7266" s="202"/>
      <c r="T7266"/>
    </row>
    <row r="7267" spans="15:20">
      <c r="O7267" s="247"/>
      <c r="P7267"/>
      <c r="Q7267" s="224"/>
      <c r="S7267" s="202"/>
      <c r="T7267"/>
    </row>
    <row r="7268" spans="15:20">
      <c r="O7268" s="247"/>
      <c r="P7268"/>
      <c r="Q7268" s="224"/>
      <c r="S7268" s="202"/>
      <c r="T7268"/>
    </row>
    <row r="7269" spans="15:20">
      <c r="O7269" s="247"/>
      <c r="P7269"/>
      <c r="Q7269" s="224"/>
      <c r="S7269" s="202"/>
      <c r="T7269"/>
    </row>
    <row r="7270" spans="15:20">
      <c r="O7270" s="247"/>
      <c r="P7270"/>
      <c r="Q7270" s="224"/>
      <c r="S7270" s="202"/>
      <c r="T7270"/>
    </row>
    <row r="7271" spans="15:20">
      <c r="O7271" s="247"/>
      <c r="P7271"/>
      <c r="Q7271" s="224"/>
      <c r="S7271" s="202"/>
      <c r="T7271"/>
    </row>
    <row r="7272" spans="15:20">
      <c r="O7272" s="247"/>
      <c r="P7272"/>
      <c r="Q7272" s="224"/>
      <c r="S7272" s="202"/>
      <c r="T7272"/>
    </row>
    <row r="7273" spans="15:20">
      <c r="O7273" s="247"/>
      <c r="P7273"/>
      <c r="Q7273" s="224"/>
      <c r="S7273" s="202"/>
      <c r="T7273"/>
    </row>
    <row r="7274" spans="15:20">
      <c r="O7274" s="247"/>
      <c r="P7274"/>
      <c r="Q7274" s="224"/>
      <c r="S7274" s="202"/>
      <c r="T7274"/>
    </row>
    <row r="7275" spans="15:20">
      <c r="O7275" s="247"/>
      <c r="P7275"/>
      <c r="Q7275" s="224"/>
      <c r="S7275" s="202"/>
      <c r="T7275"/>
    </row>
    <row r="7276" spans="15:20">
      <c r="O7276" s="247"/>
      <c r="P7276"/>
      <c r="Q7276" s="224"/>
      <c r="S7276" s="202"/>
      <c r="T7276"/>
    </row>
    <row r="7277" spans="15:20">
      <c r="O7277" s="247"/>
      <c r="P7277"/>
      <c r="Q7277" s="224"/>
      <c r="S7277" s="202"/>
      <c r="T7277"/>
    </row>
    <row r="7278" spans="15:20">
      <c r="O7278" s="247"/>
      <c r="P7278"/>
      <c r="Q7278" s="224"/>
      <c r="S7278" s="202"/>
      <c r="T7278"/>
    </row>
    <row r="7279" spans="15:20">
      <c r="O7279" s="247"/>
      <c r="P7279"/>
      <c r="Q7279" s="224"/>
      <c r="S7279" s="202"/>
      <c r="T7279"/>
    </row>
    <row r="7280" spans="15:20">
      <c r="O7280" s="247"/>
      <c r="P7280"/>
      <c r="Q7280" s="224"/>
      <c r="S7280" s="202"/>
      <c r="T7280"/>
    </row>
    <row r="7281" spans="15:20">
      <c r="O7281" s="247"/>
      <c r="P7281"/>
      <c r="Q7281" s="224"/>
      <c r="S7281" s="202"/>
      <c r="T7281"/>
    </row>
    <row r="7282" spans="15:20">
      <c r="O7282" s="247"/>
      <c r="P7282"/>
      <c r="Q7282" s="224"/>
      <c r="S7282" s="202"/>
      <c r="T7282"/>
    </row>
    <row r="7283" spans="15:20">
      <c r="O7283" s="247"/>
      <c r="P7283"/>
      <c r="Q7283" s="224"/>
      <c r="S7283" s="202"/>
      <c r="T7283"/>
    </row>
    <row r="7284" spans="15:20">
      <c r="O7284" s="247"/>
      <c r="P7284"/>
      <c r="Q7284" s="224"/>
      <c r="S7284" s="202"/>
      <c r="T7284"/>
    </row>
    <row r="7285" spans="15:20">
      <c r="O7285" s="247"/>
      <c r="P7285"/>
      <c r="Q7285" s="224"/>
      <c r="S7285" s="202"/>
      <c r="T7285"/>
    </row>
    <row r="7286" spans="15:20">
      <c r="O7286" s="247"/>
      <c r="P7286"/>
      <c r="Q7286" s="224"/>
      <c r="S7286" s="202"/>
      <c r="T7286"/>
    </row>
    <row r="7287" spans="15:20">
      <c r="O7287" s="247"/>
      <c r="P7287"/>
      <c r="Q7287" s="224"/>
      <c r="S7287" s="202"/>
      <c r="T7287"/>
    </row>
    <row r="7288" spans="15:20">
      <c r="O7288" s="247"/>
      <c r="P7288"/>
      <c r="Q7288" s="224"/>
      <c r="S7288" s="202"/>
      <c r="T7288"/>
    </row>
    <row r="7289" spans="15:20">
      <c r="O7289" s="247"/>
      <c r="P7289"/>
      <c r="Q7289" s="224"/>
      <c r="S7289" s="202"/>
      <c r="T7289"/>
    </row>
    <row r="7290" spans="15:20">
      <c r="O7290" s="247"/>
      <c r="P7290"/>
      <c r="Q7290" s="224"/>
      <c r="S7290" s="202"/>
      <c r="T7290"/>
    </row>
    <row r="7291" spans="15:20">
      <c r="O7291" s="247"/>
      <c r="P7291"/>
      <c r="Q7291" s="224"/>
      <c r="S7291" s="202"/>
      <c r="T7291"/>
    </row>
    <row r="7292" spans="15:20">
      <c r="O7292" s="247"/>
      <c r="P7292"/>
      <c r="Q7292" s="224"/>
      <c r="S7292" s="202"/>
      <c r="T7292"/>
    </row>
    <row r="7293" spans="15:20">
      <c r="O7293" s="247"/>
      <c r="P7293"/>
      <c r="Q7293" s="224"/>
      <c r="S7293" s="202"/>
      <c r="T7293"/>
    </row>
    <row r="7294" spans="15:20">
      <c r="O7294" s="247"/>
      <c r="P7294"/>
      <c r="Q7294" s="224"/>
      <c r="S7294" s="202"/>
      <c r="T7294"/>
    </row>
    <row r="7295" spans="15:20">
      <c r="O7295" s="247"/>
      <c r="P7295"/>
      <c r="Q7295" s="224"/>
      <c r="S7295" s="202"/>
      <c r="T7295"/>
    </row>
    <row r="7296" spans="15:20">
      <c r="O7296" s="247"/>
      <c r="P7296"/>
      <c r="Q7296" s="224"/>
      <c r="S7296" s="202"/>
      <c r="T7296"/>
    </row>
    <row r="7297" spans="15:20">
      <c r="O7297" s="247"/>
      <c r="P7297"/>
      <c r="Q7297" s="224"/>
      <c r="S7297" s="202"/>
      <c r="T7297"/>
    </row>
    <row r="7298" spans="15:20">
      <c r="O7298" s="247"/>
      <c r="P7298"/>
      <c r="Q7298" s="224"/>
      <c r="S7298" s="202"/>
      <c r="T7298"/>
    </row>
    <row r="7299" spans="15:20">
      <c r="O7299" s="247"/>
      <c r="P7299"/>
      <c r="Q7299" s="224"/>
      <c r="S7299" s="202"/>
      <c r="T7299"/>
    </row>
    <row r="7300" spans="15:20">
      <c r="O7300" s="247"/>
      <c r="P7300"/>
      <c r="Q7300" s="224"/>
      <c r="S7300" s="202"/>
      <c r="T7300"/>
    </row>
    <row r="7301" spans="15:20">
      <c r="O7301" s="247"/>
      <c r="P7301"/>
      <c r="Q7301" s="224"/>
      <c r="S7301" s="202"/>
      <c r="T7301"/>
    </row>
    <row r="7302" spans="15:20">
      <c r="O7302" s="247"/>
      <c r="P7302"/>
      <c r="Q7302" s="224"/>
      <c r="S7302" s="202"/>
      <c r="T7302"/>
    </row>
    <row r="7303" spans="15:20">
      <c r="O7303" s="247"/>
      <c r="P7303"/>
      <c r="Q7303" s="224"/>
      <c r="S7303" s="202"/>
      <c r="T7303"/>
    </row>
    <row r="7304" spans="15:20">
      <c r="O7304" s="247"/>
      <c r="P7304"/>
      <c r="Q7304" s="224"/>
      <c r="S7304" s="202"/>
      <c r="T7304"/>
    </row>
    <row r="7305" spans="15:20">
      <c r="O7305" s="247"/>
      <c r="P7305"/>
      <c r="Q7305" s="224"/>
      <c r="S7305" s="202"/>
      <c r="T7305"/>
    </row>
    <row r="7306" spans="15:20">
      <c r="O7306" s="247"/>
      <c r="P7306"/>
      <c r="Q7306" s="224"/>
      <c r="S7306" s="202"/>
      <c r="T7306"/>
    </row>
    <row r="7307" spans="15:20">
      <c r="O7307" s="247"/>
      <c r="P7307"/>
      <c r="Q7307" s="224"/>
      <c r="S7307" s="202"/>
      <c r="T7307"/>
    </row>
    <row r="7308" spans="15:20">
      <c r="O7308" s="247"/>
      <c r="P7308"/>
      <c r="Q7308" s="224"/>
      <c r="S7308" s="202"/>
      <c r="T7308"/>
    </row>
    <row r="7309" spans="15:20">
      <c r="O7309" s="247"/>
      <c r="P7309"/>
      <c r="Q7309" s="224"/>
      <c r="S7309" s="202"/>
      <c r="T7309"/>
    </row>
    <row r="7310" spans="15:20">
      <c r="O7310" s="247"/>
      <c r="P7310"/>
      <c r="Q7310" s="224"/>
      <c r="S7310" s="202"/>
      <c r="T7310"/>
    </row>
    <row r="7311" spans="15:20">
      <c r="O7311" s="247"/>
      <c r="P7311"/>
      <c r="Q7311" s="224"/>
      <c r="S7311" s="202"/>
      <c r="T7311"/>
    </row>
    <row r="7312" spans="15:20">
      <c r="O7312" s="247"/>
      <c r="P7312"/>
      <c r="Q7312" s="224"/>
      <c r="S7312" s="202"/>
      <c r="T7312"/>
    </row>
    <row r="7313" spans="15:20">
      <c r="O7313" s="247"/>
      <c r="P7313"/>
      <c r="Q7313" s="224"/>
      <c r="S7313" s="202"/>
      <c r="T7313"/>
    </row>
    <row r="7314" spans="15:20">
      <c r="O7314" s="247"/>
      <c r="P7314"/>
      <c r="Q7314" s="224"/>
      <c r="S7314" s="202"/>
      <c r="T7314"/>
    </row>
    <row r="7315" spans="15:20">
      <c r="O7315" s="247"/>
      <c r="P7315"/>
      <c r="Q7315" s="224"/>
      <c r="S7315" s="202"/>
      <c r="T7315"/>
    </row>
    <row r="7316" spans="15:20">
      <c r="O7316" s="247"/>
      <c r="P7316"/>
      <c r="Q7316" s="224"/>
      <c r="S7316" s="202"/>
      <c r="T7316"/>
    </row>
    <row r="7317" spans="15:20">
      <c r="O7317" s="247"/>
      <c r="P7317"/>
      <c r="Q7317" s="224"/>
      <c r="S7317" s="202"/>
      <c r="T7317"/>
    </row>
    <row r="7318" spans="15:20">
      <c r="O7318" s="247"/>
      <c r="P7318"/>
      <c r="Q7318" s="224"/>
      <c r="S7318" s="202"/>
      <c r="T7318"/>
    </row>
    <row r="7319" spans="15:20">
      <c r="O7319" s="247"/>
      <c r="P7319"/>
      <c r="Q7319" s="224"/>
      <c r="S7319" s="202"/>
      <c r="T7319"/>
    </row>
    <row r="7320" spans="15:20">
      <c r="O7320" s="247"/>
      <c r="P7320"/>
      <c r="Q7320" s="224"/>
      <c r="S7320" s="202"/>
      <c r="T7320"/>
    </row>
    <row r="7321" spans="15:20">
      <c r="O7321" s="247"/>
      <c r="P7321"/>
      <c r="Q7321" s="224"/>
      <c r="S7321" s="202"/>
      <c r="T7321"/>
    </row>
    <row r="7322" spans="15:20">
      <c r="O7322" s="247"/>
      <c r="P7322"/>
      <c r="Q7322" s="224"/>
      <c r="S7322" s="202"/>
      <c r="T7322"/>
    </row>
    <row r="7323" spans="15:20">
      <c r="O7323" s="247"/>
      <c r="P7323"/>
      <c r="Q7323" s="224"/>
      <c r="S7323" s="202"/>
      <c r="T7323"/>
    </row>
    <row r="7324" spans="15:20">
      <c r="O7324" s="247"/>
      <c r="P7324"/>
      <c r="Q7324" s="224"/>
      <c r="S7324" s="202"/>
      <c r="T7324"/>
    </row>
    <row r="7325" spans="15:20">
      <c r="O7325" s="247"/>
      <c r="P7325"/>
      <c r="Q7325" s="224"/>
      <c r="S7325" s="202"/>
      <c r="T7325"/>
    </row>
    <row r="7326" spans="15:20">
      <c r="O7326" s="247"/>
      <c r="P7326"/>
      <c r="Q7326" s="224"/>
      <c r="S7326" s="202"/>
      <c r="T7326"/>
    </row>
    <row r="7327" spans="15:20">
      <c r="O7327" s="247"/>
      <c r="P7327"/>
      <c r="Q7327" s="224"/>
      <c r="S7327" s="202"/>
      <c r="T7327"/>
    </row>
    <row r="7328" spans="15:20">
      <c r="O7328" s="247"/>
      <c r="P7328"/>
      <c r="Q7328" s="224"/>
      <c r="S7328" s="202"/>
      <c r="T7328"/>
    </row>
    <row r="7329" spans="15:20">
      <c r="O7329" s="247"/>
      <c r="P7329"/>
      <c r="Q7329" s="224"/>
      <c r="S7329" s="202"/>
      <c r="T7329"/>
    </row>
    <row r="7330" spans="15:20">
      <c r="O7330" s="247"/>
      <c r="P7330"/>
      <c r="Q7330" s="224"/>
      <c r="S7330" s="202"/>
      <c r="T7330"/>
    </row>
    <row r="7331" spans="15:20">
      <c r="O7331" s="247"/>
      <c r="P7331"/>
      <c r="Q7331" s="224"/>
      <c r="S7331" s="202"/>
      <c r="T7331"/>
    </row>
    <row r="7332" spans="15:20">
      <c r="O7332" s="247"/>
      <c r="P7332"/>
      <c r="Q7332" s="224"/>
      <c r="S7332" s="202"/>
      <c r="T7332"/>
    </row>
    <row r="7333" spans="15:20">
      <c r="O7333" s="247"/>
      <c r="P7333"/>
      <c r="Q7333" s="224"/>
      <c r="S7333" s="202"/>
      <c r="T7333"/>
    </row>
    <row r="7334" spans="15:20">
      <c r="O7334" s="247"/>
      <c r="P7334"/>
      <c r="Q7334" s="224"/>
      <c r="S7334" s="202"/>
      <c r="T7334"/>
    </row>
    <row r="7335" spans="15:20">
      <c r="O7335" s="247"/>
      <c r="P7335"/>
      <c r="Q7335" s="224"/>
      <c r="S7335" s="202"/>
      <c r="T7335"/>
    </row>
    <row r="7336" spans="15:20">
      <c r="O7336" s="247"/>
      <c r="P7336"/>
      <c r="Q7336" s="224"/>
      <c r="S7336" s="202"/>
      <c r="T7336"/>
    </row>
    <row r="7337" spans="15:20">
      <c r="O7337" s="247"/>
      <c r="P7337"/>
      <c r="Q7337" s="224"/>
      <c r="S7337" s="202"/>
      <c r="T7337"/>
    </row>
    <row r="7338" spans="15:20">
      <c r="O7338" s="247"/>
      <c r="P7338"/>
      <c r="Q7338" s="224"/>
      <c r="S7338" s="202"/>
      <c r="T7338"/>
    </row>
    <row r="7339" spans="15:20">
      <c r="O7339" s="247"/>
      <c r="P7339"/>
      <c r="Q7339" s="224"/>
      <c r="S7339" s="202"/>
      <c r="T7339"/>
    </row>
    <row r="7340" spans="15:20">
      <c r="O7340" s="247"/>
      <c r="P7340"/>
      <c r="Q7340" s="224"/>
      <c r="S7340" s="202"/>
      <c r="T7340"/>
    </row>
    <row r="7341" spans="15:20">
      <c r="O7341" s="247"/>
      <c r="P7341"/>
      <c r="Q7341" s="224"/>
      <c r="S7341" s="202"/>
      <c r="T7341"/>
    </row>
    <row r="7342" spans="15:20">
      <c r="O7342" s="247"/>
      <c r="P7342"/>
      <c r="Q7342" s="224"/>
      <c r="S7342" s="202"/>
      <c r="T7342"/>
    </row>
    <row r="7343" spans="15:20">
      <c r="O7343" s="247"/>
      <c r="P7343"/>
      <c r="Q7343" s="224"/>
      <c r="S7343" s="202"/>
      <c r="T7343"/>
    </row>
    <row r="7344" spans="15:20">
      <c r="O7344" s="247"/>
      <c r="P7344"/>
      <c r="Q7344" s="224"/>
      <c r="S7344" s="202"/>
      <c r="T7344"/>
    </row>
    <row r="7345" spans="15:20">
      <c r="O7345" s="247"/>
      <c r="P7345"/>
      <c r="Q7345" s="224"/>
      <c r="S7345" s="202"/>
      <c r="T7345"/>
    </row>
    <row r="7346" spans="15:20">
      <c r="O7346" s="247"/>
      <c r="P7346"/>
      <c r="Q7346" s="224"/>
      <c r="S7346" s="202"/>
      <c r="T7346"/>
    </row>
    <row r="7347" spans="15:20">
      <c r="O7347" s="247"/>
      <c r="P7347"/>
      <c r="Q7347" s="224"/>
      <c r="S7347" s="202"/>
      <c r="T7347"/>
    </row>
    <row r="7348" spans="15:20">
      <c r="O7348" s="247"/>
      <c r="P7348"/>
      <c r="Q7348" s="224"/>
      <c r="S7348" s="202"/>
      <c r="T7348"/>
    </row>
    <row r="7349" spans="15:20">
      <c r="O7349" s="247"/>
      <c r="P7349"/>
      <c r="Q7349" s="224"/>
      <c r="S7349" s="202"/>
      <c r="T7349"/>
    </row>
    <row r="7350" spans="15:20">
      <c r="O7350" s="247"/>
      <c r="P7350"/>
      <c r="Q7350" s="224"/>
      <c r="S7350" s="202"/>
      <c r="T7350"/>
    </row>
    <row r="7351" spans="15:20">
      <c r="O7351" s="247"/>
      <c r="P7351"/>
      <c r="Q7351" s="224"/>
      <c r="S7351" s="202"/>
      <c r="T7351"/>
    </row>
    <row r="7352" spans="15:20">
      <c r="O7352" s="247"/>
      <c r="P7352"/>
      <c r="Q7352" s="224"/>
      <c r="S7352" s="202"/>
      <c r="T7352"/>
    </row>
    <row r="7353" spans="15:20">
      <c r="O7353" s="247"/>
      <c r="P7353"/>
      <c r="Q7353" s="224"/>
      <c r="S7353" s="202"/>
      <c r="T7353"/>
    </row>
    <row r="7354" spans="15:20">
      <c r="O7354" s="247"/>
      <c r="P7354"/>
      <c r="Q7354" s="224"/>
      <c r="S7354" s="202"/>
      <c r="T7354"/>
    </row>
    <row r="7355" spans="15:20">
      <c r="O7355" s="247"/>
      <c r="P7355"/>
      <c r="Q7355" s="224"/>
      <c r="S7355" s="202"/>
      <c r="T7355"/>
    </row>
    <row r="7356" spans="15:20">
      <c r="O7356" s="247"/>
      <c r="P7356"/>
      <c r="Q7356" s="224"/>
      <c r="S7356" s="202"/>
      <c r="T7356"/>
    </row>
    <row r="7357" spans="15:20">
      <c r="O7357" s="247"/>
      <c r="P7357"/>
      <c r="Q7357" s="224"/>
      <c r="S7357" s="202"/>
      <c r="T7357"/>
    </row>
    <row r="7358" spans="15:20">
      <c r="O7358" s="247"/>
      <c r="P7358"/>
      <c r="Q7358" s="224"/>
      <c r="S7358" s="202"/>
      <c r="T7358"/>
    </row>
    <row r="7359" spans="15:20">
      <c r="O7359" s="247"/>
      <c r="P7359"/>
      <c r="Q7359" s="224"/>
      <c r="S7359" s="202"/>
      <c r="T7359"/>
    </row>
    <row r="7360" spans="15:20">
      <c r="O7360" s="247"/>
      <c r="P7360"/>
      <c r="Q7360" s="224"/>
      <c r="S7360" s="202"/>
      <c r="T7360"/>
    </row>
    <row r="7361" spans="15:20">
      <c r="O7361" s="247"/>
      <c r="P7361"/>
      <c r="Q7361" s="224"/>
      <c r="S7361" s="202"/>
      <c r="T7361"/>
    </row>
    <row r="7362" spans="15:20">
      <c r="O7362" s="247"/>
      <c r="P7362"/>
      <c r="Q7362" s="224"/>
      <c r="S7362" s="202"/>
      <c r="T7362"/>
    </row>
    <row r="7363" spans="15:20">
      <c r="O7363" s="247"/>
      <c r="P7363"/>
      <c r="Q7363" s="224"/>
      <c r="S7363" s="202"/>
      <c r="T7363"/>
    </row>
    <row r="7364" spans="15:20">
      <c r="O7364" s="247"/>
      <c r="P7364"/>
      <c r="Q7364" s="224"/>
      <c r="S7364" s="202"/>
      <c r="T7364"/>
    </row>
    <row r="7365" spans="15:20">
      <c r="O7365" s="247"/>
      <c r="P7365"/>
      <c r="Q7365" s="224"/>
      <c r="S7365" s="202"/>
      <c r="T7365"/>
    </row>
    <row r="7366" spans="15:20">
      <c r="O7366" s="247"/>
      <c r="P7366"/>
      <c r="Q7366" s="224"/>
      <c r="S7366" s="202"/>
      <c r="T7366"/>
    </row>
    <row r="7367" spans="15:20">
      <c r="O7367" s="247"/>
      <c r="P7367"/>
      <c r="Q7367" s="224"/>
      <c r="S7367" s="202"/>
      <c r="T7367"/>
    </row>
    <row r="7368" spans="15:20">
      <c r="O7368" s="247"/>
      <c r="P7368"/>
      <c r="Q7368" s="224"/>
      <c r="S7368" s="202"/>
      <c r="T7368"/>
    </row>
    <row r="7369" spans="15:20">
      <c r="O7369" s="247"/>
      <c r="P7369"/>
      <c r="Q7369" s="224"/>
      <c r="S7369" s="202"/>
      <c r="T7369"/>
    </row>
    <row r="7370" spans="15:20">
      <c r="O7370" s="247"/>
      <c r="P7370"/>
      <c r="Q7370" s="224"/>
      <c r="S7370" s="202"/>
      <c r="T7370"/>
    </row>
    <row r="7371" spans="15:20">
      <c r="O7371" s="247"/>
      <c r="P7371"/>
      <c r="Q7371" s="224"/>
      <c r="S7371" s="202"/>
      <c r="T7371"/>
    </row>
    <row r="7372" spans="15:20">
      <c r="O7372" s="247"/>
      <c r="P7372"/>
      <c r="Q7372" s="224"/>
      <c r="S7372" s="202"/>
      <c r="T7372"/>
    </row>
    <row r="7373" spans="15:20">
      <c r="O7373" s="247"/>
      <c r="P7373"/>
      <c r="Q7373" s="224"/>
      <c r="S7373" s="202"/>
      <c r="T7373"/>
    </row>
    <row r="7374" spans="15:20">
      <c r="O7374" s="247"/>
      <c r="P7374"/>
      <c r="Q7374" s="224"/>
      <c r="S7374" s="202"/>
      <c r="T7374"/>
    </row>
    <row r="7375" spans="15:20">
      <c r="O7375" s="247"/>
      <c r="P7375"/>
      <c r="Q7375" s="224"/>
      <c r="S7375" s="202"/>
      <c r="T7375"/>
    </row>
    <row r="7376" spans="15:20">
      <c r="O7376" s="247"/>
      <c r="P7376"/>
      <c r="Q7376" s="224"/>
      <c r="S7376" s="202"/>
      <c r="T7376"/>
    </row>
    <row r="7377" spans="15:20">
      <c r="O7377" s="247"/>
      <c r="P7377"/>
      <c r="Q7377" s="224"/>
      <c r="S7377" s="202"/>
      <c r="T7377"/>
    </row>
    <row r="7378" spans="15:20">
      <c r="O7378" s="247"/>
      <c r="P7378"/>
      <c r="Q7378" s="224"/>
      <c r="S7378" s="202"/>
      <c r="T7378"/>
    </row>
    <row r="7379" spans="15:20">
      <c r="O7379" s="247"/>
      <c r="P7379"/>
      <c r="Q7379" s="224"/>
      <c r="S7379" s="202"/>
      <c r="T7379"/>
    </row>
    <row r="7380" spans="15:20">
      <c r="O7380" s="247"/>
      <c r="P7380"/>
      <c r="Q7380" s="224"/>
      <c r="S7380" s="202"/>
      <c r="T7380"/>
    </row>
    <row r="7381" spans="15:20">
      <c r="O7381" s="247"/>
      <c r="P7381"/>
      <c r="Q7381" s="224"/>
      <c r="S7381" s="202"/>
      <c r="T7381"/>
    </row>
    <row r="7382" spans="15:20">
      <c r="O7382" s="247"/>
      <c r="P7382"/>
      <c r="Q7382" s="224"/>
      <c r="S7382" s="202"/>
      <c r="T7382"/>
    </row>
    <row r="7383" spans="15:20">
      <c r="O7383" s="247"/>
      <c r="P7383"/>
      <c r="Q7383" s="224"/>
      <c r="S7383" s="202"/>
      <c r="T7383"/>
    </row>
    <row r="7384" spans="15:20">
      <c r="O7384" s="247"/>
      <c r="P7384"/>
      <c r="Q7384" s="224"/>
      <c r="S7384" s="202"/>
      <c r="T7384"/>
    </row>
    <row r="7385" spans="15:20">
      <c r="O7385" s="247"/>
      <c r="P7385"/>
      <c r="Q7385" s="224"/>
      <c r="S7385" s="202"/>
      <c r="T7385"/>
    </row>
    <row r="7386" spans="15:20">
      <c r="O7386" s="247"/>
      <c r="P7386"/>
      <c r="Q7386" s="224"/>
      <c r="S7386" s="202"/>
      <c r="T7386"/>
    </row>
    <row r="7387" spans="15:20">
      <c r="O7387" s="247"/>
      <c r="P7387"/>
      <c r="Q7387" s="224"/>
      <c r="S7387" s="202"/>
      <c r="T7387"/>
    </row>
    <row r="7388" spans="15:20">
      <c r="O7388" s="247"/>
      <c r="P7388"/>
      <c r="Q7388" s="224"/>
      <c r="S7388" s="202"/>
      <c r="T7388"/>
    </row>
    <row r="7389" spans="15:20">
      <c r="O7389" s="247"/>
      <c r="P7389"/>
      <c r="Q7389" s="224"/>
      <c r="S7389" s="202"/>
      <c r="T7389"/>
    </row>
    <row r="7390" spans="15:20">
      <c r="O7390" s="247"/>
      <c r="P7390"/>
      <c r="Q7390" s="224"/>
      <c r="S7390" s="202"/>
      <c r="T7390"/>
    </row>
    <row r="7391" spans="15:20">
      <c r="O7391" s="247"/>
      <c r="P7391"/>
      <c r="Q7391" s="224"/>
      <c r="S7391" s="202"/>
      <c r="T7391"/>
    </row>
    <row r="7392" spans="15:20">
      <c r="O7392" s="247"/>
      <c r="P7392"/>
      <c r="Q7392" s="224"/>
      <c r="S7392" s="202"/>
      <c r="T7392"/>
    </row>
    <row r="7393" spans="15:20">
      <c r="O7393" s="247"/>
      <c r="P7393"/>
      <c r="Q7393" s="224"/>
      <c r="S7393" s="202"/>
      <c r="T7393"/>
    </row>
    <row r="7394" spans="15:20">
      <c r="O7394" s="247"/>
      <c r="P7394"/>
      <c r="Q7394" s="224"/>
      <c r="S7394" s="202"/>
      <c r="T7394"/>
    </row>
    <row r="7395" spans="15:20">
      <c r="O7395" s="247"/>
      <c r="P7395"/>
      <c r="Q7395" s="224"/>
      <c r="S7395" s="202"/>
      <c r="T7395"/>
    </row>
    <row r="7396" spans="15:20">
      <c r="O7396" s="247"/>
      <c r="P7396"/>
      <c r="Q7396" s="224"/>
      <c r="S7396" s="202"/>
      <c r="T7396"/>
    </row>
    <row r="7397" spans="15:20">
      <c r="O7397" s="247"/>
      <c r="P7397"/>
      <c r="Q7397" s="224"/>
      <c r="S7397" s="202"/>
      <c r="T7397"/>
    </row>
    <row r="7398" spans="15:20">
      <c r="O7398" s="247"/>
      <c r="P7398"/>
      <c r="Q7398" s="224"/>
      <c r="S7398" s="202"/>
      <c r="T7398"/>
    </row>
    <row r="7399" spans="15:20">
      <c r="O7399" s="247"/>
      <c r="P7399"/>
      <c r="Q7399" s="224"/>
      <c r="S7399" s="202"/>
      <c r="T7399"/>
    </row>
    <row r="7400" spans="15:20">
      <c r="O7400" s="247"/>
      <c r="P7400"/>
      <c r="Q7400" s="224"/>
      <c r="S7400" s="202"/>
      <c r="T7400"/>
    </row>
    <row r="7401" spans="15:20">
      <c r="O7401" s="247"/>
      <c r="P7401"/>
      <c r="Q7401" s="224"/>
      <c r="S7401" s="202"/>
      <c r="T7401"/>
    </row>
    <row r="7402" spans="15:20">
      <c r="O7402" s="247"/>
      <c r="P7402"/>
      <c r="Q7402" s="224"/>
      <c r="S7402" s="202"/>
      <c r="T7402"/>
    </row>
    <row r="7403" spans="15:20">
      <c r="O7403" s="247"/>
      <c r="P7403"/>
      <c r="Q7403" s="224"/>
      <c r="S7403" s="202"/>
      <c r="T7403"/>
    </row>
    <row r="7404" spans="15:20">
      <c r="O7404" s="247"/>
      <c r="P7404"/>
      <c r="Q7404" s="224"/>
      <c r="S7404" s="202"/>
      <c r="T7404"/>
    </row>
    <row r="7405" spans="15:20">
      <c r="O7405" s="247"/>
      <c r="P7405"/>
      <c r="Q7405" s="224"/>
      <c r="S7405" s="202"/>
      <c r="T7405"/>
    </row>
    <row r="7406" spans="15:20">
      <c r="O7406" s="247"/>
      <c r="P7406"/>
      <c r="Q7406" s="224"/>
      <c r="S7406" s="202"/>
      <c r="T7406"/>
    </row>
    <row r="7407" spans="15:20">
      <c r="O7407" s="247"/>
      <c r="P7407"/>
      <c r="Q7407" s="224"/>
      <c r="S7407" s="202"/>
      <c r="T7407"/>
    </row>
    <row r="7408" spans="15:20">
      <c r="O7408" s="247"/>
      <c r="P7408"/>
      <c r="Q7408" s="224"/>
      <c r="S7408" s="202"/>
      <c r="T7408"/>
    </row>
    <row r="7409" spans="15:20">
      <c r="O7409" s="247"/>
      <c r="P7409"/>
      <c r="Q7409" s="224"/>
      <c r="S7409" s="202"/>
      <c r="T7409"/>
    </row>
    <row r="7410" spans="15:20">
      <c r="O7410" s="247"/>
      <c r="P7410"/>
      <c r="Q7410" s="224"/>
      <c r="S7410" s="202"/>
      <c r="T7410"/>
    </row>
    <row r="7411" spans="15:20">
      <c r="O7411" s="247"/>
      <c r="P7411"/>
      <c r="Q7411" s="224"/>
      <c r="S7411" s="202"/>
      <c r="T7411"/>
    </row>
    <row r="7412" spans="15:20">
      <c r="O7412" s="247"/>
      <c r="P7412"/>
      <c r="Q7412" s="224"/>
      <c r="S7412" s="202"/>
      <c r="T7412"/>
    </row>
    <row r="7413" spans="15:20">
      <c r="O7413" s="247"/>
      <c r="P7413"/>
      <c r="Q7413" s="224"/>
      <c r="S7413" s="202"/>
      <c r="T7413"/>
    </row>
    <row r="7414" spans="15:20">
      <c r="O7414" s="247"/>
      <c r="P7414"/>
      <c r="Q7414" s="224"/>
      <c r="S7414" s="202"/>
      <c r="T7414"/>
    </row>
    <row r="7415" spans="15:20">
      <c r="O7415" s="247"/>
      <c r="P7415"/>
      <c r="Q7415" s="224"/>
      <c r="S7415" s="202"/>
      <c r="T7415"/>
    </row>
    <row r="7416" spans="15:20">
      <c r="O7416" s="247"/>
      <c r="P7416"/>
      <c r="Q7416" s="224"/>
      <c r="S7416" s="202"/>
      <c r="T7416"/>
    </row>
    <row r="7417" spans="15:20">
      <c r="O7417" s="247"/>
      <c r="P7417"/>
      <c r="Q7417" s="224"/>
      <c r="S7417" s="202"/>
      <c r="T7417"/>
    </row>
    <row r="7418" spans="15:20">
      <c r="O7418" s="247"/>
      <c r="P7418"/>
      <c r="Q7418" s="224"/>
      <c r="S7418" s="202"/>
      <c r="T7418"/>
    </row>
    <row r="7419" spans="15:20">
      <c r="O7419" s="247"/>
      <c r="P7419"/>
      <c r="Q7419" s="224"/>
      <c r="S7419" s="202"/>
      <c r="T7419"/>
    </row>
    <row r="7420" spans="15:20">
      <c r="O7420" s="247"/>
      <c r="P7420"/>
      <c r="Q7420" s="224"/>
      <c r="S7420" s="202"/>
      <c r="T7420"/>
    </row>
    <row r="7421" spans="15:20">
      <c r="O7421" s="247"/>
      <c r="P7421"/>
      <c r="Q7421" s="224"/>
      <c r="S7421" s="202"/>
      <c r="T7421"/>
    </row>
    <row r="7422" spans="15:20">
      <c r="O7422" s="247"/>
      <c r="P7422"/>
      <c r="Q7422" s="224"/>
      <c r="S7422" s="202"/>
      <c r="T7422"/>
    </row>
    <row r="7423" spans="15:20">
      <c r="O7423" s="247"/>
      <c r="P7423"/>
      <c r="Q7423" s="224"/>
      <c r="S7423" s="202"/>
      <c r="T7423"/>
    </row>
    <row r="7424" spans="15:20">
      <c r="O7424" s="247"/>
      <c r="P7424"/>
      <c r="Q7424" s="224"/>
      <c r="S7424" s="202"/>
      <c r="T7424"/>
    </row>
    <row r="7425" spans="15:20">
      <c r="O7425" s="247"/>
      <c r="P7425"/>
      <c r="Q7425" s="224"/>
      <c r="S7425" s="202"/>
      <c r="T7425"/>
    </row>
    <row r="7426" spans="15:20">
      <c r="O7426" s="247"/>
      <c r="P7426"/>
      <c r="Q7426" s="224"/>
      <c r="S7426" s="202"/>
      <c r="T7426"/>
    </row>
    <row r="7427" spans="15:20">
      <c r="O7427" s="247"/>
      <c r="P7427"/>
      <c r="Q7427" s="224"/>
      <c r="S7427" s="202"/>
      <c r="T7427"/>
    </row>
    <row r="7428" spans="15:20">
      <c r="O7428" s="247"/>
      <c r="P7428"/>
      <c r="Q7428" s="224"/>
      <c r="S7428" s="202"/>
      <c r="T7428"/>
    </row>
    <row r="7429" spans="15:20">
      <c r="O7429" s="247"/>
      <c r="P7429"/>
      <c r="Q7429" s="224"/>
      <c r="S7429" s="202"/>
      <c r="T7429"/>
    </row>
    <row r="7430" spans="15:20">
      <c r="O7430" s="247"/>
      <c r="P7430"/>
      <c r="Q7430" s="224"/>
      <c r="S7430" s="202"/>
      <c r="T7430"/>
    </row>
    <row r="7431" spans="15:20">
      <c r="O7431" s="247"/>
      <c r="P7431"/>
      <c r="Q7431" s="224"/>
      <c r="S7431" s="202"/>
      <c r="T7431"/>
    </row>
    <row r="7432" spans="15:20">
      <c r="O7432" s="247"/>
      <c r="P7432"/>
      <c r="Q7432" s="224"/>
      <c r="S7432" s="202"/>
      <c r="T7432"/>
    </row>
    <row r="7433" spans="15:20">
      <c r="O7433" s="247"/>
      <c r="P7433"/>
      <c r="Q7433" s="224"/>
      <c r="S7433" s="202"/>
      <c r="T7433"/>
    </row>
    <row r="7434" spans="15:20">
      <c r="O7434" s="247"/>
      <c r="P7434"/>
      <c r="Q7434" s="224"/>
      <c r="S7434" s="202"/>
      <c r="T7434"/>
    </row>
    <row r="7435" spans="15:20">
      <c r="O7435" s="247"/>
      <c r="P7435"/>
      <c r="Q7435" s="224"/>
      <c r="S7435" s="202"/>
      <c r="T7435"/>
    </row>
    <row r="7436" spans="15:20">
      <c r="O7436" s="247"/>
      <c r="P7436"/>
      <c r="Q7436" s="224"/>
      <c r="S7436" s="202"/>
      <c r="T7436"/>
    </row>
    <row r="7437" spans="15:20">
      <c r="O7437" s="247"/>
      <c r="P7437"/>
      <c r="Q7437" s="224"/>
      <c r="S7437" s="202"/>
      <c r="T7437"/>
    </row>
    <row r="7438" spans="15:20">
      <c r="O7438" s="247"/>
      <c r="P7438"/>
      <c r="Q7438" s="224"/>
      <c r="S7438" s="202"/>
      <c r="T7438"/>
    </row>
    <row r="7439" spans="15:20">
      <c r="O7439" s="247"/>
      <c r="P7439"/>
      <c r="Q7439" s="224"/>
      <c r="S7439" s="202"/>
      <c r="T7439"/>
    </row>
    <row r="7440" spans="15:20">
      <c r="O7440" s="247"/>
      <c r="P7440"/>
      <c r="Q7440" s="224"/>
      <c r="S7440" s="202"/>
      <c r="T7440"/>
    </row>
    <row r="7441" spans="15:20">
      <c r="O7441" s="247"/>
      <c r="P7441"/>
      <c r="Q7441" s="224"/>
      <c r="S7441" s="202"/>
      <c r="T7441"/>
    </row>
    <row r="7442" spans="15:20">
      <c r="O7442" s="247"/>
      <c r="P7442"/>
      <c r="Q7442" s="224"/>
      <c r="S7442" s="202"/>
      <c r="T7442"/>
    </row>
    <row r="7443" spans="15:20">
      <c r="O7443" s="247"/>
      <c r="P7443"/>
      <c r="Q7443" s="224"/>
      <c r="S7443" s="202"/>
      <c r="T7443"/>
    </row>
    <row r="7444" spans="15:20">
      <c r="O7444" s="247"/>
      <c r="P7444"/>
      <c r="Q7444" s="224"/>
      <c r="S7444" s="202"/>
      <c r="T7444"/>
    </row>
    <row r="7445" spans="15:20">
      <c r="O7445" s="247"/>
      <c r="P7445"/>
      <c r="Q7445" s="224"/>
      <c r="S7445" s="202"/>
      <c r="T7445"/>
    </row>
    <row r="7446" spans="15:20">
      <c r="O7446" s="247"/>
      <c r="P7446"/>
      <c r="Q7446" s="224"/>
      <c r="S7446" s="202"/>
      <c r="T7446"/>
    </row>
    <row r="7447" spans="15:20">
      <c r="O7447" s="247"/>
      <c r="P7447"/>
      <c r="Q7447" s="224"/>
      <c r="S7447" s="202"/>
      <c r="T7447"/>
    </row>
    <row r="7448" spans="15:20">
      <c r="O7448" s="247"/>
      <c r="P7448"/>
      <c r="Q7448" s="224"/>
      <c r="S7448" s="202"/>
      <c r="T7448"/>
    </row>
    <row r="7449" spans="15:20">
      <c r="O7449" s="247"/>
      <c r="P7449"/>
      <c r="Q7449" s="224"/>
      <c r="S7449" s="202"/>
      <c r="T7449"/>
    </row>
    <row r="7450" spans="15:20">
      <c r="O7450" s="247"/>
      <c r="P7450"/>
      <c r="Q7450" s="224"/>
      <c r="S7450" s="202"/>
      <c r="T7450"/>
    </row>
    <row r="7451" spans="15:20">
      <c r="O7451" s="247"/>
      <c r="P7451"/>
      <c r="Q7451" s="224"/>
      <c r="S7451" s="202"/>
      <c r="T7451"/>
    </row>
    <row r="7452" spans="15:20">
      <c r="O7452" s="247"/>
      <c r="P7452"/>
      <c r="Q7452" s="224"/>
      <c r="S7452" s="202"/>
      <c r="T7452"/>
    </row>
    <row r="7453" spans="15:20">
      <c r="O7453" s="247"/>
      <c r="P7453"/>
      <c r="Q7453" s="224"/>
      <c r="S7453" s="202"/>
      <c r="T7453"/>
    </row>
    <row r="7454" spans="15:20">
      <c r="O7454" s="247"/>
      <c r="P7454"/>
      <c r="Q7454" s="224"/>
      <c r="S7454" s="202"/>
      <c r="T7454"/>
    </row>
    <row r="7455" spans="15:20">
      <c r="O7455" s="247"/>
      <c r="P7455"/>
      <c r="Q7455" s="224"/>
      <c r="S7455" s="202"/>
      <c r="T7455"/>
    </row>
    <row r="7456" spans="15:20">
      <c r="O7456" s="247"/>
      <c r="P7456"/>
      <c r="Q7456" s="224"/>
      <c r="S7456" s="202"/>
      <c r="T7456"/>
    </row>
    <row r="7457" spans="15:20">
      <c r="O7457" s="247"/>
      <c r="P7457"/>
      <c r="Q7457" s="224"/>
      <c r="S7457" s="202"/>
      <c r="T7457"/>
    </row>
    <row r="7458" spans="15:20">
      <c r="O7458" s="247"/>
      <c r="P7458"/>
      <c r="Q7458" s="224"/>
      <c r="S7458" s="202"/>
      <c r="T7458"/>
    </row>
    <row r="7459" spans="15:20">
      <c r="O7459" s="247"/>
      <c r="P7459"/>
      <c r="Q7459" s="224"/>
      <c r="S7459" s="202"/>
      <c r="T7459"/>
    </row>
    <row r="7460" spans="15:20">
      <c r="O7460" s="247"/>
      <c r="P7460"/>
      <c r="Q7460" s="224"/>
      <c r="S7460" s="202"/>
      <c r="T7460"/>
    </row>
    <row r="7461" spans="15:20">
      <c r="O7461" s="247"/>
      <c r="P7461"/>
      <c r="Q7461" s="224"/>
      <c r="S7461" s="202"/>
      <c r="T7461"/>
    </row>
    <row r="7462" spans="15:20">
      <c r="O7462" s="247"/>
      <c r="P7462"/>
      <c r="Q7462" s="224"/>
      <c r="S7462" s="202"/>
      <c r="T7462"/>
    </row>
    <row r="7463" spans="15:20">
      <c r="O7463" s="247"/>
      <c r="P7463"/>
      <c r="Q7463" s="224"/>
      <c r="S7463" s="202"/>
      <c r="T7463"/>
    </row>
    <row r="7464" spans="15:20">
      <c r="O7464" s="247"/>
      <c r="P7464"/>
      <c r="Q7464" s="224"/>
      <c r="S7464" s="202"/>
      <c r="T7464"/>
    </row>
    <row r="7465" spans="15:20">
      <c r="O7465" s="247"/>
      <c r="P7465"/>
      <c r="Q7465" s="224"/>
      <c r="S7465" s="202"/>
      <c r="T7465"/>
    </row>
    <row r="7466" spans="15:20">
      <c r="O7466" s="247"/>
      <c r="P7466"/>
      <c r="Q7466" s="224"/>
      <c r="S7466" s="202"/>
      <c r="T7466"/>
    </row>
    <row r="7467" spans="15:20">
      <c r="O7467" s="247"/>
      <c r="P7467"/>
      <c r="Q7467" s="224"/>
      <c r="S7467" s="202"/>
      <c r="T7467"/>
    </row>
    <row r="7468" spans="15:20">
      <c r="O7468" s="247"/>
      <c r="P7468"/>
      <c r="Q7468" s="224"/>
      <c r="S7468" s="202"/>
      <c r="T7468"/>
    </row>
    <row r="7469" spans="15:20">
      <c r="O7469" s="247"/>
      <c r="P7469"/>
      <c r="Q7469" s="224"/>
      <c r="S7469" s="202"/>
      <c r="T7469"/>
    </row>
    <row r="7470" spans="15:20">
      <c r="O7470" s="247"/>
      <c r="P7470"/>
      <c r="Q7470" s="224"/>
      <c r="S7470" s="202"/>
      <c r="T7470"/>
    </row>
    <row r="7471" spans="15:20">
      <c r="O7471" s="247"/>
      <c r="P7471"/>
      <c r="Q7471" s="224"/>
      <c r="S7471" s="202"/>
      <c r="T7471"/>
    </row>
    <row r="7472" spans="15:20">
      <c r="O7472" s="247"/>
      <c r="P7472"/>
      <c r="Q7472" s="224"/>
      <c r="S7472" s="202"/>
      <c r="T7472"/>
    </row>
    <row r="7473" spans="15:20">
      <c r="O7473" s="247"/>
      <c r="P7473"/>
      <c r="Q7473" s="224"/>
      <c r="S7473" s="202"/>
      <c r="T7473"/>
    </row>
    <row r="7474" spans="15:20">
      <c r="O7474" s="247"/>
      <c r="P7474"/>
      <c r="Q7474" s="224"/>
      <c r="S7474" s="202"/>
      <c r="T7474"/>
    </row>
    <row r="7475" spans="15:20">
      <c r="O7475" s="247"/>
      <c r="P7475"/>
      <c r="Q7475" s="224"/>
      <c r="S7475" s="202"/>
      <c r="T7475"/>
    </row>
    <row r="7476" spans="15:20">
      <c r="O7476" s="247"/>
      <c r="P7476"/>
      <c r="Q7476" s="224"/>
      <c r="S7476" s="202"/>
      <c r="T7476"/>
    </row>
    <row r="7477" spans="15:20">
      <c r="O7477" s="247"/>
      <c r="P7477"/>
      <c r="Q7477" s="224"/>
      <c r="S7477" s="202"/>
      <c r="T7477"/>
    </row>
    <row r="7478" spans="15:20">
      <c r="O7478" s="247"/>
      <c r="P7478"/>
      <c r="Q7478" s="224"/>
      <c r="S7478" s="202"/>
      <c r="T7478"/>
    </row>
    <row r="7479" spans="15:20">
      <c r="O7479" s="247"/>
      <c r="P7479"/>
      <c r="Q7479" s="224"/>
      <c r="S7479" s="202"/>
      <c r="T7479"/>
    </row>
    <row r="7480" spans="15:20">
      <c r="O7480" s="247"/>
      <c r="P7480"/>
      <c r="Q7480" s="224"/>
      <c r="S7480" s="202"/>
      <c r="T7480"/>
    </row>
    <row r="7481" spans="15:20">
      <c r="O7481" s="247"/>
      <c r="P7481"/>
      <c r="Q7481" s="224"/>
      <c r="S7481" s="202"/>
      <c r="T7481"/>
    </row>
    <row r="7482" spans="15:20">
      <c r="O7482" s="247"/>
      <c r="P7482"/>
      <c r="Q7482" s="224"/>
      <c r="S7482" s="202"/>
      <c r="T7482"/>
    </row>
    <row r="7483" spans="15:20">
      <c r="O7483" s="247"/>
      <c r="P7483"/>
      <c r="Q7483" s="224"/>
      <c r="S7483" s="202"/>
      <c r="T7483"/>
    </row>
    <row r="7484" spans="15:20">
      <c r="O7484" s="247"/>
      <c r="P7484"/>
      <c r="Q7484" s="224"/>
      <c r="S7484" s="202"/>
      <c r="T7484"/>
    </row>
    <row r="7485" spans="15:20">
      <c r="O7485" s="247"/>
      <c r="P7485"/>
      <c r="Q7485" s="224"/>
      <c r="S7485" s="202"/>
      <c r="T7485"/>
    </row>
    <row r="7486" spans="15:20">
      <c r="O7486" s="247"/>
      <c r="P7486"/>
      <c r="Q7486" s="224"/>
      <c r="S7486" s="202"/>
      <c r="T7486"/>
    </row>
    <row r="7487" spans="15:20">
      <c r="O7487" s="247"/>
      <c r="P7487"/>
      <c r="Q7487" s="224"/>
      <c r="S7487" s="202"/>
      <c r="T7487"/>
    </row>
    <row r="7488" spans="15:20">
      <c r="O7488" s="247"/>
      <c r="P7488"/>
      <c r="Q7488" s="224"/>
      <c r="S7488" s="202"/>
      <c r="T7488"/>
    </row>
    <row r="7489" spans="15:20">
      <c r="O7489" s="247"/>
      <c r="P7489"/>
      <c r="Q7489" s="224"/>
      <c r="S7489" s="202"/>
      <c r="T7489"/>
    </row>
    <row r="7490" spans="15:20">
      <c r="O7490" s="247"/>
      <c r="P7490"/>
      <c r="Q7490" s="224"/>
      <c r="S7490" s="202"/>
      <c r="T7490"/>
    </row>
    <row r="7491" spans="15:20">
      <c r="O7491" s="247"/>
      <c r="P7491"/>
      <c r="Q7491" s="224"/>
      <c r="S7491" s="202"/>
      <c r="T7491"/>
    </row>
    <row r="7492" spans="15:20">
      <c r="O7492" s="247"/>
      <c r="P7492"/>
      <c r="Q7492" s="224"/>
      <c r="S7492" s="202"/>
      <c r="T7492"/>
    </row>
    <row r="7493" spans="15:20">
      <c r="O7493" s="247"/>
      <c r="P7493"/>
      <c r="Q7493" s="224"/>
      <c r="S7493" s="202"/>
      <c r="T7493"/>
    </row>
    <row r="7494" spans="15:20">
      <c r="O7494" s="247"/>
      <c r="P7494"/>
      <c r="Q7494" s="224"/>
      <c r="S7494" s="202"/>
      <c r="T7494"/>
    </row>
    <row r="7495" spans="15:20">
      <c r="O7495" s="247"/>
      <c r="P7495"/>
      <c r="Q7495" s="224"/>
      <c r="S7495" s="202"/>
      <c r="T7495"/>
    </row>
    <row r="7496" spans="15:20">
      <c r="O7496" s="247"/>
      <c r="P7496"/>
      <c r="Q7496" s="224"/>
      <c r="S7496" s="202"/>
      <c r="T7496"/>
    </row>
    <row r="7497" spans="15:20">
      <c r="O7497" s="247"/>
      <c r="P7497"/>
      <c r="Q7497" s="224"/>
      <c r="S7497" s="202"/>
      <c r="T7497"/>
    </row>
    <row r="7498" spans="15:20">
      <c r="O7498" s="247"/>
      <c r="P7498"/>
      <c r="Q7498" s="224"/>
      <c r="S7498" s="202"/>
      <c r="T7498"/>
    </row>
    <row r="7499" spans="15:20">
      <c r="O7499" s="247"/>
      <c r="P7499"/>
      <c r="Q7499" s="224"/>
      <c r="S7499" s="202"/>
      <c r="T7499"/>
    </row>
    <row r="7500" spans="15:20">
      <c r="O7500" s="247"/>
      <c r="P7500"/>
      <c r="Q7500" s="224"/>
      <c r="S7500" s="202"/>
      <c r="T7500"/>
    </row>
    <row r="7501" spans="15:20">
      <c r="O7501" s="247"/>
      <c r="P7501"/>
      <c r="Q7501" s="224"/>
      <c r="S7501" s="202"/>
      <c r="T7501"/>
    </row>
    <row r="7502" spans="15:20">
      <c r="O7502" s="247"/>
      <c r="P7502"/>
      <c r="Q7502" s="224"/>
      <c r="S7502" s="202"/>
      <c r="T7502"/>
    </row>
    <row r="7503" spans="15:20">
      <c r="O7503" s="247"/>
      <c r="P7503"/>
      <c r="Q7503" s="224"/>
      <c r="S7503" s="202"/>
      <c r="T7503"/>
    </row>
    <row r="7504" spans="15:20">
      <c r="O7504" s="247"/>
      <c r="P7504"/>
      <c r="Q7504" s="224"/>
      <c r="S7504" s="202"/>
      <c r="T7504"/>
    </row>
    <row r="7505" spans="15:20">
      <c r="O7505" s="247"/>
      <c r="P7505"/>
      <c r="Q7505" s="224"/>
      <c r="S7505" s="202"/>
      <c r="T7505"/>
    </row>
    <row r="7506" spans="15:20">
      <c r="O7506" s="247"/>
      <c r="P7506"/>
      <c r="Q7506" s="224"/>
      <c r="S7506" s="202"/>
      <c r="T7506"/>
    </row>
    <row r="7507" spans="15:20">
      <c r="O7507" s="247"/>
      <c r="P7507"/>
      <c r="Q7507" s="224"/>
      <c r="S7507" s="202"/>
      <c r="T7507"/>
    </row>
    <row r="7508" spans="15:20">
      <c r="O7508" s="247"/>
      <c r="P7508"/>
      <c r="Q7508" s="224"/>
      <c r="S7508" s="202"/>
      <c r="T7508"/>
    </row>
    <row r="7509" spans="15:20">
      <c r="O7509" s="247"/>
      <c r="P7509"/>
      <c r="Q7509" s="224"/>
      <c r="S7509" s="202"/>
      <c r="T7509"/>
    </row>
    <row r="7510" spans="15:20">
      <c r="O7510" s="247"/>
      <c r="P7510"/>
      <c r="Q7510" s="224"/>
      <c r="S7510" s="202"/>
      <c r="T7510"/>
    </row>
    <row r="7511" spans="15:20">
      <c r="O7511" s="247"/>
      <c r="P7511"/>
      <c r="Q7511" s="224"/>
      <c r="S7511" s="202"/>
      <c r="T7511"/>
    </row>
    <row r="7512" spans="15:20">
      <c r="O7512" s="247"/>
      <c r="P7512"/>
      <c r="Q7512" s="224"/>
      <c r="S7512" s="202"/>
      <c r="T7512"/>
    </row>
    <row r="7513" spans="15:20">
      <c r="O7513" s="247"/>
      <c r="P7513"/>
      <c r="Q7513" s="224"/>
      <c r="S7513" s="202"/>
      <c r="T7513"/>
    </row>
    <row r="7514" spans="15:20">
      <c r="O7514" s="247"/>
      <c r="P7514"/>
      <c r="Q7514" s="224"/>
      <c r="S7514" s="202"/>
      <c r="T7514"/>
    </row>
    <row r="7515" spans="15:20">
      <c r="O7515" s="247"/>
      <c r="P7515"/>
      <c r="Q7515" s="224"/>
      <c r="S7515" s="202"/>
      <c r="T7515"/>
    </row>
    <row r="7516" spans="15:20">
      <c r="O7516" s="247"/>
      <c r="P7516"/>
      <c r="Q7516" s="224"/>
      <c r="S7516" s="202"/>
      <c r="T7516"/>
    </row>
    <row r="7517" spans="15:20">
      <c r="O7517" s="247"/>
      <c r="P7517"/>
      <c r="Q7517" s="224"/>
      <c r="S7517" s="202"/>
      <c r="T7517"/>
    </row>
    <row r="7518" spans="15:20">
      <c r="O7518" s="247"/>
      <c r="P7518"/>
      <c r="Q7518" s="224"/>
      <c r="S7518" s="202"/>
      <c r="T7518"/>
    </row>
    <row r="7519" spans="15:20">
      <c r="O7519" s="247"/>
      <c r="P7519"/>
      <c r="Q7519" s="224"/>
      <c r="S7519" s="202"/>
      <c r="T7519"/>
    </row>
    <row r="7520" spans="15:20">
      <c r="O7520" s="247"/>
      <c r="P7520"/>
      <c r="Q7520" s="224"/>
      <c r="S7520" s="202"/>
      <c r="T7520"/>
    </row>
    <row r="7521" spans="15:20">
      <c r="O7521" s="247"/>
      <c r="P7521"/>
      <c r="Q7521" s="224"/>
      <c r="S7521" s="202"/>
      <c r="T7521"/>
    </row>
    <row r="7522" spans="15:20">
      <c r="O7522" s="247"/>
      <c r="P7522"/>
      <c r="Q7522" s="224"/>
      <c r="S7522" s="202"/>
      <c r="T7522"/>
    </row>
    <row r="7523" spans="15:20">
      <c r="O7523" s="247"/>
      <c r="P7523"/>
      <c r="Q7523" s="224"/>
      <c r="S7523" s="202"/>
      <c r="T7523"/>
    </row>
    <row r="7524" spans="15:20">
      <c r="O7524" s="247"/>
      <c r="P7524"/>
      <c r="Q7524" s="224"/>
      <c r="S7524" s="202"/>
      <c r="T7524"/>
    </row>
    <row r="7525" spans="15:20">
      <c r="O7525" s="247"/>
      <c r="P7525"/>
      <c r="Q7525" s="224"/>
      <c r="S7525" s="202"/>
      <c r="T7525"/>
    </row>
    <row r="7526" spans="15:20">
      <c r="O7526" s="247"/>
      <c r="P7526"/>
      <c r="Q7526" s="224"/>
      <c r="S7526" s="202"/>
      <c r="T7526"/>
    </row>
    <row r="7527" spans="15:20">
      <c r="O7527" s="247"/>
      <c r="P7527"/>
      <c r="Q7527" s="224"/>
      <c r="S7527" s="202"/>
      <c r="T7527"/>
    </row>
    <row r="7528" spans="15:20">
      <c r="O7528" s="247"/>
      <c r="P7528"/>
      <c r="Q7528" s="224"/>
      <c r="S7528" s="202"/>
      <c r="T7528"/>
    </row>
    <row r="7529" spans="15:20">
      <c r="O7529" s="247"/>
      <c r="P7529"/>
      <c r="Q7529" s="224"/>
      <c r="S7529" s="202"/>
      <c r="T7529"/>
    </row>
    <row r="7530" spans="15:20">
      <c r="O7530" s="247"/>
      <c r="P7530"/>
      <c r="Q7530" s="224"/>
      <c r="S7530" s="202"/>
      <c r="T7530"/>
    </row>
    <row r="7531" spans="15:20">
      <c r="O7531" s="247"/>
      <c r="P7531"/>
      <c r="Q7531" s="224"/>
      <c r="S7531" s="202"/>
      <c r="T7531"/>
    </row>
    <row r="7532" spans="15:20">
      <c r="O7532" s="247"/>
      <c r="P7532"/>
      <c r="Q7532" s="224"/>
      <c r="S7532" s="202"/>
      <c r="T7532"/>
    </row>
    <row r="7533" spans="15:20">
      <c r="O7533" s="247"/>
      <c r="P7533"/>
      <c r="Q7533" s="224"/>
      <c r="S7533" s="202"/>
      <c r="T7533"/>
    </row>
    <row r="7534" spans="15:20">
      <c r="O7534" s="247"/>
      <c r="P7534"/>
      <c r="Q7534" s="224"/>
      <c r="S7534" s="202"/>
      <c r="T7534"/>
    </row>
    <row r="7535" spans="15:20">
      <c r="O7535" s="247"/>
      <c r="P7535"/>
      <c r="Q7535" s="224"/>
      <c r="S7535" s="202"/>
      <c r="T7535"/>
    </row>
    <row r="7536" spans="15:20">
      <c r="O7536" s="247"/>
      <c r="P7536"/>
      <c r="Q7536" s="224"/>
      <c r="S7536" s="202"/>
      <c r="T7536"/>
    </row>
    <row r="7537" spans="15:20">
      <c r="O7537" s="247"/>
      <c r="P7537"/>
      <c r="Q7537" s="224"/>
      <c r="S7537" s="202"/>
      <c r="T7537"/>
    </row>
    <row r="7538" spans="15:20">
      <c r="O7538" s="247"/>
      <c r="P7538"/>
      <c r="Q7538" s="224"/>
      <c r="S7538" s="202"/>
      <c r="T7538"/>
    </row>
    <row r="7539" spans="15:20">
      <c r="O7539" s="247"/>
      <c r="P7539"/>
      <c r="Q7539" s="224"/>
      <c r="S7539" s="202"/>
      <c r="T7539"/>
    </row>
    <row r="7540" spans="15:20">
      <c r="O7540" s="247"/>
      <c r="P7540"/>
      <c r="Q7540" s="224"/>
      <c r="S7540" s="202"/>
      <c r="T7540"/>
    </row>
    <row r="7541" spans="15:20">
      <c r="O7541" s="247"/>
      <c r="P7541"/>
      <c r="Q7541" s="224"/>
      <c r="S7541" s="202"/>
      <c r="T7541"/>
    </row>
    <row r="7542" spans="15:20">
      <c r="O7542" s="247"/>
      <c r="P7542"/>
      <c r="Q7542" s="224"/>
      <c r="S7542" s="202"/>
      <c r="T7542"/>
    </row>
    <row r="7543" spans="15:20">
      <c r="O7543" s="247"/>
      <c r="P7543"/>
      <c r="Q7543" s="224"/>
      <c r="S7543" s="202"/>
      <c r="T7543"/>
    </row>
    <row r="7544" spans="15:20">
      <c r="O7544" s="247"/>
      <c r="P7544"/>
      <c r="Q7544" s="224"/>
      <c r="S7544" s="202"/>
      <c r="T7544"/>
    </row>
    <row r="7545" spans="15:20">
      <c r="O7545" s="247"/>
      <c r="P7545"/>
      <c r="Q7545" s="224"/>
      <c r="S7545" s="202"/>
      <c r="T7545"/>
    </row>
    <row r="7546" spans="15:20">
      <c r="O7546" s="247"/>
      <c r="P7546"/>
      <c r="Q7546" s="224"/>
      <c r="S7546" s="202"/>
      <c r="T7546"/>
    </row>
    <row r="7547" spans="15:20">
      <c r="O7547" s="247"/>
      <c r="P7547"/>
      <c r="Q7547" s="224"/>
      <c r="S7547" s="202"/>
      <c r="T7547"/>
    </row>
    <row r="7548" spans="15:20">
      <c r="O7548" s="247"/>
      <c r="P7548"/>
      <c r="Q7548" s="224"/>
      <c r="S7548" s="202"/>
      <c r="T7548"/>
    </row>
    <row r="7549" spans="15:20">
      <c r="O7549" s="247"/>
      <c r="P7549"/>
      <c r="Q7549" s="224"/>
      <c r="S7549" s="202"/>
      <c r="T7549"/>
    </row>
    <row r="7550" spans="15:20">
      <c r="O7550" s="247"/>
      <c r="P7550"/>
      <c r="Q7550" s="224"/>
      <c r="S7550" s="202"/>
      <c r="T7550"/>
    </row>
    <row r="7551" spans="15:20">
      <c r="O7551" s="247"/>
      <c r="P7551"/>
      <c r="Q7551" s="224"/>
      <c r="S7551" s="202"/>
      <c r="T7551"/>
    </row>
    <row r="7552" spans="15:20">
      <c r="O7552" s="247"/>
      <c r="P7552"/>
      <c r="Q7552" s="224"/>
      <c r="S7552" s="202"/>
      <c r="T7552"/>
    </row>
    <row r="7553" spans="15:20">
      <c r="O7553" s="247"/>
      <c r="P7553"/>
      <c r="Q7553" s="224"/>
      <c r="S7553" s="202"/>
      <c r="T7553"/>
    </row>
    <row r="7554" spans="15:20">
      <c r="O7554" s="247"/>
      <c r="P7554"/>
      <c r="Q7554" s="224"/>
      <c r="S7554" s="202"/>
      <c r="T7554"/>
    </row>
    <row r="7555" spans="15:20">
      <c r="O7555" s="247"/>
      <c r="P7555"/>
      <c r="Q7555" s="224"/>
      <c r="S7555" s="202"/>
      <c r="T7555"/>
    </row>
    <row r="7556" spans="15:20">
      <c r="O7556" s="247"/>
      <c r="P7556"/>
      <c r="Q7556" s="224"/>
      <c r="S7556" s="202"/>
      <c r="T7556"/>
    </row>
    <row r="7557" spans="15:20">
      <c r="O7557" s="247"/>
      <c r="P7557"/>
      <c r="Q7557" s="224"/>
      <c r="S7557" s="202"/>
      <c r="T7557"/>
    </row>
    <row r="7558" spans="15:20">
      <c r="O7558" s="247"/>
      <c r="P7558"/>
      <c r="Q7558" s="224"/>
      <c r="S7558" s="202"/>
      <c r="T7558"/>
    </row>
    <row r="7559" spans="15:20">
      <c r="O7559" s="247"/>
      <c r="P7559"/>
      <c r="Q7559" s="224"/>
      <c r="S7559" s="202"/>
      <c r="T7559"/>
    </row>
    <row r="7560" spans="15:20">
      <c r="O7560" s="247"/>
      <c r="P7560"/>
      <c r="Q7560" s="224"/>
      <c r="S7560" s="202"/>
      <c r="T7560"/>
    </row>
    <row r="7561" spans="15:20">
      <c r="O7561" s="247"/>
      <c r="P7561"/>
      <c r="Q7561" s="224"/>
      <c r="S7561" s="202"/>
      <c r="T7561"/>
    </row>
    <row r="7562" spans="15:20">
      <c r="O7562" s="247"/>
      <c r="P7562"/>
      <c r="Q7562" s="224"/>
      <c r="S7562" s="202"/>
      <c r="T7562"/>
    </row>
    <row r="7563" spans="15:20">
      <c r="O7563" s="247"/>
      <c r="P7563"/>
      <c r="Q7563" s="224"/>
      <c r="S7563" s="202"/>
      <c r="T7563"/>
    </row>
    <row r="7564" spans="15:20">
      <c r="O7564" s="247"/>
      <c r="P7564"/>
      <c r="Q7564" s="224"/>
      <c r="S7564" s="202"/>
      <c r="T7564"/>
    </row>
    <row r="7565" spans="15:20">
      <c r="O7565" s="247"/>
      <c r="P7565"/>
      <c r="Q7565" s="224"/>
      <c r="S7565" s="202"/>
      <c r="T7565"/>
    </row>
    <row r="7566" spans="15:20">
      <c r="O7566" s="247"/>
      <c r="P7566"/>
      <c r="Q7566" s="224"/>
      <c r="S7566" s="202"/>
      <c r="T7566"/>
    </row>
    <row r="7567" spans="15:20">
      <c r="O7567" s="247"/>
      <c r="P7567"/>
      <c r="Q7567" s="224"/>
      <c r="S7567" s="202"/>
      <c r="T7567"/>
    </row>
    <row r="7568" spans="15:20">
      <c r="O7568" s="247"/>
      <c r="P7568"/>
      <c r="Q7568" s="224"/>
      <c r="S7568" s="202"/>
      <c r="T7568"/>
    </row>
    <row r="7569" spans="15:20">
      <c r="O7569" s="247"/>
      <c r="P7569"/>
      <c r="Q7569" s="224"/>
      <c r="S7569" s="202"/>
      <c r="T7569"/>
    </row>
    <row r="7570" spans="15:20">
      <c r="O7570" s="247"/>
      <c r="P7570"/>
      <c r="Q7570" s="224"/>
      <c r="S7570" s="202"/>
      <c r="T7570"/>
    </row>
    <row r="7571" spans="15:20">
      <c r="O7571" s="247"/>
      <c r="P7571"/>
      <c r="Q7571" s="224"/>
      <c r="S7571" s="202"/>
      <c r="T7571"/>
    </row>
    <row r="7572" spans="15:20">
      <c r="O7572" s="247"/>
      <c r="P7572"/>
      <c r="Q7572" s="224"/>
      <c r="S7572" s="202"/>
      <c r="T7572"/>
    </row>
    <row r="7573" spans="15:20">
      <c r="O7573" s="247"/>
      <c r="P7573"/>
      <c r="Q7573" s="224"/>
      <c r="S7573" s="202"/>
      <c r="T7573"/>
    </row>
    <row r="7574" spans="15:20">
      <c r="O7574" s="247"/>
      <c r="P7574"/>
      <c r="Q7574" s="224"/>
      <c r="S7574" s="202"/>
      <c r="T7574"/>
    </row>
    <row r="7575" spans="15:20">
      <c r="O7575" s="247"/>
      <c r="P7575"/>
      <c r="Q7575" s="224"/>
      <c r="S7575" s="202"/>
      <c r="T7575"/>
    </row>
    <row r="7576" spans="15:20">
      <c r="O7576" s="247"/>
      <c r="P7576"/>
      <c r="Q7576" s="224"/>
      <c r="S7576" s="202"/>
      <c r="T7576"/>
    </row>
    <row r="7577" spans="15:20">
      <c r="O7577" s="247"/>
      <c r="P7577"/>
      <c r="Q7577" s="224"/>
      <c r="S7577" s="202"/>
      <c r="T7577"/>
    </row>
    <row r="7578" spans="15:20">
      <c r="O7578" s="247"/>
      <c r="P7578"/>
      <c r="Q7578" s="224"/>
      <c r="S7578" s="202"/>
      <c r="T7578"/>
    </row>
    <row r="7579" spans="15:20">
      <c r="O7579" s="247"/>
      <c r="P7579"/>
      <c r="Q7579" s="224"/>
      <c r="S7579" s="202"/>
      <c r="T7579"/>
    </row>
    <row r="7580" spans="15:20">
      <c r="O7580" s="247"/>
      <c r="P7580"/>
      <c r="Q7580" s="224"/>
      <c r="S7580" s="202"/>
      <c r="T7580"/>
    </row>
    <row r="7581" spans="15:20">
      <c r="O7581" s="247"/>
      <c r="P7581"/>
      <c r="Q7581" s="224"/>
      <c r="S7581" s="202"/>
      <c r="T7581"/>
    </row>
    <row r="7582" spans="15:20">
      <c r="O7582" s="247"/>
      <c r="P7582"/>
      <c r="Q7582" s="224"/>
      <c r="S7582" s="202"/>
      <c r="T7582"/>
    </row>
    <row r="7583" spans="15:20">
      <c r="O7583" s="247"/>
      <c r="P7583"/>
      <c r="Q7583" s="224"/>
      <c r="S7583" s="202"/>
      <c r="T7583"/>
    </row>
    <row r="7584" spans="15:20">
      <c r="O7584" s="247"/>
      <c r="P7584"/>
      <c r="Q7584" s="224"/>
      <c r="S7584" s="202"/>
      <c r="T7584"/>
    </row>
    <row r="7585" spans="15:20">
      <c r="O7585" s="247"/>
      <c r="P7585"/>
      <c r="Q7585" s="224"/>
      <c r="S7585" s="202"/>
      <c r="T7585"/>
    </row>
    <row r="7586" spans="15:20">
      <c r="O7586" s="247"/>
      <c r="P7586"/>
      <c r="Q7586" s="224"/>
      <c r="S7586" s="202"/>
      <c r="T7586"/>
    </row>
    <row r="7587" spans="15:20">
      <c r="O7587" s="247"/>
      <c r="P7587"/>
      <c r="Q7587" s="224"/>
      <c r="S7587" s="202"/>
      <c r="T7587"/>
    </row>
    <row r="7588" spans="15:20">
      <c r="O7588" s="247"/>
      <c r="P7588"/>
      <c r="Q7588" s="224"/>
      <c r="S7588" s="202"/>
      <c r="T7588"/>
    </row>
    <row r="7589" spans="15:20">
      <c r="O7589" s="247"/>
      <c r="P7589"/>
      <c r="Q7589" s="224"/>
      <c r="S7589" s="202"/>
      <c r="T7589"/>
    </row>
    <row r="7590" spans="15:20">
      <c r="O7590" s="247"/>
      <c r="P7590"/>
      <c r="Q7590" s="224"/>
      <c r="S7590" s="202"/>
      <c r="T7590"/>
    </row>
    <row r="7591" spans="15:20">
      <c r="O7591" s="247"/>
      <c r="P7591"/>
      <c r="Q7591" s="224"/>
      <c r="S7591" s="202"/>
      <c r="T7591"/>
    </row>
    <row r="7592" spans="15:20">
      <c r="O7592" s="247"/>
      <c r="P7592"/>
      <c r="Q7592" s="224"/>
      <c r="S7592" s="202"/>
      <c r="T7592"/>
    </row>
    <row r="7593" spans="15:20">
      <c r="O7593" s="247"/>
      <c r="P7593"/>
      <c r="Q7593" s="224"/>
      <c r="S7593" s="202"/>
      <c r="T7593"/>
    </row>
    <row r="7594" spans="15:20">
      <c r="O7594" s="247"/>
      <c r="P7594"/>
      <c r="Q7594" s="224"/>
      <c r="S7594" s="202"/>
      <c r="T7594"/>
    </row>
    <row r="7595" spans="15:20">
      <c r="O7595" s="247"/>
      <c r="P7595"/>
      <c r="Q7595" s="224"/>
      <c r="S7595" s="202"/>
      <c r="T7595"/>
    </row>
    <row r="7596" spans="15:20">
      <c r="O7596" s="247"/>
      <c r="P7596"/>
      <c r="Q7596" s="224"/>
      <c r="S7596" s="202"/>
      <c r="T7596"/>
    </row>
    <row r="7597" spans="15:20">
      <c r="O7597" s="247"/>
      <c r="P7597"/>
      <c r="Q7597" s="224"/>
      <c r="S7597" s="202"/>
      <c r="T7597"/>
    </row>
    <row r="7598" spans="15:20">
      <c r="O7598" s="247"/>
      <c r="P7598"/>
      <c r="Q7598" s="224"/>
      <c r="S7598" s="202"/>
      <c r="T7598"/>
    </row>
    <row r="7599" spans="15:20">
      <c r="O7599" s="247"/>
      <c r="P7599"/>
      <c r="Q7599" s="224"/>
      <c r="S7599" s="202"/>
      <c r="T7599"/>
    </row>
    <row r="7600" spans="15:20">
      <c r="O7600" s="247"/>
      <c r="P7600"/>
      <c r="Q7600" s="224"/>
      <c r="S7600" s="202"/>
      <c r="T7600"/>
    </row>
    <row r="7601" spans="15:20">
      <c r="O7601" s="247"/>
      <c r="P7601"/>
      <c r="Q7601" s="224"/>
      <c r="S7601" s="202"/>
      <c r="T7601"/>
    </row>
    <row r="7602" spans="15:20">
      <c r="O7602" s="247"/>
      <c r="P7602"/>
      <c r="Q7602" s="224"/>
      <c r="S7602" s="202"/>
      <c r="T7602"/>
    </row>
    <row r="7603" spans="15:20">
      <c r="O7603" s="247"/>
      <c r="P7603"/>
      <c r="Q7603" s="224"/>
      <c r="S7603" s="202"/>
      <c r="T7603"/>
    </row>
    <row r="7604" spans="15:20">
      <c r="O7604" s="247"/>
      <c r="P7604"/>
      <c r="Q7604" s="224"/>
      <c r="S7604" s="202"/>
      <c r="T7604"/>
    </row>
    <row r="7605" spans="15:20">
      <c r="O7605" s="247"/>
      <c r="P7605"/>
      <c r="Q7605" s="224"/>
      <c r="S7605" s="202"/>
      <c r="T7605"/>
    </row>
    <row r="7606" spans="15:20">
      <c r="O7606" s="247"/>
      <c r="P7606"/>
      <c r="Q7606" s="224"/>
      <c r="S7606" s="202"/>
      <c r="T7606"/>
    </row>
    <row r="7607" spans="15:20">
      <c r="O7607" s="247"/>
      <c r="P7607"/>
      <c r="Q7607" s="224"/>
      <c r="S7607" s="202"/>
      <c r="T7607"/>
    </row>
    <row r="7608" spans="15:20">
      <c r="O7608" s="247"/>
      <c r="P7608"/>
      <c r="Q7608" s="224"/>
      <c r="S7608" s="202"/>
      <c r="T7608"/>
    </row>
    <row r="7609" spans="15:20">
      <c r="O7609" s="247"/>
      <c r="P7609"/>
      <c r="Q7609" s="224"/>
      <c r="S7609" s="202"/>
      <c r="T7609"/>
    </row>
    <row r="7610" spans="15:20">
      <c r="O7610" s="247"/>
      <c r="P7610"/>
      <c r="Q7610" s="224"/>
      <c r="S7610" s="202"/>
      <c r="T7610"/>
    </row>
    <row r="7611" spans="15:20">
      <c r="O7611" s="247"/>
      <c r="P7611"/>
      <c r="Q7611" s="224"/>
      <c r="S7611" s="202"/>
      <c r="T7611"/>
    </row>
    <row r="7612" spans="15:20">
      <c r="O7612" s="247"/>
      <c r="P7612"/>
      <c r="Q7612" s="224"/>
      <c r="S7612" s="202"/>
      <c r="T7612"/>
    </row>
    <row r="7613" spans="15:20">
      <c r="O7613" s="247"/>
      <c r="P7613"/>
      <c r="Q7613" s="224"/>
      <c r="S7613" s="202"/>
      <c r="T7613"/>
    </row>
    <row r="7614" spans="15:20">
      <c r="O7614" s="247"/>
      <c r="P7614"/>
      <c r="Q7614" s="224"/>
      <c r="S7614" s="202"/>
      <c r="T7614"/>
    </row>
    <row r="7615" spans="15:20">
      <c r="O7615" s="247"/>
      <c r="P7615"/>
      <c r="Q7615" s="224"/>
      <c r="S7615" s="202"/>
      <c r="T7615"/>
    </row>
    <row r="7616" spans="15:20">
      <c r="O7616" s="247"/>
      <c r="P7616"/>
      <c r="Q7616" s="224"/>
      <c r="S7616" s="202"/>
      <c r="T7616"/>
    </row>
    <row r="7617" spans="15:20">
      <c r="O7617" s="247"/>
      <c r="P7617"/>
      <c r="Q7617" s="224"/>
      <c r="S7617" s="202"/>
      <c r="T7617"/>
    </row>
    <row r="7618" spans="15:20">
      <c r="O7618" s="247"/>
      <c r="P7618"/>
      <c r="Q7618" s="224"/>
      <c r="S7618" s="202"/>
      <c r="T7618"/>
    </row>
    <row r="7619" spans="15:20">
      <c r="O7619" s="247"/>
      <c r="P7619"/>
      <c r="Q7619" s="224"/>
      <c r="S7619" s="202"/>
      <c r="T7619"/>
    </row>
    <row r="7620" spans="15:20">
      <c r="O7620" s="247"/>
      <c r="P7620"/>
      <c r="Q7620" s="224"/>
      <c r="S7620" s="202"/>
      <c r="T7620"/>
    </row>
    <row r="7621" spans="15:20">
      <c r="O7621" s="247"/>
      <c r="P7621"/>
      <c r="Q7621" s="224"/>
      <c r="S7621" s="202"/>
      <c r="T7621"/>
    </row>
    <row r="7622" spans="15:20">
      <c r="O7622" s="247"/>
      <c r="P7622"/>
      <c r="Q7622" s="224"/>
      <c r="S7622" s="202"/>
      <c r="T7622"/>
    </row>
    <row r="7623" spans="15:20">
      <c r="O7623" s="247"/>
      <c r="P7623"/>
      <c r="Q7623" s="224"/>
      <c r="S7623" s="202"/>
      <c r="T7623"/>
    </row>
    <row r="7624" spans="15:20">
      <c r="O7624" s="247"/>
      <c r="P7624"/>
      <c r="Q7624" s="224"/>
      <c r="S7624" s="202"/>
      <c r="T7624"/>
    </row>
    <row r="7625" spans="15:20">
      <c r="O7625" s="247"/>
      <c r="P7625"/>
      <c r="Q7625" s="224"/>
      <c r="S7625" s="202"/>
      <c r="T7625"/>
    </row>
    <row r="7626" spans="15:20">
      <c r="O7626" s="247"/>
      <c r="P7626"/>
      <c r="Q7626" s="224"/>
      <c r="S7626" s="202"/>
      <c r="T7626"/>
    </row>
    <row r="7627" spans="15:20">
      <c r="O7627" s="247"/>
      <c r="P7627"/>
      <c r="Q7627" s="224"/>
      <c r="S7627" s="202"/>
      <c r="T7627"/>
    </row>
    <row r="7628" spans="15:20">
      <c r="O7628" s="247"/>
      <c r="P7628"/>
      <c r="Q7628" s="224"/>
      <c r="S7628" s="202"/>
      <c r="T7628"/>
    </row>
    <row r="7629" spans="15:20">
      <c r="O7629" s="247"/>
      <c r="P7629"/>
      <c r="Q7629" s="224"/>
      <c r="S7629" s="202"/>
      <c r="T7629"/>
    </row>
    <row r="7630" spans="15:20">
      <c r="O7630" s="247"/>
      <c r="P7630"/>
      <c r="Q7630" s="224"/>
      <c r="S7630" s="202"/>
      <c r="T7630"/>
    </row>
    <row r="7631" spans="15:20">
      <c r="O7631" s="247"/>
      <c r="P7631"/>
      <c r="Q7631" s="224"/>
      <c r="S7631" s="202"/>
      <c r="T7631"/>
    </row>
    <row r="7632" spans="15:20">
      <c r="O7632" s="247"/>
      <c r="P7632"/>
      <c r="Q7632" s="224"/>
      <c r="S7632" s="202"/>
      <c r="T7632"/>
    </row>
    <row r="7633" spans="15:20">
      <c r="O7633" s="247"/>
      <c r="P7633"/>
      <c r="Q7633" s="224"/>
      <c r="S7633" s="202"/>
      <c r="T7633"/>
    </row>
    <row r="7634" spans="15:20">
      <c r="O7634" s="247"/>
      <c r="P7634"/>
      <c r="Q7634" s="224"/>
      <c r="S7634" s="202"/>
      <c r="T7634"/>
    </row>
    <row r="7635" spans="15:20">
      <c r="O7635" s="247"/>
      <c r="P7635"/>
      <c r="Q7635" s="224"/>
      <c r="S7635" s="202"/>
      <c r="T7635"/>
    </row>
    <row r="7636" spans="15:20">
      <c r="O7636" s="247"/>
      <c r="P7636"/>
      <c r="Q7636" s="224"/>
      <c r="S7636" s="202"/>
      <c r="T7636"/>
    </row>
    <row r="7637" spans="15:20">
      <c r="O7637" s="247"/>
      <c r="P7637"/>
      <c r="Q7637" s="224"/>
      <c r="S7637" s="202"/>
      <c r="T7637"/>
    </row>
    <row r="7638" spans="15:20">
      <c r="O7638" s="247"/>
      <c r="P7638"/>
      <c r="Q7638" s="224"/>
      <c r="S7638" s="202"/>
      <c r="T7638"/>
    </row>
    <row r="7639" spans="15:20">
      <c r="O7639" s="247"/>
      <c r="P7639"/>
      <c r="Q7639" s="224"/>
      <c r="S7639" s="202"/>
      <c r="T7639"/>
    </row>
    <row r="7640" spans="15:20">
      <c r="O7640" s="247"/>
      <c r="P7640"/>
      <c r="Q7640" s="224"/>
      <c r="S7640" s="202"/>
      <c r="T7640"/>
    </row>
    <row r="7641" spans="15:20">
      <c r="O7641" s="247"/>
      <c r="P7641"/>
      <c r="Q7641" s="224"/>
      <c r="S7641" s="202"/>
      <c r="T7641"/>
    </row>
    <row r="7642" spans="15:20">
      <c r="O7642" s="247"/>
      <c r="P7642"/>
      <c r="Q7642" s="224"/>
      <c r="S7642" s="202"/>
      <c r="T7642"/>
    </row>
    <row r="7643" spans="15:20">
      <c r="O7643" s="247"/>
      <c r="P7643"/>
      <c r="Q7643" s="224"/>
      <c r="S7643" s="202"/>
      <c r="T7643"/>
    </row>
    <row r="7644" spans="15:20">
      <c r="O7644" s="247"/>
      <c r="P7644"/>
      <c r="Q7644" s="224"/>
      <c r="S7644" s="202"/>
      <c r="T7644"/>
    </row>
    <row r="7645" spans="15:20">
      <c r="O7645" s="247"/>
      <c r="P7645"/>
      <c r="Q7645" s="224"/>
      <c r="S7645" s="202"/>
      <c r="T7645"/>
    </row>
    <row r="7646" spans="15:20">
      <c r="O7646" s="247"/>
      <c r="P7646"/>
      <c r="Q7646" s="224"/>
      <c r="S7646" s="202"/>
      <c r="T7646"/>
    </row>
    <row r="7647" spans="15:20">
      <c r="O7647" s="247"/>
      <c r="P7647"/>
      <c r="Q7647" s="224"/>
      <c r="S7647" s="202"/>
      <c r="T7647"/>
    </row>
    <row r="7648" spans="15:20">
      <c r="O7648" s="247"/>
      <c r="P7648"/>
      <c r="Q7648" s="224"/>
      <c r="S7648" s="202"/>
      <c r="T7648"/>
    </row>
    <row r="7649" spans="15:20">
      <c r="O7649" s="247"/>
      <c r="P7649"/>
      <c r="Q7649" s="224"/>
      <c r="S7649" s="202"/>
      <c r="T7649"/>
    </row>
    <row r="7650" spans="15:20">
      <c r="O7650" s="247"/>
      <c r="P7650"/>
      <c r="Q7650" s="224"/>
      <c r="S7650" s="202"/>
      <c r="T7650"/>
    </row>
    <row r="7651" spans="15:20">
      <c r="O7651" s="247"/>
      <c r="P7651"/>
      <c r="Q7651" s="224"/>
      <c r="S7651" s="202"/>
      <c r="T7651"/>
    </row>
    <row r="7652" spans="15:20">
      <c r="O7652" s="247"/>
      <c r="P7652"/>
      <c r="Q7652" s="224"/>
      <c r="S7652" s="202"/>
      <c r="T7652"/>
    </row>
    <row r="7653" spans="15:20">
      <c r="O7653" s="247"/>
      <c r="P7653"/>
      <c r="Q7653" s="224"/>
      <c r="S7653" s="202"/>
      <c r="T7653"/>
    </row>
    <row r="7654" spans="15:20">
      <c r="O7654" s="247"/>
      <c r="P7654"/>
      <c r="Q7654" s="224"/>
      <c r="S7654" s="202"/>
      <c r="T7654"/>
    </row>
    <row r="7655" spans="15:20">
      <c r="O7655" s="247"/>
      <c r="P7655"/>
      <c r="Q7655" s="224"/>
      <c r="S7655" s="202"/>
      <c r="T7655"/>
    </row>
    <row r="7656" spans="15:20">
      <c r="O7656" s="247"/>
      <c r="P7656"/>
      <c r="Q7656" s="224"/>
      <c r="S7656" s="202"/>
      <c r="T7656"/>
    </row>
    <row r="7657" spans="15:20">
      <c r="O7657" s="247"/>
      <c r="P7657"/>
      <c r="Q7657" s="224"/>
      <c r="S7657" s="202"/>
      <c r="T7657"/>
    </row>
    <row r="7658" spans="15:20">
      <c r="O7658" s="247"/>
      <c r="P7658"/>
      <c r="Q7658" s="224"/>
      <c r="S7658" s="202"/>
      <c r="T7658"/>
    </row>
    <row r="7659" spans="15:20">
      <c r="O7659" s="247"/>
      <c r="P7659"/>
      <c r="Q7659" s="224"/>
      <c r="S7659" s="202"/>
      <c r="T7659"/>
    </row>
    <row r="7660" spans="15:20">
      <c r="O7660" s="247"/>
      <c r="P7660"/>
      <c r="Q7660" s="224"/>
      <c r="S7660" s="202"/>
      <c r="T7660"/>
    </row>
    <row r="7661" spans="15:20">
      <c r="O7661" s="247"/>
      <c r="P7661"/>
      <c r="Q7661" s="224"/>
      <c r="S7661" s="202"/>
      <c r="T7661"/>
    </row>
    <row r="7662" spans="15:20">
      <c r="O7662" s="247"/>
      <c r="P7662"/>
      <c r="Q7662" s="224"/>
      <c r="S7662" s="202"/>
      <c r="T7662"/>
    </row>
    <row r="7663" spans="15:20">
      <c r="O7663" s="247"/>
      <c r="P7663"/>
      <c r="Q7663" s="224"/>
      <c r="S7663" s="202"/>
      <c r="T7663"/>
    </row>
    <row r="7664" spans="15:20">
      <c r="O7664" s="247"/>
      <c r="P7664"/>
      <c r="Q7664" s="224"/>
      <c r="S7664" s="202"/>
      <c r="T7664"/>
    </row>
    <row r="7665" spans="15:20">
      <c r="O7665" s="247"/>
      <c r="P7665"/>
      <c r="Q7665" s="224"/>
      <c r="S7665" s="202"/>
      <c r="T7665"/>
    </row>
    <row r="7666" spans="15:20">
      <c r="O7666" s="247"/>
      <c r="P7666"/>
      <c r="Q7666" s="224"/>
      <c r="S7666" s="202"/>
      <c r="T7666"/>
    </row>
    <row r="7667" spans="15:20">
      <c r="O7667" s="247"/>
      <c r="P7667"/>
      <c r="Q7667" s="224"/>
      <c r="S7667" s="202"/>
      <c r="T7667"/>
    </row>
    <row r="7668" spans="15:20">
      <c r="O7668" s="247"/>
      <c r="P7668"/>
      <c r="Q7668" s="224"/>
      <c r="S7668" s="202"/>
      <c r="T7668"/>
    </row>
    <row r="7669" spans="15:20">
      <c r="O7669" s="247"/>
      <c r="P7669"/>
      <c r="Q7669" s="224"/>
      <c r="S7669" s="202"/>
      <c r="T7669"/>
    </row>
    <row r="7670" spans="15:20">
      <c r="O7670" s="247"/>
      <c r="P7670"/>
      <c r="Q7670" s="224"/>
      <c r="S7670" s="202"/>
      <c r="T7670"/>
    </row>
    <row r="7671" spans="15:20">
      <c r="O7671" s="247"/>
      <c r="P7671"/>
      <c r="Q7671" s="224"/>
      <c r="S7671" s="202"/>
      <c r="T7671"/>
    </row>
    <row r="7672" spans="15:20">
      <c r="O7672" s="247"/>
      <c r="P7672"/>
      <c r="Q7672" s="224"/>
      <c r="S7672" s="202"/>
      <c r="T7672"/>
    </row>
    <row r="7673" spans="15:20">
      <c r="O7673" s="247"/>
      <c r="P7673"/>
      <c r="Q7673" s="224"/>
      <c r="S7673" s="202"/>
      <c r="T7673"/>
    </row>
    <row r="7674" spans="15:20">
      <c r="O7674" s="247"/>
      <c r="P7674"/>
      <c r="Q7674" s="224"/>
      <c r="S7674" s="202"/>
      <c r="T7674"/>
    </row>
    <row r="7675" spans="15:20">
      <c r="O7675" s="247"/>
      <c r="P7675"/>
      <c r="Q7675" s="224"/>
      <c r="S7675" s="202"/>
      <c r="T7675"/>
    </row>
    <row r="7676" spans="15:20">
      <c r="O7676" s="247"/>
      <c r="P7676"/>
      <c r="Q7676" s="224"/>
      <c r="S7676" s="202"/>
      <c r="T7676"/>
    </row>
    <row r="7677" spans="15:20">
      <c r="O7677" s="247"/>
      <c r="P7677"/>
      <c r="Q7677" s="224"/>
      <c r="S7677" s="202"/>
      <c r="T7677"/>
    </row>
    <row r="7678" spans="15:20">
      <c r="O7678" s="247"/>
      <c r="P7678"/>
      <c r="Q7678" s="224"/>
      <c r="S7678" s="202"/>
      <c r="T7678"/>
    </row>
    <row r="7679" spans="15:20">
      <c r="O7679" s="247"/>
      <c r="P7679"/>
      <c r="Q7679" s="224"/>
      <c r="S7679" s="202"/>
      <c r="T7679"/>
    </row>
    <row r="7680" spans="15:20">
      <c r="O7680" s="247"/>
      <c r="P7680"/>
      <c r="Q7680" s="224"/>
      <c r="S7680" s="202"/>
      <c r="T7680"/>
    </row>
    <row r="7681" spans="15:20">
      <c r="O7681" s="247"/>
      <c r="P7681"/>
      <c r="Q7681" s="224"/>
      <c r="S7681" s="202"/>
      <c r="T7681"/>
    </row>
    <row r="7682" spans="15:20">
      <c r="O7682" s="247"/>
      <c r="P7682"/>
      <c r="Q7682" s="224"/>
      <c r="S7682" s="202"/>
      <c r="T7682"/>
    </row>
    <row r="7683" spans="15:20">
      <c r="O7683" s="247"/>
      <c r="P7683"/>
      <c r="Q7683" s="224"/>
      <c r="S7683" s="202"/>
      <c r="T7683"/>
    </row>
    <row r="7684" spans="15:20">
      <c r="O7684" s="247"/>
      <c r="P7684"/>
      <c r="Q7684" s="224"/>
      <c r="S7684" s="202"/>
      <c r="T7684"/>
    </row>
    <row r="7685" spans="15:20">
      <c r="O7685" s="247"/>
      <c r="P7685"/>
      <c r="Q7685" s="224"/>
      <c r="S7685" s="202"/>
      <c r="T7685"/>
    </row>
    <row r="7686" spans="15:20">
      <c r="O7686" s="247"/>
      <c r="P7686"/>
      <c r="Q7686" s="224"/>
      <c r="S7686" s="202"/>
      <c r="T7686"/>
    </row>
    <row r="7687" spans="15:20">
      <c r="O7687" s="247"/>
      <c r="P7687"/>
      <c r="Q7687" s="224"/>
      <c r="S7687" s="202"/>
      <c r="T7687"/>
    </row>
    <row r="7688" spans="15:20">
      <c r="O7688" s="247"/>
      <c r="P7688"/>
      <c r="Q7688" s="224"/>
      <c r="S7688" s="202"/>
      <c r="T7688"/>
    </row>
    <row r="7689" spans="15:20">
      <c r="O7689" s="247"/>
      <c r="P7689"/>
      <c r="Q7689" s="224"/>
      <c r="S7689" s="202"/>
      <c r="T7689"/>
    </row>
    <row r="7690" spans="15:20">
      <c r="O7690" s="247"/>
      <c r="P7690"/>
      <c r="Q7690" s="224"/>
      <c r="S7690" s="202"/>
      <c r="T7690"/>
    </row>
    <row r="7691" spans="15:20">
      <c r="O7691" s="247"/>
      <c r="P7691"/>
      <c r="Q7691" s="224"/>
      <c r="S7691" s="202"/>
      <c r="T7691"/>
    </row>
    <row r="7692" spans="15:20">
      <c r="O7692" s="247"/>
      <c r="P7692"/>
      <c r="Q7692" s="224"/>
      <c r="S7692" s="202"/>
      <c r="T7692"/>
    </row>
    <row r="7693" spans="15:20">
      <c r="O7693" s="247"/>
      <c r="P7693"/>
      <c r="Q7693" s="224"/>
      <c r="S7693" s="202"/>
      <c r="T7693"/>
    </row>
    <row r="7694" spans="15:20">
      <c r="O7694" s="247"/>
      <c r="P7694"/>
      <c r="Q7694" s="224"/>
      <c r="S7694" s="202"/>
      <c r="T7694"/>
    </row>
    <row r="7695" spans="15:20">
      <c r="O7695" s="247"/>
      <c r="P7695"/>
      <c r="Q7695" s="224"/>
      <c r="S7695" s="202"/>
      <c r="T7695"/>
    </row>
    <row r="7696" spans="15:20">
      <c r="O7696" s="247"/>
      <c r="P7696"/>
      <c r="Q7696" s="224"/>
      <c r="S7696" s="202"/>
      <c r="T7696"/>
    </row>
    <row r="7697" spans="15:20">
      <c r="O7697" s="247"/>
      <c r="P7697"/>
      <c r="Q7697" s="224"/>
      <c r="S7697" s="202"/>
      <c r="T7697"/>
    </row>
    <row r="7698" spans="15:20">
      <c r="O7698" s="247"/>
      <c r="P7698"/>
      <c r="Q7698" s="224"/>
      <c r="S7698" s="202"/>
      <c r="T7698"/>
    </row>
    <row r="7699" spans="15:20">
      <c r="O7699" s="247"/>
      <c r="P7699"/>
      <c r="Q7699" s="224"/>
      <c r="S7699" s="202"/>
      <c r="T7699"/>
    </row>
    <row r="7700" spans="15:20">
      <c r="O7700" s="247"/>
      <c r="P7700"/>
      <c r="Q7700" s="224"/>
      <c r="S7700" s="202"/>
      <c r="T7700"/>
    </row>
    <row r="7701" spans="15:20">
      <c r="O7701" s="247"/>
      <c r="P7701"/>
      <c r="Q7701" s="224"/>
      <c r="S7701" s="202"/>
      <c r="T7701"/>
    </row>
    <row r="7702" spans="15:20">
      <c r="O7702" s="247"/>
      <c r="P7702"/>
      <c r="Q7702" s="224"/>
      <c r="S7702" s="202"/>
      <c r="T7702"/>
    </row>
    <row r="7703" spans="15:20">
      <c r="O7703" s="247"/>
      <c r="P7703"/>
      <c r="Q7703" s="224"/>
      <c r="S7703" s="202"/>
      <c r="T7703"/>
    </row>
    <row r="7704" spans="15:20">
      <c r="O7704" s="247"/>
      <c r="P7704"/>
      <c r="Q7704" s="224"/>
      <c r="S7704" s="202"/>
      <c r="T7704"/>
    </row>
    <row r="7705" spans="15:20">
      <c r="O7705" s="247"/>
      <c r="P7705"/>
      <c r="Q7705" s="224"/>
      <c r="S7705" s="202"/>
      <c r="T7705"/>
    </row>
    <row r="7706" spans="15:20">
      <c r="O7706" s="247"/>
      <c r="P7706"/>
      <c r="Q7706" s="224"/>
      <c r="S7706" s="202"/>
      <c r="T7706"/>
    </row>
    <row r="7707" spans="15:20">
      <c r="O7707" s="247"/>
      <c r="P7707"/>
      <c r="Q7707" s="224"/>
      <c r="S7707" s="202"/>
      <c r="T7707"/>
    </row>
    <row r="7708" spans="15:20">
      <c r="O7708" s="247"/>
      <c r="P7708"/>
      <c r="Q7708" s="224"/>
      <c r="S7708" s="202"/>
      <c r="T7708"/>
    </row>
    <row r="7709" spans="15:20">
      <c r="O7709" s="247"/>
      <c r="P7709"/>
      <c r="Q7709" s="224"/>
      <c r="S7709" s="202"/>
      <c r="T7709"/>
    </row>
    <row r="7710" spans="15:20">
      <c r="O7710" s="247"/>
      <c r="P7710"/>
      <c r="Q7710" s="224"/>
      <c r="S7710" s="202"/>
      <c r="T7710"/>
    </row>
    <row r="7711" spans="15:20">
      <c r="O7711" s="247"/>
      <c r="P7711"/>
      <c r="Q7711" s="224"/>
      <c r="S7711" s="202"/>
      <c r="T7711"/>
    </row>
    <row r="7712" spans="15:20">
      <c r="O7712" s="247"/>
      <c r="P7712"/>
      <c r="Q7712" s="224"/>
      <c r="S7712" s="202"/>
      <c r="T7712"/>
    </row>
    <row r="7713" spans="15:20">
      <c r="O7713" s="247"/>
      <c r="P7713"/>
      <c r="Q7713" s="224"/>
      <c r="S7713" s="202"/>
      <c r="T7713"/>
    </row>
    <row r="7714" spans="15:20">
      <c r="O7714" s="247"/>
      <c r="P7714"/>
      <c r="Q7714" s="224"/>
      <c r="S7714" s="202"/>
      <c r="T7714"/>
    </row>
    <row r="7715" spans="15:20">
      <c r="O7715" s="247"/>
      <c r="P7715"/>
      <c r="Q7715" s="224"/>
      <c r="S7715" s="202"/>
      <c r="T7715"/>
    </row>
    <row r="7716" spans="15:20">
      <c r="O7716" s="247"/>
      <c r="P7716"/>
      <c r="Q7716" s="224"/>
      <c r="S7716" s="202"/>
      <c r="T7716"/>
    </row>
    <row r="7717" spans="15:20">
      <c r="O7717" s="247"/>
      <c r="P7717"/>
      <c r="Q7717" s="224"/>
      <c r="S7717" s="202"/>
      <c r="T7717"/>
    </row>
    <row r="7718" spans="15:20">
      <c r="O7718" s="247"/>
      <c r="P7718"/>
      <c r="Q7718" s="224"/>
      <c r="S7718" s="202"/>
      <c r="T7718"/>
    </row>
    <row r="7719" spans="15:20">
      <c r="O7719" s="247"/>
      <c r="P7719"/>
      <c r="Q7719" s="224"/>
      <c r="S7719" s="202"/>
      <c r="T7719"/>
    </row>
    <row r="7720" spans="15:20">
      <c r="O7720" s="247"/>
      <c r="P7720"/>
      <c r="Q7720" s="224"/>
      <c r="S7720" s="202"/>
      <c r="T7720"/>
    </row>
    <row r="7721" spans="15:20">
      <c r="O7721" s="247"/>
      <c r="P7721"/>
      <c r="Q7721" s="224"/>
      <c r="S7721" s="202"/>
      <c r="T7721"/>
    </row>
    <row r="7722" spans="15:20">
      <c r="O7722" s="247"/>
      <c r="P7722"/>
      <c r="Q7722" s="224"/>
      <c r="S7722" s="202"/>
      <c r="T7722"/>
    </row>
    <row r="7723" spans="15:20">
      <c r="O7723" s="247"/>
      <c r="P7723"/>
      <c r="Q7723" s="224"/>
      <c r="S7723" s="202"/>
      <c r="T7723"/>
    </row>
    <row r="7724" spans="15:20">
      <c r="O7724" s="247"/>
      <c r="P7724"/>
      <c r="Q7724" s="224"/>
      <c r="S7724" s="202"/>
      <c r="T7724"/>
    </row>
    <row r="7725" spans="15:20">
      <c r="O7725" s="247"/>
      <c r="P7725"/>
      <c r="Q7725" s="224"/>
      <c r="S7725" s="202"/>
      <c r="T7725"/>
    </row>
    <row r="7726" spans="15:20">
      <c r="O7726" s="247"/>
      <c r="P7726"/>
      <c r="Q7726" s="224"/>
      <c r="S7726" s="202"/>
      <c r="T7726"/>
    </row>
    <row r="7727" spans="15:20">
      <c r="O7727" s="247"/>
      <c r="P7727"/>
      <c r="Q7727" s="224"/>
      <c r="S7727" s="202"/>
      <c r="T7727"/>
    </row>
    <row r="7728" spans="15:20">
      <c r="O7728" s="247"/>
      <c r="P7728"/>
      <c r="Q7728" s="224"/>
      <c r="S7728" s="202"/>
      <c r="T7728"/>
    </row>
    <row r="7729" spans="15:20">
      <c r="O7729" s="247"/>
      <c r="P7729"/>
      <c r="Q7729" s="224"/>
      <c r="S7729" s="202"/>
      <c r="T7729"/>
    </row>
    <row r="7730" spans="15:20">
      <c r="O7730" s="247"/>
      <c r="P7730"/>
      <c r="Q7730" s="224"/>
      <c r="S7730" s="202"/>
      <c r="T7730"/>
    </row>
    <row r="7731" spans="15:20">
      <c r="O7731" s="247"/>
      <c r="P7731"/>
      <c r="Q7731" s="224"/>
      <c r="S7731" s="202"/>
      <c r="T7731"/>
    </row>
    <row r="7732" spans="15:20">
      <c r="O7732" s="247"/>
      <c r="P7732"/>
      <c r="Q7732" s="224"/>
      <c r="S7732" s="202"/>
      <c r="T7732"/>
    </row>
    <row r="7733" spans="15:20">
      <c r="O7733" s="247"/>
      <c r="P7733"/>
      <c r="Q7733" s="224"/>
      <c r="S7733" s="202"/>
      <c r="T7733"/>
    </row>
    <row r="7734" spans="15:20">
      <c r="O7734" s="247"/>
      <c r="P7734"/>
      <c r="Q7734" s="224"/>
      <c r="S7734" s="202"/>
      <c r="T7734"/>
    </row>
    <row r="7735" spans="15:20">
      <c r="O7735" s="247"/>
      <c r="P7735"/>
      <c r="Q7735" s="224"/>
      <c r="S7735" s="202"/>
      <c r="T7735"/>
    </row>
    <row r="7736" spans="15:20">
      <c r="O7736" s="247"/>
      <c r="P7736"/>
      <c r="Q7736" s="224"/>
      <c r="S7736" s="202"/>
      <c r="T7736"/>
    </row>
    <row r="7737" spans="15:20">
      <c r="O7737" s="247"/>
      <c r="P7737"/>
      <c r="Q7737" s="224"/>
      <c r="S7737" s="202"/>
      <c r="T7737"/>
    </row>
    <row r="7738" spans="15:20">
      <c r="O7738" s="247"/>
      <c r="P7738"/>
      <c r="Q7738" s="224"/>
      <c r="S7738" s="202"/>
      <c r="T7738"/>
    </row>
    <row r="7739" spans="15:20">
      <c r="O7739" s="247"/>
      <c r="P7739"/>
      <c r="Q7739" s="224"/>
      <c r="S7739" s="202"/>
      <c r="T7739"/>
    </row>
    <row r="7740" spans="15:20">
      <c r="O7740" s="247"/>
      <c r="P7740"/>
      <c r="Q7740" s="224"/>
      <c r="S7740" s="202"/>
      <c r="T7740"/>
    </row>
    <row r="7741" spans="15:20">
      <c r="O7741" s="247"/>
      <c r="P7741"/>
      <c r="Q7741" s="224"/>
      <c r="S7741" s="202"/>
      <c r="T7741"/>
    </row>
    <row r="7742" spans="15:20">
      <c r="O7742" s="247"/>
      <c r="P7742"/>
      <c r="Q7742" s="224"/>
      <c r="S7742" s="202"/>
      <c r="T7742"/>
    </row>
    <row r="7743" spans="15:20">
      <c r="O7743" s="247"/>
      <c r="P7743"/>
      <c r="Q7743" s="224"/>
      <c r="S7743" s="202"/>
      <c r="T7743"/>
    </row>
    <row r="7744" spans="15:20">
      <c r="O7744" s="247"/>
      <c r="P7744"/>
      <c r="Q7744" s="224"/>
      <c r="S7744" s="202"/>
      <c r="T7744"/>
    </row>
    <row r="7745" spans="15:20">
      <c r="O7745" s="247"/>
      <c r="P7745"/>
      <c r="Q7745" s="224"/>
      <c r="S7745" s="202"/>
      <c r="T7745"/>
    </row>
    <row r="7746" spans="15:20">
      <c r="O7746" s="247"/>
      <c r="P7746"/>
      <c r="Q7746" s="224"/>
      <c r="S7746" s="202"/>
      <c r="T7746"/>
    </row>
    <row r="7747" spans="15:20">
      <c r="O7747" s="247"/>
      <c r="P7747"/>
      <c r="Q7747" s="224"/>
      <c r="S7747" s="202"/>
      <c r="T7747"/>
    </row>
    <row r="7748" spans="15:20">
      <c r="O7748" s="247"/>
      <c r="P7748"/>
      <c r="Q7748" s="224"/>
      <c r="S7748" s="202"/>
      <c r="T7748"/>
    </row>
    <row r="7749" spans="15:20">
      <c r="O7749" s="247"/>
      <c r="P7749"/>
      <c r="Q7749" s="224"/>
      <c r="S7749" s="202"/>
      <c r="T7749"/>
    </row>
    <row r="7750" spans="15:20">
      <c r="O7750" s="247"/>
      <c r="P7750"/>
      <c r="Q7750" s="224"/>
      <c r="S7750" s="202"/>
      <c r="T7750"/>
    </row>
    <row r="7751" spans="15:20">
      <c r="O7751" s="247"/>
      <c r="P7751"/>
      <c r="Q7751" s="224"/>
      <c r="S7751" s="202"/>
      <c r="T7751"/>
    </row>
    <row r="7752" spans="15:20">
      <c r="O7752" s="247"/>
      <c r="P7752"/>
      <c r="Q7752" s="224"/>
      <c r="S7752" s="202"/>
      <c r="T7752"/>
    </row>
    <row r="7753" spans="15:20">
      <c r="O7753" s="247"/>
      <c r="P7753"/>
      <c r="Q7753" s="224"/>
      <c r="S7753" s="202"/>
      <c r="T7753"/>
    </row>
    <row r="7754" spans="15:20">
      <c r="O7754" s="247"/>
      <c r="P7754"/>
      <c r="Q7754" s="224"/>
      <c r="S7754" s="202"/>
      <c r="T7754"/>
    </row>
    <row r="7755" spans="15:20">
      <c r="O7755" s="247"/>
      <c r="P7755"/>
      <c r="Q7755" s="224"/>
      <c r="S7755" s="202"/>
      <c r="T7755"/>
    </row>
    <row r="7756" spans="15:20">
      <c r="O7756" s="247"/>
      <c r="P7756"/>
      <c r="Q7756" s="224"/>
      <c r="S7756" s="202"/>
      <c r="T7756"/>
    </row>
    <row r="7757" spans="15:20">
      <c r="O7757" s="247"/>
      <c r="P7757"/>
      <c r="Q7757" s="224"/>
      <c r="S7757" s="202"/>
      <c r="T7757"/>
    </row>
    <row r="7758" spans="15:20">
      <c r="O7758" s="247"/>
      <c r="P7758"/>
      <c r="Q7758" s="224"/>
      <c r="S7758" s="202"/>
      <c r="T7758"/>
    </row>
    <row r="7759" spans="15:20">
      <c r="O7759" s="247"/>
      <c r="P7759"/>
      <c r="Q7759" s="224"/>
      <c r="S7759" s="202"/>
      <c r="T7759"/>
    </row>
    <row r="7760" spans="15:20">
      <c r="O7760" s="247"/>
      <c r="P7760"/>
      <c r="Q7760" s="224"/>
      <c r="S7760" s="202"/>
      <c r="T7760"/>
    </row>
    <row r="7761" spans="15:20">
      <c r="O7761" s="247"/>
      <c r="P7761"/>
      <c r="Q7761" s="224"/>
      <c r="S7761" s="202"/>
      <c r="T7761"/>
    </row>
    <row r="7762" spans="15:20">
      <c r="O7762" s="247"/>
      <c r="P7762"/>
      <c r="Q7762" s="224"/>
      <c r="S7762" s="202"/>
      <c r="T7762"/>
    </row>
    <row r="7763" spans="15:20">
      <c r="O7763" s="247"/>
      <c r="P7763"/>
      <c r="Q7763" s="224"/>
      <c r="S7763" s="202"/>
      <c r="T7763"/>
    </row>
    <row r="7764" spans="15:20">
      <c r="O7764" s="247"/>
      <c r="P7764"/>
      <c r="Q7764" s="224"/>
      <c r="S7764" s="202"/>
      <c r="T7764"/>
    </row>
    <row r="7765" spans="15:20">
      <c r="O7765" s="247"/>
      <c r="P7765"/>
      <c r="Q7765" s="224"/>
      <c r="S7765" s="202"/>
      <c r="T7765"/>
    </row>
    <row r="7766" spans="15:20">
      <c r="O7766" s="247"/>
      <c r="P7766"/>
      <c r="Q7766" s="224"/>
      <c r="S7766" s="202"/>
      <c r="T7766"/>
    </row>
    <row r="7767" spans="15:20">
      <c r="O7767" s="247"/>
      <c r="P7767"/>
      <c r="Q7767" s="224"/>
      <c r="S7767" s="202"/>
      <c r="T7767"/>
    </row>
    <row r="7768" spans="15:20">
      <c r="O7768" s="247"/>
      <c r="P7768"/>
      <c r="Q7768" s="224"/>
      <c r="S7768" s="202"/>
      <c r="T7768"/>
    </row>
    <row r="7769" spans="15:20">
      <c r="O7769" s="247"/>
      <c r="P7769"/>
      <c r="Q7769" s="224"/>
      <c r="S7769" s="202"/>
      <c r="T7769"/>
    </row>
    <row r="7770" spans="15:20">
      <c r="O7770" s="247"/>
      <c r="P7770"/>
      <c r="Q7770" s="224"/>
      <c r="S7770" s="202"/>
      <c r="T7770"/>
    </row>
    <row r="7771" spans="15:20">
      <c r="O7771" s="247"/>
      <c r="P7771"/>
      <c r="Q7771" s="224"/>
      <c r="S7771" s="202"/>
      <c r="T7771"/>
    </row>
    <row r="7772" spans="15:20">
      <c r="O7772" s="247"/>
      <c r="P7772"/>
      <c r="Q7772" s="224"/>
      <c r="S7772" s="202"/>
      <c r="T7772"/>
    </row>
    <row r="7773" spans="15:20">
      <c r="O7773" s="247"/>
      <c r="P7773"/>
      <c r="Q7773" s="224"/>
      <c r="S7773" s="202"/>
      <c r="T7773"/>
    </row>
    <row r="7774" spans="15:20">
      <c r="O7774" s="247"/>
      <c r="P7774"/>
      <c r="Q7774" s="224"/>
      <c r="S7774" s="202"/>
      <c r="T7774"/>
    </row>
    <row r="7775" spans="15:20">
      <c r="O7775" s="247"/>
      <c r="P7775"/>
      <c r="Q7775" s="224"/>
      <c r="S7775" s="202"/>
      <c r="T7775"/>
    </row>
    <row r="7776" spans="15:20">
      <c r="O7776" s="247"/>
      <c r="P7776"/>
      <c r="Q7776" s="224"/>
      <c r="S7776" s="202"/>
      <c r="T7776"/>
    </row>
    <row r="7777" spans="15:20">
      <c r="O7777" s="247"/>
      <c r="P7777"/>
      <c r="Q7777" s="224"/>
      <c r="S7777" s="202"/>
      <c r="T7777"/>
    </row>
    <row r="7778" spans="15:20">
      <c r="O7778" s="247"/>
      <c r="P7778"/>
      <c r="Q7778" s="224"/>
      <c r="S7778" s="202"/>
      <c r="T7778"/>
    </row>
    <row r="7779" spans="15:20">
      <c r="O7779" s="247"/>
      <c r="P7779"/>
      <c r="Q7779" s="224"/>
      <c r="S7779" s="202"/>
      <c r="T7779"/>
    </row>
    <row r="7780" spans="15:20">
      <c r="O7780" s="247"/>
      <c r="P7780"/>
      <c r="Q7780" s="224"/>
      <c r="S7780" s="202"/>
      <c r="T7780"/>
    </row>
    <row r="7781" spans="15:20">
      <c r="O7781" s="247"/>
      <c r="P7781"/>
      <c r="Q7781" s="224"/>
      <c r="S7781" s="202"/>
      <c r="T7781"/>
    </row>
    <row r="7782" spans="15:20">
      <c r="O7782" s="247"/>
      <c r="P7782"/>
      <c r="Q7782" s="224"/>
      <c r="S7782" s="202"/>
      <c r="T7782"/>
    </row>
    <row r="7783" spans="15:20">
      <c r="O7783" s="247"/>
      <c r="P7783"/>
      <c r="Q7783" s="224"/>
      <c r="S7783" s="202"/>
      <c r="T7783"/>
    </row>
    <row r="7784" spans="15:20">
      <c r="O7784" s="247"/>
      <c r="P7784"/>
      <c r="Q7784" s="224"/>
      <c r="S7784" s="202"/>
      <c r="T7784"/>
    </row>
    <row r="7785" spans="15:20">
      <c r="O7785" s="247"/>
      <c r="P7785"/>
      <c r="Q7785" s="224"/>
      <c r="S7785" s="202"/>
      <c r="T7785"/>
    </row>
    <row r="7786" spans="15:20">
      <c r="O7786" s="247"/>
      <c r="P7786"/>
      <c r="Q7786" s="224"/>
      <c r="S7786" s="202"/>
      <c r="T7786"/>
    </row>
    <row r="7787" spans="15:20">
      <c r="O7787" s="247"/>
      <c r="P7787"/>
      <c r="Q7787" s="224"/>
      <c r="S7787" s="202"/>
      <c r="T7787"/>
    </row>
    <row r="7788" spans="15:20">
      <c r="O7788" s="247"/>
      <c r="P7788"/>
      <c r="Q7788" s="224"/>
      <c r="S7788" s="202"/>
      <c r="T7788"/>
    </row>
    <row r="7789" spans="15:20">
      <c r="O7789" s="247"/>
      <c r="P7789"/>
      <c r="Q7789" s="224"/>
      <c r="S7789" s="202"/>
      <c r="T7789"/>
    </row>
    <row r="7790" spans="15:20">
      <c r="O7790" s="247"/>
      <c r="P7790"/>
      <c r="Q7790" s="224"/>
      <c r="S7790" s="202"/>
      <c r="T7790"/>
    </row>
    <row r="7791" spans="15:20">
      <c r="O7791" s="247"/>
      <c r="P7791"/>
      <c r="Q7791" s="224"/>
      <c r="S7791" s="202"/>
      <c r="T7791"/>
    </row>
    <row r="7792" spans="15:20">
      <c r="O7792" s="247"/>
      <c r="P7792"/>
      <c r="Q7792" s="224"/>
      <c r="S7792" s="202"/>
      <c r="T7792"/>
    </row>
    <row r="7793" spans="15:20">
      <c r="O7793" s="247"/>
      <c r="P7793"/>
      <c r="Q7793" s="224"/>
      <c r="S7793" s="202"/>
      <c r="T7793"/>
    </row>
    <row r="7794" spans="15:20">
      <c r="O7794" s="247"/>
      <c r="P7794"/>
      <c r="Q7794" s="224"/>
      <c r="S7794" s="202"/>
      <c r="T7794"/>
    </row>
    <row r="7795" spans="15:20">
      <c r="O7795" s="247"/>
      <c r="P7795"/>
      <c r="Q7795" s="224"/>
      <c r="S7795" s="202"/>
      <c r="T7795"/>
    </row>
    <row r="7796" spans="15:20">
      <c r="O7796" s="247"/>
      <c r="P7796"/>
      <c r="Q7796" s="224"/>
      <c r="S7796" s="202"/>
      <c r="T7796"/>
    </row>
    <row r="7797" spans="15:20">
      <c r="O7797" s="247"/>
      <c r="P7797"/>
      <c r="Q7797" s="224"/>
      <c r="S7797" s="202"/>
      <c r="T7797"/>
    </row>
    <row r="7798" spans="15:20">
      <c r="O7798" s="247"/>
      <c r="P7798"/>
      <c r="Q7798" s="224"/>
      <c r="S7798" s="202"/>
      <c r="T7798"/>
    </row>
    <row r="7799" spans="15:20">
      <c r="O7799" s="247"/>
      <c r="P7799"/>
      <c r="Q7799" s="224"/>
      <c r="S7799" s="202"/>
      <c r="T7799"/>
    </row>
    <row r="7800" spans="15:20">
      <c r="O7800" s="247"/>
      <c r="P7800"/>
      <c r="Q7800" s="224"/>
      <c r="S7800" s="202"/>
      <c r="T7800"/>
    </row>
    <row r="7801" spans="15:20">
      <c r="O7801" s="247"/>
      <c r="P7801"/>
      <c r="Q7801" s="224"/>
      <c r="S7801" s="202"/>
      <c r="T7801"/>
    </row>
    <row r="7802" spans="15:20">
      <c r="O7802" s="247"/>
      <c r="P7802"/>
      <c r="Q7802" s="224"/>
      <c r="S7802" s="202"/>
      <c r="T7802"/>
    </row>
    <row r="7803" spans="15:20">
      <c r="O7803" s="247"/>
      <c r="P7803"/>
      <c r="Q7803" s="224"/>
      <c r="S7803" s="202"/>
      <c r="T7803"/>
    </row>
    <row r="7804" spans="15:20">
      <c r="O7804" s="247"/>
      <c r="P7804"/>
      <c r="Q7804" s="224"/>
      <c r="S7804" s="202"/>
      <c r="T7804"/>
    </row>
    <row r="7805" spans="15:20">
      <c r="O7805" s="247"/>
      <c r="P7805"/>
      <c r="Q7805" s="224"/>
      <c r="S7805" s="202"/>
      <c r="T7805"/>
    </row>
    <row r="7806" spans="15:20">
      <c r="O7806" s="247"/>
      <c r="P7806"/>
      <c r="Q7806" s="224"/>
      <c r="S7806" s="202"/>
      <c r="T7806"/>
    </row>
    <row r="7807" spans="15:20">
      <c r="O7807" s="247"/>
      <c r="P7807"/>
      <c r="Q7807" s="224"/>
      <c r="S7807" s="202"/>
      <c r="T7807"/>
    </row>
    <row r="7808" spans="15:20">
      <c r="O7808" s="247"/>
      <c r="P7808"/>
      <c r="Q7808" s="224"/>
      <c r="S7808" s="202"/>
      <c r="T7808"/>
    </row>
    <row r="7809" spans="15:20">
      <c r="O7809" s="247"/>
      <c r="P7809"/>
      <c r="Q7809" s="224"/>
      <c r="S7809" s="202"/>
      <c r="T7809"/>
    </row>
    <row r="7810" spans="15:20">
      <c r="O7810" s="247"/>
      <c r="P7810"/>
      <c r="Q7810" s="224"/>
      <c r="S7810" s="202"/>
      <c r="T7810"/>
    </row>
    <row r="7811" spans="15:20">
      <c r="O7811" s="247"/>
      <c r="P7811"/>
      <c r="Q7811" s="224"/>
      <c r="S7811" s="202"/>
      <c r="T7811"/>
    </row>
    <row r="7812" spans="15:20">
      <c r="O7812" s="247"/>
      <c r="P7812"/>
      <c r="Q7812" s="224"/>
      <c r="S7812" s="202"/>
      <c r="T7812"/>
    </row>
    <row r="7813" spans="15:20">
      <c r="O7813" s="247"/>
      <c r="P7813"/>
      <c r="Q7813" s="224"/>
      <c r="S7813" s="202"/>
      <c r="T7813"/>
    </row>
    <row r="7814" spans="15:20">
      <c r="O7814" s="247"/>
      <c r="P7814"/>
      <c r="Q7814" s="224"/>
      <c r="S7814" s="202"/>
      <c r="T7814"/>
    </row>
    <row r="7815" spans="15:20">
      <c r="O7815" s="247"/>
      <c r="P7815"/>
      <c r="Q7815" s="224"/>
      <c r="S7815" s="202"/>
      <c r="T7815"/>
    </row>
    <row r="7816" spans="15:20">
      <c r="O7816" s="247"/>
      <c r="P7816"/>
      <c r="Q7816" s="224"/>
      <c r="S7816" s="202"/>
      <c r="T7816"/>
    </row>
    <row r="7817" spans="15:20">
      <c r="O7817" s="247"/>
      <c r="P7817"/>
      <c r="Q7817" s="224"/>
      <c r="S7817" s="202"/>
      <c r="T7817"/>
    </row>
    <row r="7818" spans="15:20">
      <c r="O7818" s="247"/>
      <c r="P7818"/>
      <c r="Q7818" s="224"/>
      <c r="S7818" s="202"/>
      <c r="T7818"/>
    </row>
    <row r="7819" spans="15:20">
      <c r="O7819" s="247"/>
      <c r="P7819"/>
      <c r="Q7819" s="224"/>
      <c r="S7819" s="202"/>
      <c r="T7819"/>
    </row>
    <row r="7820" spans="15:20">
      <c r="O7820" s="247"/>
      <c r="P7820"/>
      <c r="Q7820" s="224"/>
      <c r="S7820" s="202"/>
      <c r="T7820"/>
    </row>
    <row r="7821" spans="15:20">
      <c r="O7821" s="247"/>
      <c r="P7821"/>
      <c r="Q7821" s="224"/>
      <c r="S7821" s="202"/>
      <c r="T7821"/>
    </row>
    <row r="7822" spans="15:20">
      <c r="O7822" s="247"/>
      <c r="P7822"/>
      <c r="Q7822" s="224"/>
      <c r="S7822" s="202"/>
      <c r="T7822"/>
    </row>
    <row r="7823" spans="15:20">
      <c r="O7823" s="247"/>
      <c r="P7823"/>
      <c r="Q7823" s="224"/>
      <c r="S7823" s="202"/>
      <c r="T7823"/>
    </row>
    <row r="7824" spans="15:20">
      <c r="O7824" s="247"/>
      <c r="P7824"/>
      <c r="Q7824" s="224"/>
      <c r="S7824" s="202"/>
      <c r="T7824"/>
    </row>
    <row r="7825" spans="15:20">
      <c r="O7825" s="247"/>
      <c r="P7825"/>
      <c r="Q7825" s="224"/>
      <c r="S7825" s="202"/>
      <c r="T7825"/>
    </row>
    <row r="7826" spans="15:20">
      <c r="O7826" s="247"/>
      <c r="P7826"/>
      <c r="Q7826" s="224"/>
      <c r="S7826" s="202"/>
      <c r="T7826"/>
    </row>
    <row r="7827" spans="15:20">
      <c r="O7827" s="247"/>
      <c r="P7827"/>
      <c r="Q7827" s="224"/>
      <c r="S7827" s="202"/>
      <c r="T7827"/>
    </row>
    <row r="7828" spans="15:20">
      <c r="O7828" s="247"/>
      <c r="P7828"/>
      <c r="Q7828" s="224"/>
      <c r="S7828" s="202"/>
      <c r="T7828"/>
    </row>
    <row r="7829" spans="15:20">
      <c r="O7829" s="247"/>
      <c r="P7829"/>
      <c r="Q7829" s="224"/>
      <c r="S7829" s="202"/>
      <c r="T7829"/>
    </row>
    <row r="7830" spans="15:20">
      <c r="O7830" s="247"/>
      <c r="P7830"/>
      <c r="Q7830" s="224"/>
      <c r="S7830" s="202"/>
      <c r="T7830"/>
    </row>
    <row r="7831" spans="15:20">
      <c r="O7831" s="247"/>
      <c r="P7831"/>
      <c r="Q7831" s="224"/>
      <c r="S7831" s="202"/>
      <c r="T7831"/>
    </row>
    <row r="7832" spans="15:20">
      <c r="O7832" s="247"/>
      <c r="P7832"/>
      <c r="Q7832" s="224"/>
      <c r="S7832" s="202"/>
      <c r="T7832"/>
    </row>
    <row r="7833" spans="15:20">
      <c r="O7833" s="247"/>
      <c r="P7833"/>
      <c r="Q7833" s="224"/>
      <c r="S7833" s="202"/>
      <c r="T7833"/>
    </row>
    <row r="7834" spans="15:20">
      <c r="O7834" s="247"/>
      <c r="P7834"/>
      <c r="Q7834" s="224"/>
      <c r="S7834" s="202"/>
      <c r="T7834"/>
    </row>
    <row r="7835" spans="15:20">
      <c r="O7835" s="247"/>
      <c r="P7835"/>
      <c r="Q7835" s="224"/>
      <c r="S7835" s="202"/>
      <c r="T7835"/>
    </row>
    <row r="7836" spans="15:20">
      <c r="O7836" s="247"/>
      <c r="P7836"/>
      <c r="Q7836" s="224"/>
      <c r="S7836" s="202"/>
      <c r="T7836"/>
    </row>
    <row r="7837" spans="15:20">
      <c r="O7837" s="247"/>
      <c r="P7837"/>
      <c r="Q7837" s="224"/>
      <c r="S7837" s="202"/>
      <c r="T7837"/>
    </row>
    <row r="7838" spans="15:20">
      <c r="O7838" s="247"/>
      <c r="P7838"/>
      <c r="Q7838" s="224"/>
      <c r="S7838" s="202"/>
      <c r="T7838"/>
    </row>
    <row r="7839" spans="15:20">
      <c r="O7839" s="247"/>
      <c r="P7839"/>
      <c r="Q7839" s="224"/>
      <c r="S7839" s="202"/>
      <c r="T7839"/>
    </row>
    <row r="7840" spans="15:20">
      <c r="O7840" s="247"/>
      <c r="P7840"/>
      <c r="Q7840" s="224"/>
      <c r="S7840" s="202"/>
      <c r="T7840"/>
    </row>
    <row r="7841" spans="15:20">
      <c r="O7841" s="247"/>
      <c r="P7841"/>
      <c r="Q7841" s="224"/>
      <c r="S7841" s="202"/>
      <c r="T7841"/>
    </row>
    <row r="7842" spans="15:20">
      <c r="O7842" s="247"/>
      <c r="P7842"/>
      <c r="Q7842" s="224"/>
      <c r="S7842" s="202"/>
      <c r="T7842"/>
    </row>
    <row r="7843" spans="15:20">
      <c r="O7843" s="247"/>
      <c r="P7843"/>
      <c r="Q7843" s="224"/>
      <c r="S7843" s="202"/>
      <c r="T7843"/>
    </row>
    <row r="7844" spans="15:20">
      <c r="O7844" s="247"/>
      <c r="P7844"/>
      <c r="Q7844" s="224"/>
      <c r="S7844" s="202"/>
      <c r="T7844"/>
    </row>
    <row r="7845" spans="15:20">
      <c r="O7845" s="247"/>
      <c r="P7845"/>
      <c r="Q7845" s="224"/>
      <c r="S7845" s="202"/>
      <c r="T7845"/>
    </row>
    <row r="7846" spans="15:20">
      <c r="O7846" s="247"/>
      <c r="P7846"/>
      <c r="Q7846" s="224"/>
      <c r="S7846" s="202"/>
      <c r="T7846"/>
    </row>
    <row r="7847" spans="15:20">
      <c r="O7847" s="247"/>
      <c r="P7847"/>
      <c r="Q7847" s="224"/>
      <c r="S7847" s="202"/>
      <c r="T7847"/>
    </row>
    <row r="7848" spans="15:20">
      <c r="O7848" s="247"/>
      <c r="P7848"/>
      <c r="Q7848" s="224"/>
      <c r="S7848" s="202"/>
      <c r="T7848"/>
    </row>
    <row r="7849" spans="15:20">
      <c r="O7849" s="247"/>
      <c r="P7849"/>
      <c r="Q7849" s="224"/>
      <c r="S7849" s="202"/>
      <c r="T7849"/>
    </row>
    <row r="7850" spans="15:20">
      <c r="O7850" s="247"/>
      <c r="P7850"/>
      <c r="Q7850" s="224"/>
      <c r="S7850" s="202"/>
      <c r="T7850"/>
    </row>
    <row r="7851" spans="15:20">
      <c r="O7851" s="247"/>
      <c r="P7851"/>
      <c r="Q7851" s="224"/>
      <c r="S7851" s="202"/>
      <c r="T7851"/>
    </row>
    <row r="7852" spans="15:20">
      <c r="O7852" s="247"/>
      <c r="P7852"/>
      <c r="Q7852" s="224"/>
      <c r="S7852" s="202"/>
      <c r="T7852"/>
    </row>
    <row r="7853" spans="15:20">
      <c r="O7853" s="247"/>
      <c r="P7853"/>
      <c r="Q7853" s="224"/>
      <c r="S7853" s="202"/>
      <c r="T7853"/>
    </row>
    <row r="7854" spans="15:20">
      <c r="O7854" s="247"/>
      <c r="P7854"/>
      <c r="Q7854" s="224"/>
      <c r="S7854" s="202"/>
      <c r="T7854"/>
    </row>
    <row r="7855" spans="15:20">
      <c r="O7855" s="247"/>
      <c r="P7855"/>
      <c r="Q7855" s="224"/>
      <c r="S7855" s="202"/>
      <c r="T7855"/>
    </row>
    <row r="7856" spans="15:20">
      <c r="O7856" s="247"/>
      <c r="P7856"/>
      <c r="Q7856" s="224"/>
      <c r="S7856" s="202"/>
      <c r="T7856"/>
    </row>
    <row r="7857" spans="15:20">
      <c r="O7857" s="247"/>
      <c r="P7857"/>
      <c r="Q7857" s="224"/>
      <c r="S7857" s="202"/>
      <c r="T7857"/>
    </row>
    <row r="7858" spans="15:20">
      <c r="O7858" s="247"/>
      <c r="P7858"/>
      <c r="Q7858" s="224"/>
      <c r="S7858" s="202"/>
      <c r="T7858"/>
    </row>
    <row r="7859" spans="15:20">
      <c r="O7859" s="247"/>
      <c r="P7859"/>
      <c r="Q7859" s="224"/>
      <c r="S7859" s="202"/>
      <c r="T7859"/>
    </row>
    <row r="7860" spans="15:20">
      <c r="O7860" s="247"/>
      <c r="P7860"/>
      <c r="Q7860" s="224"/>
      <c r="S7860" s="202"/>
      <c r="T7860"/>
    </row>
    <row r="7861" spans="15:20">
      <c r="O7861" s="247"/>
      <c r="P7861"/>
      <c r="Q7861" s="224"/>
      <c r="S7861" s="202"/>
      <c r="T7861"/>
    </row>
    <row r="7862" spans="15:20">
      <c r="O7862" s="247"/>
      <c r="P7862"/>
      <c r="Q7862" s="224"/>
      <c r="S7862" s="202"/>
      <c r="T7862"/>
    </row>
    <row r="7863" spans="15:20">
      <c r="O7863" s="247"/>
      <c r="P7863"/>
      <c r="Q7863" s="224"/>
      <c r="S7863" s="202"/>
      <c r="T7863"/>
    </row>
    <row r="7864" spans="15:20">
      <c r="O7864" s="247"/>
      <c r="P7864"/>
      <c r="Q7864" s="224"/>
      <c r="S7864" s="202"/>
      <c r="T7864"/>
    </row>
    <row r="7865" spans="15:20">
      <c r="O7865" s="247"/>
      <c r="P7865"/>
      <c r="Q7865" s="224"/>
      <c r="S7865" s="202"/>
      <c r="T7865"/>
    </row>
    <row r="7866" spans="15:20">
      <c r="O7866" s="247"/>
      <c r="P7866"/>
      <c r="Q7866" s="224"/>
      <c r="S7866" s="202"/>
      <c r="T7866"/>
    </row>
    <row r="7867" spans="15:20">
      <c r="O7867" s="247"/>
      <c r="P7867"/>
      <c r="Q7867" s="224"/>
      <c r="S7867" s="202"/>
      <c r="T7867"/>
    </row>
    <row r="7868" spans="15:20">
      <c r="O7868" s="247"/>
      <c r="P7868"/>
      <c r="Q7868" s="224"/>
      <c r="S7868" s="202"/>
      <c r="T7868"/>
    </row>
    <row r="7869" spans="15:20">
      <c r="O7869" s="247"/>
      <c r="P7869"/>
      <c r="Q7869" s="224"/>
      <c r="S7869" s="202"/>
      <c r="T7869"/>
    </row>
    <row r="7870" spans="15:20">
      <c r="O7870" s="247"/>
      <c r="P7870"/>
      <c r="Q7870" s="224"/>
      <c r="S7870" s="202"/>
      <c r="T7870"/>
    </row>
    <row r="7871" spans="15:20">
      <c r="O7871" s="247"/>
      <c r="P7871"/>
      <c r="Q7871" s="224"/>
      <c r="S7871" s="202"/>
      <c r="T7871"/>
    </row>
    <row r="7872" spans="15:20">
      <c r="O7872" s="247"/>
      <c r="P7872"/>
      <c r="Q7872" s="224"/>
      <c r="S7872" s="202"/>
      <c r="T7872"/>
    </row>
    <row r="7873" spans="15:20">
      <c r="O7873" s="247"/>
      <c r="P7873"/>
      <c r="Q7873" s="224"/>
      <c r="S7873" s="202"/>
      <c r="T7873"/>
    </row>
    <row r="7874" spans="15:20">
      <c r="O7874" s="247"/>
      <c r="P7874"/>
      <c r="Q7874" s="224"/>
      <c r="S7874" s="202"/>
      <c r="T7874"/>
    </row>
    <row r="7875" spans="15:20">
      <c r="O7875" s="247"/>
      <c r="P7875"/>
      <c r="Q7875" s="224"/>
      <c r="S7875" s="202"/>
      <c r="T7875"/>
    </row>
    <row r="7876" spans="15:20">
      <c r="O7876" s="247"/>
      <c r="P7876"/>
      <c r="Q7876" s="224"/>
      <c r="S7876" s="202"/>
      <c r="T7876"/>
    </row>
    <row r="7877" spans="15:20">
      <c r="O7877" s="247"/>
      <c r="P7877"/>
      <c r="Q7877" s="224"/>
      <c r="S7877" s="202"/>
      <c r="T7877"/>
    </row>
    <row r="7878" spans="15:20">
      <c r="O7878" s="247"/>
      <c r="P7878"/>
      <c r="Q7878" s="224"/>
      <c r="S7878" s="202"/>
      <c r="T7878"/>
    </row>
    <row r="7879" spans="15:20">
      <c r="O7879" s="247"/>
      <c r="P7879"/>
      <c r="Q7879" s="224"/>
      <c r="S7879" s="202"/>
      <c r="T7879"/>
    </row>
    <row r="7880" spans="15:20">
      <c r="O7880" s="247"/>
      <c r="P7880"/>
      <c r="Q7880" s="224"/>
      <c r="S7880" s="202"/>
      <c r="T7880"/>
    </row>
    <row r="7881" spans="15:20">
      <c r="O7881" s="247"/>
      <c r="P7881"/>
      <c r="Q7881" s="224"/>
      <c r="S7881" s="202"/>
      <c r="T7881"/>
    </row>
    <row r="7882" spans="15:20">
      <c r="O7882" s="247"/>
      <c r="P7882"/>
      <c r="Q7882" s="224"/>
      <c r="S7882" s="202"/>
      <c r="T7882"/>
    </row>
    <row r="7883" spans="15:20">
      <c r="O7883" s="247"/>
      <c r="P7883"/>
      <c r="Q7883" s="224"/>
      <c r="S7883" s="202"/>
      <c r="T7883"/>
    </row>
    <row r="7884" spans="15:20">
      <c r="O7884" s="247"/>
      <c r="P7884"/>
      <c r="Q7884" s="224"/>
      <c r="S7884" s="202"/>
      <c r="T7884"/>
    </row>
    <row r="7885" spans="15:20">
      <c r="O7885" s="247"/>
      <c r="P7885"/>
      <c r="Q7885" s="224"/>
      <c r="S7885" s="202"/>
      <c r="T7885"/>
    </row>
    <row r="7886" spans="15:20">
      <c r="O7886" s="247"/>
      <c r="P7886"/>
      <c r="Q7886" s="224"/>
      <c r="S7886" s="202"/>
      <c r="T7886"/>
    </row>
    <row r="7887" spans="15:20">
      <c r="O7887" s="247"/>
      <c r="P7887"/>
      <c r="Q7887" s="224"/>
      <c r="S7887" s="202"/>
      <c r="T7887"/>
    </row>
    <row r="7888" spans="15:20">
      <c r="O7888" s="247"/>
      <c r="P7888"/>
      <c r="Q7888" s="224"/>
      <c r="S7888" s="202"/>
      <c r="T7888"/>
    </row>
    <row r="7889" spans="15:20">
      <c r="O7889" s="247"/>
      <c r="P7889"/>
      <c r="Q7889" s="224"/>
      <c r="S7889" s="202"/>
      <c r="T7889"/>
    </row>
    <row r="7890" spans="15:20">
      <c r="O7890" s="247"/>
      <c r="P7890"/>
      <c r="Q7890" s="224"/>
      <c r="S7890" s="202"/>
      <c r="T7890"/>
    </row>
    <row r="7891" spans="15:20">
      <c r="O7891" s="247"/>
      <c r="P7891"/>
      <c r="Q7891" s="224"/>
      <c r="S7891" s="202"/>
      <c r="T7891"/>
    </row>
    <row r="7892" spans="15:20">
      <c r="O7892" s="247"/>
      <c r="P7892"/>
      <c r="Q7892" s="224"/>
      <c r="S7892" s="202"/>
      <c r="T7892"/>
    </row>
    <row r="7893" spans="15:20">
      <c r="O7893" s="247"/>
      <c r="P7893"/>
      <c r="Q7893" s="224"/>
      <c r="S7893" s="202"/>
      <c r="T7893"/>
    </row>
    <row r="7894" spans="15:20">
      <c r="O7894" s="247"/>
      <c r="P7894"/>
      <c r="Q7894" s="224"/>
      <c r="S7894" s="202"/>
      <c r="T7894"/>
    </row>
    <row r="7895" spans="15:20">
      <c r="O7895" s="247"/>
      <c r="P7895"/>
      <c r="Q7895" s="224"/>
      <c r="S7895" s="202"/>
      <c r="T7895"/>
    </row>
    <row r="7896" spans="15:20">
      <c r="O7896" s="247"/>
      <c r="P7896"/>
      <c r="Q7896" s="224"/>
      <c r="S7896" s="202"/>
      <c r="T7896"/>
    </row>
    <row r="7897" spans="15:20">
      <c r="O7897" s="247"/>
      <c r="P7897"/>
      <c r="Q7897" s="224"/>
      <c r="S7897" s="202"/>
      <c r="T7897"/>
    </row>
    <row r="7898" spans="15:20">
      <c r="O7898" s="247"/>
      <c r="P7898"/>
      <c r="Q7898" s="224"/>
      <c r="S7898" s="202"/>
      <c r="T7898"/>
    </row>
    <row r="7899" spans="15:20">
      <c r="O7899" s="247"/>
      <c r="P7899"/>
      <c r="Q7899" s="224"/>
      <c r="S7899" s="202"/>
      <c r="T7899"/>
    </row>
    <row r="7900" spans="15:20">
      <c r="O7900" s="247"/>
      <c r="P7900"/>
      <c r="Q7900" s="224"/>
      <c r="S7900" s="202"/>
      <c r="T7900"/>
    </row>
    <row r="7901" spans="15:20">
      <c r="O7901" s="247"/>
      <c r="P7901"/>
      <c r="Q7901" s="224"/>
      <c r="S7901" s="202"/>
      <c r="T7901"/>
    </row>
    <row r="7902" spans="15:20">
      <c r="O7902" s="247"/>
      <c r="P7902"/>
      <c r="Q7902" s="224"/>
      <c r="S7902" s="202"/>
      <c r="T7902"/>
    </row>
    <row r="7903" spans="15:20">
      <c r="O7903" s="247"/>
      <c r="P7903"/>
      <c r="Q7903" s="224"/>
      <c r="S7903" s="202"/>
      <c r="T7903"/>
    </row>
    <row r="7904" spans="15:20">
      <c r="O7904" s="247"/>
      <c r="P7904"/>
      <c r="Q7904" s="224"/>
      <c r="S7904" s="202"/>
      <c r="T7904"/>
    </row>
    <row r="7905" spans="15:20">
      <c r="O7905" s="247"/>
      <c r="P7905"/>
      <c r="Q7905" s="224"/>
      <c r="S7905" s="202"/>
      <c r="T7905"/>
    </row>
    <row r="7906" spans="15:20">
      <c r="O7906" s="247"/>
      <c r="P7906"/>
      <c r="Q7906" s="224"/>
      <c r="S7906" s="202"/>
      <c r="T7906"/>
    </row>
    <row r="7907" spans="15:20">
      <c r="O7907" s="247"/>
      <c r="P7907"/>
      <c r="Q7907" s="224"/>
      <c r="S7907" s="202"/>
      <c r="T7907"/>
    </row>
    <row r="7908" spans="15:20">
      <c r="O7908" s="247"/>
      <c r="P7908"/>
      <c r="Q7908" s="224"/>
      <c r="S7908" s="202"/>
      <c r="T7908"/>
    </row>
    <row r="7909" spans="15:20">
      <c r="O7909" s="247"/>
      <c r="P7909"/>
      <c r="Q7909" s="224"/>
      <c r="S7909" s="202"/>
      <c r="T7909"/>
    </row>
    <row r="7910" spans="15:20">
      <c r="O7910" s="247"/>
      <c r="P7910"/>
      <c r="Q7910" s="224"/>
      <c r="S7910" s="202"/>
      <c r="T7910"/>
    </row>
    <row r="7911" spans="15:20">
      <c r="O7911" s="247"/>
      <c r="P7911"/>
      <c r="Q7911" s="224"/>
      <c r="S7911" s="202"/>
      <c r="T7911"/>
    </row>
    <row r="7912" spans="15:20">
      <c r="O7912" s="247"/>
      <c r="P7912"/>
      <c r="Q7912" s="224"/>
      <c r="S7912" s="202"/>
      <c r="T7912"/>
    </row>
    <row r="7913" spans="15:20">
      <c r="O7913" s="247"/>
      <c r="P7913"/>
      <c r="Q7913" s="224"/>
      <c r="S7913" s="202"/>
      <c r="T7913"/>
    </row>
    <row r="7914" spans="15:20">
      <c r="O7914" s="247"/>
      <c r="P7914"/>
      <c r="Q7914" s="224"/>
      <c r="S7914" s="202"/>
      <c r="T7914"/>
    </row>
    <row r="7915" spans="15:20">
      <c r="O7915" s="247"/>
      <c r="P7915"/>
      <c r="Q7915" s="224"/>
      <c r="S7915" s="202"/>
      <c r="T7915"/>
    </row>
    <row r="7916" spans="15:20">
      <c r="O7916" s="247"/>
      <c r="P7916"/>
      <c r="Q7916" s="224"/>
      <c r="S7916" s="202"/>
      <c r="T7916"/>
    </row>
    <row r="7917" spans="15:20">
      <c r="O7917" s="247"/>
      <c r="P7917"/>
      <c r="Q7917" s="224"/>
      <c r="S7917" s="202"/>
      <c r="T7917"/>
    </row>
    <row r="7918" spans="15:20">
      <c r="O7918" s="247"/>
      <c r="P7918"/>
      <c r="Q7918" s="224"/>
      <c r="S7918" s="202"/>
      <c r="T7918"/>
    </row>
    <row r="7919" spans="15:20">
      <c r="O7919" s="247"/>
      <c r="P7919"/>
      <c r="Q7919" s="224"/>
      <c r="S7919" s="202"/>
      <c r="T7919"/>
    </row>
    <row r="7920" spans="15:20">
      <c r="O7920" s="247"/>
      <c r="P7920"/>
      <c r="Q7920" s="224"/>
      <c r="S7920" s="202"/>
      <c r="T7920"/>
    </row>
    <row r="7921" spans="15:20">
      <c r="O7921" s="247"/>
      <c r="P7921"/>
      <c r="Q7921" s="224"/>
      <c r="S7921" s="202"/>
      <c r="T7921"/>
    </row>
    <row r="7922" spans="15:20">
      <c r="O7922" s="247"/>
      <c r="P7922"/>
      <c r="Q7922" s="224"/>
      <c r="S7922" s="202"/>
      <c r="T7922"/>
    </row>
    <row r="7923" spans="15:20">
      <c r="O7923" s="247"/>
      <c r="P7923"/>
      <c r="Q7923" s="224"/>
      <c r="S7923" s="202"/>
      <c r="T7923"/>
    </row>
    <row r="7924" spans="15:20">
      <c r="O7924" s="247"/>
      <c r="P7924"/>
      <c r="Q7924" s="224"/>
      <c r="S7924" s="202"/>
      <c r="T7924"/>
    </row>
    <row r="7925" spans="15:20">
      <c r="O7925" s="247"/>
      <c r="P7925"/>
      <c r="Q7925" s="224"/>
      <c r="S7925" s="202"/>
      <c r="T7925"/>
    </row>
    <row r="7926" spans="15:20">
      <c r="O7926" s="247"/>
      <c r="P7926"/>
      <c r="Q7926" s="224"/>
      <c r="S7926" s="202"/>
      <c r="T7926"/>
    </row>
    <row r="7927" spans="15:20">
      <c r="O7927" s="247"/>
      <c r="P7927"/>
      <c r="Q7927" s="224"/>
      <c r="S7927" s="202"/>
      <c r="T7927"/>
    </row>
    <row r="7928" spans="15:20">
      <c r="O7928" s="247"/>
      <c r="P7928"/>
      <c r="Q7928" s="224"/>
      <c r="S7928" s="202"/>
      <c r="T7928"/>
    </row>
    <row r="7929" spans="15:20">
      <c r="O7929" s="247"/>
      <c r="P7929"/>
      <c r="Q7929" s="224"/>
      <c r="S7929" s="202"/>
      <c r="T7929"/>
    </row>
    <row r="7930" spans="15:20">
      <c r="O7930" s="247"/>
      <c r="P7930"/>
      <c r="Q7930" s="224"/>
      <c r="S7930" s="202"/>
      <c r="T7930"/>
    </row>
    <row r="7931" spans="15:20">
      <c r="O7931" s="247"/>
      <c r="P7931"/>
      <c r="Q7931" s="224"/>
      <c r="S7931" s="202"/>
      <c r="T7931"/>
    </row>
    <row r="7932" spans="15:20">
      <c r="O7932" s="247"/>
      <c r="P7932"/>
      <c r="Q7932" s="224"/>
      <c r="S7932" s="202"/>
      <c r="T7932"/>
    </row>
    <row r="7933" spans="15:20">
      <c r="O7933" s="247"/>
      <c r="P7933"/>
      <c r="Q7933" s="224"/>
      <c r="S7933" s="202"/>
      <c r="T7933"/>
    </row>
    <row r="7934" spans="15:20">
      <c r="O7934" s="247"/>
      <c r="P7934"/>
      <c r="Q7934" s="224"/>
      <c r="S7934" s="202"/>
      <c r="T7934"/>
    </row>
    <row r="7935" spans="15:20">
      <c r="O7935" s="247"/>
      <c r="P7935"/>
      <c r="Q7935" s="224"/>
      <c r="S7935" s="202"/>
      <c r="T7935"/>
    </row>
    <row r="7936" spans="15:20">
      <c r="O7936" s="247"/>
      <c r="P7936"/>
      <c r="Q7936" s="224"/>
      <c r="S7936" s="202"/>
      <c r="T7936"/>
    </row>
    <row r="7937" spans="15:20">
      <c r="O7937" s="247"/>
      <c r="P7937"/>
      <c r="Q7937" s="224"/>
      <c r="S7937" s="202"/>
      <c r="T7937"/>
    </row>
    <row r="7938" spans="15:20">
      <c r="O7938" s="247"/>
      <c r="P7938"/>
      <c r="Q7938" s="224"/>
      <c r="S7938" s="202"/>
      <c r="T7938"/>
    </row>
    <row r="7939" spans="15:20">
      <c r="O7939" s="247"/>
      <c r="P7939"/>
      <c r="Q7939" s="224"/>
      <c r="S7939" s="202"/>
      <c r="T7939"/>
    </row>
    <row r="7940" spans="15:20">
      <c r="O7940" s="247"/>
      <c r="P7940"/>
      <c r="Q7940" s="224"/>
      <c r="S7940" s="202"/>
      <c r="T7940"/>
    </row>
    <row r="7941" spans="15:20">
      <c r="O7941" s="247"/>
      <c r="P7941"/>
      <c r="Q7941" s="224"/>
      <c r="S7941" s="202"/>
      <c r="T7941"/>
    </row>
    <row r="7942" spans="15:20">
      <c r="O7942" s="247"/>
      <c r="P7942"/>
      <c r="Q7942" s="224"/>
      <c r="S7942" s="202"/>
      <c r="T7942"/>
    </row>
    <row r="7943" spans="15:20">
      <c r="O7943" s="247"/>
      <c r="P7943"/>
      <c r="Q7943" s="224"/>
      <c r="S7943" s="202"/>
      <c r="T7943"/>
    </row>
    <row r="7944" spans="15:20">
      <c r="O7944" s="247"/>
      <c r="P7944"/>
      <c r="Q7944" s="224"/>
      <c r="S7944" s="202"/>
      <c r="T7944"/>
    </row>
    <row r="7945" spans="15:20">
      <c r="O7945" s="247"/>
      <c r="P7945"/>
      <c r="Q7945" s="224"/>
      <c r="S7945" s="202"/>
      <c r="T7945"/>
    </row>
    <row r="7946" spans="15:20">
      <c r="O7946" s="247"/>
      <c r="P7946"/>
      <c r="Q7946" s="224"/>
      <c r="S7946" s="202"/>
      <c r="T7946"/>
    </row>
    <row r="7947" spans="15:20">
      <c r="O7947" s="247"/>
      <c r="P7947"/>
      <c r="Q7947" s="224"/>
      <c r="S7947" s="202"/>
      <c r="T7947"/>
    </row>
    <row r="7948" spans="15:20">
      <c r="O7948" s="247"/>
      <c r="P7948"/>
      <c r="Q7948" s="224"/>
      <c r="S7948" s="202"/>
      <c r="T7948"/>
    </row>
    <row r="7949" spans="15:20">
      <c r="O7949" s="247"/>
      <c r="P7949"/>
      <c r="Q7949" s="224"/>
      <c r="S7949" s="202"/>
      <c r="T7949"/>
    </row>
    <row r="7950" spans="15:20">
      <c r="O7950" s="247"/>
      <c r="P7950"/>
      <c r="Q7950" s="224"/>
      <c r="S7950" s="202"/>
      <c r="T7950"/>
    </row>
    <row r="7951" spans="15:20">
      <c r="O7951" s="247"/>
      <c r="P7951"/>
      <c r="Q7951" s="224"/>
      <c r="S7951" s="202"/>
      <c r="T7951"/>
    </row>
    <row r="7952" spans="15:20">
      <c r="O7952" s="247"/>
      <c r="P7952"/>
      <c r="Q7952" s="224"/>
      <c r="S7952" s="202"/>
      <c r="T7952"/>
    </row>
    <row r="7953" spans="15:20">
      <c r="O7953" s="247"/>
      <c r="P7953"/>
      <c r="Q7953" s="224"/>
      <c r="S7953" s="202"/>
      <c r="T7953"/>
    </row>
    <row r="7954" spans="15:20">
      <c r="O7954" s="247"/>
      <c r="P7954"/>
      <c r="Q7954" s="224"/>
      <c r="S7954" s="202"/>
      <c r="T7954"/>
    </row>
    <row r="7955" spans="15:20">
      <c r="O7955" s="247"/>
      <c r="P7955"/>
      <c r="Q7955" s="224"/>
      <c r="S7955" s="202"/>
      <c r="T7955"/>
    </row>
    <row r="7956" spans="15:20">
      <c r="O7956" s="247"/>
      <c r="P7956"/>
      <c r="Q7956" s="224"/>
      <c r="S7956" s="202"/>
      <c r="T7956"/>
    </row>
    <row r="7957" spans="15:20">
      <c r="O7957" s="247"/>
      <c r="P7957"/>
      <c r="Q7957" s="224"/>
      <c r="S7957" s="202"/>
      <c r="T7957"/>
    </row>
    <row r="7958" spans="15:20">
      <c r="O7958" s="247"/>
      <c r="P7958"/>
      <c r="Q7958" s="224"/>
      <c r="S7958" s="202"/>
      <c r="T7958"/>
    </row>
    <row r="7959" spans="15:20">
      <c r="O7959" s="247"/>
      <c r="P7959"/>
      <c r="Q7959" s="224"/>
      <c r="S7959" s="202"/>
      <c r="T7959"/>
    </row>
    <row r="7960" spans="15:20">
      <c r="O7960" s="247"/>
      <c r="P7960"/>
      <c r="Q7960" s="224"/>
      <c r="S7960" s="202"/>
      <c r="T7960"/>
    </row>
    <row r="7961" spans="15:20">
      <c r="O7961" s="247"/>
      <c r="P7961"/>
      <c r="Q7961" s="224"/>
      <c r="S7961" s="202"/>
      <c r="T7961"/>
    </row>
    <row r="7962" spans="15:20">
      <c r="O7962" s="247"/>
      <c r="P7962"/>
      <c r="Q7962" s="224"/>
      <c r="S7962" s="202"/>
      <c r="T7962"/>
    </row>
    <row r="7963" spans="15:20">
      <c r="O7963" s="247"/>
      <c r="P7963"/>
      <c r="Q7963" s="224"/>
      <c r="S7963" s="202"/>
      <c r="T7963"/>
    </row>
    <row r="7964" spans="15:20">
      <c r="O7964" s="247"/>
      <c r="P7964"/>
      <c r="Q7964" s="224"/>
      <c r="S7964" s="202"/>
      <c r="T7964"/>
    </row>
    <row r="7965" spans="15:20">
      <c r="O7965" s="247"/>
      <c r="P7965"/>
      <c r="Q7965" s="224"/>
      <c r="S7965" s="202"/>
      <c r="T7965"/>
    </row>
    <row r="7966" spans="15:20">
      <c r="O7966" s="247"/>
      <c r="P7966"/>
      <c r="Q7966" s="224"/>
      <c r="S7966" s="202"/>
      <c r="T7966"/>
    </row>
    <row r="7967" spans="15:20">
      <c r="O7967" s="247"/>
      <c r="P7967"/>
      <c r="Q7967" s="224"/>
      <c r="S7967" s="202"/>
      <c r="T7967"/>
    </row>
    <row r="7968" spans="15:20">
      <c r="O7968" s="247"/>
      <c r="P7968"/>
      <c r="Q7968" s="224"/>
      <c r="S7968" s="202"/>
      <c r="T7968"/>
    </row>
    <row r="7969" spans="15:20">
      <c r="O7969" s="247"/>
      <c r="P7969"/>
      <c r="Q7969" s="224"/>
      <c r="S7969" s="202"/>
      <c r="T7969"/>
    </row>
    <row r="7970" spans="15:20">
      <c r="O7970" s="247"/>
      <c r="P7970"/>
      <c r="Q7970" s="224"/>
      <c r="S7970" s="202"/>
      <c r="T7970"/>
    </row>
    <row r="7971" spans="15:20">
      <c r="O7971" s="247"/>
      <c r="P7971"/>
      <c r="Q7971" s="224"/>
      <c r="S7971" s="202"/>
      <c r="T7971"/>
    </row>
    <row r="7972" spans="15:20">
      <c r="O7972" s="247"/>
      <c r="P7972"/>
      <c r="Q7972" s="224"/>
      <c r="S7972" s="202"/>
      <c r="T7972"/>
    </row>
    <row r="7973" spans="15:20">
      <c r="O7973" s="247"/>
      <c r="P7973"/>
      <c r="Q7973" s="224"/>
      <c r="S7973" s="202"/>
      <c r="T7973"/>
    </row>
    <row r="7974" spans="15:20">
      <c r="O7974" s="247"/>
      <c r="P7974"/>
      <c r="Q7974" s="224"/>
      <c r="S7974" s="202"/>
      <c r="T7974"/>
    </row>
    <row r="7975" spans="15:20">
      <c r="O7975" s="247"/>
      <c r="P7975"/>
      <c r="Q7975" s="224"/>
      <c r="S7975" s="202"/>
      <c r="T7975"/>
    </row>
    <row r="7976" spans="15:20">
      <c r="O7976" s="247"/>
      <c r="P7976"/>
      <c r="Q7976" s="224"/>
      <c r="S7976" s="202"/>
      <c r="T7976"/>
    </row>
    <row r="7977" spans="15:20">
      <c r="O7977" s="247"/>
      <c r="P7977"/>
      <c r="Q7977" s="224"/>
      <c r="S7977" s="202"/>
      <c r="T7977"/>
    </row>
    <row r="7978" spans="15:20">
      <c r="O7978" s="247"/>
      <c r="P7978"/>
      <c r="Q7978" s="224"/>
      <c r="S7978" s="202"/>
      <c r="T7978"/>
    </row>
    <row r="7979" spans="15:20">
      <c r="O7979" s="247"/>
      <c r="P7979"/>
      <c r="Q7979" s="224"/>
      <c r="S7979" s="202"/>
      <c r="T7979"/>
    </row>
    <row r="7980" spans="15:20">
      <c r="O7980" s="247"/>
      <c r="P7980"/>
      <c r="Q7980" s="224"/>
      <c r="S7980" s="202"/>
      <c r="T7980"/>
    </row>
    <row r="7981" spans="15:20">
      <c r="O7981" s="247"/>
      <c r="P7981"/>
      <c r="Q7981" s="224"/>
      <c r="S7981" s="202"/>
      <c r="T7981"/>
    </row>
    <row r="7982" spans="15:20">
      <c r="O7982" s="247"/>
      <c r="P7982"/>
      <c r="Q7982" s="224"/>
      <c r="S7982" s="202"/>
      <c r="T7982"/>
    </row>
    <row r="7983" spans="15:20">
      <c r="O7983" s="247"/>
      <c r="P7983"/>
      <c r="Q7983" s="224"/>
      <c r="S7983" s="202"/>
      <c r="T7983"/>
    </row>
    <row r="7984" spans="15:20">
      <c r="O7984" s="247"/>
      <c r="P7984"/>
      <c r="Q7984" s="224"/>
      <c r="S7984" s="202"/>
      <c r="T7984"/>
    </row>
    <row r="7985" spans="15:20">
      <c r="O7985" s="247"/>
      <c r="P7985"/>
      <c r="Q7985" s="224"/>
      <c r="S7985" s="202"/>
      <c r="T7985"/>
    </row>
    <row r="7986" spans="15:20">
      <c r="O7986" s="247"/>
      <c r="P7986"/>
      <c r="Q7986" s="224"/>
      <c r="S7986" s="202"/>
      <c r="T7986"/>
    </row>
    <row r="7987" spans="15:20">
      <c r="O7987" s="247"/>
      <c r="P7987"/>
      <c r="Q7987" s="224"/>
      <c r="S7987" s="202"/>
      <c r="T7987"/>
    </row>
    <row r="7988" spans="15:20">
      <c r="O7988" s="247"/>
      <c r="P7988"/>
      <c r="Q7988" s="224"/>
      <c r="S7988" s="202"/>
      <c r="T7988"/>
    </row>
    <row r="7989" spans="15:20">
      <c r="O7989" s="247"/>
      <c r="P7989"/>
      <c r="Q7989" s="224"/>
      <c r="S7989" s="202"/>
      <c r="T7989"/>
    </row>
    <row r="7990" spans="15:20">
      <c r="O7990" s="247"/>
      <c r="P7990"/>
      <c r="Q7990" s="224"/>
      <c r="S7990" s="202"/>
      <c r="T7990"/>
    </row>
    <row r="7991" spans="15:20">
      <c r="O7991" s="247"/>
      <c r="P7991"/>
      <c r="Q7991" s="224"/>
      <c r="S7991" s="202"/>
      <c r="T7991"/>
    </row>
    <row r="7992" spans="15:20">
      <c r="O7992" s="247"/>
      <c r="P7992"/>
      <c r="Q7992" s="224"/>
      <c r="S7992" s="202"/>
      <c r="T7992"/>
    </row>
    <row r="7993" spans="15:20">
      <c r="O7993" s="247"/>
      <c r="P7993"/>
      <c r="Q7993" s="224"/>
      <c r="S7993" s="202"/>
      <c r="T7993"/>
    </row>
    <row r="7994" spans="15:20">
      <c r="O7994" s="247"/>
      <c r="P7994"/>
      <c r="Q7994" s="224"/>
      <c r="S7994" s="202"/>
      <c r="T7994"/>
    </row>
    <row r="7995" spans="15:20">
      <c r="O7995" s="247"/>
      <c r="P7995"/>
      <c r="Q7995" s="224"/>
      <c r="S7995" s="202"/>
      <c r="T7995"/>
    </row>
    <row r="7996" spans="15:20">
      <c r="O7996" s="247"/>
      <c r="P7996"/>
      <c r="Q7996" s="224"/>
      <c r="S7996" s="202"/>
      <c r="T7996"/>
    </row>
    <row r="7997" spans="15:20">
      <c r="O7997" s="247"/>
      <c r="P7997"/>
      <c r="Q7997" s="224"/>
      <c r="S7997" s="202"/>
      <c r="T7997"/>
    </row>
    <row r="7998" spans="15:20">
      <c r="O7998" s="247"/>
      <c r="P7998"/>
      <c r="Q7998" s="224"/>
      <c r="S7998" s="202"/>
      <c r="T7998"/>
    </row>
    <row r="7999" spans="15:20">
      <c r="O7999" s="247"/>
      <c r="P7999"/>
      <c r="Q7999" s="224"/>
      <c r="S7999" s="202"/>
      <c r="T7999"/>
    </row>
    <row r="8000" spans="15:20">
      <c r="O8000" s="247"/>
      <c r="P8000"/>
      <c r="Q8000" s="224"/>
      <c r="S8000" s="202"/>
      <c r="T8000"/>
    </row>
    <row r="8001" spans="15:20">
      <c r="O8001" s="247"/>
      <c r="P8001"/>
      <c r="Q8001" s="224"/>
      <c r="S8001" s="202"/>
      <c r="T8001"/>
    </row>
    <row r="8002" spans="15:20">
      <c r="O8002" s="247"/>
      <c r="P8002"/>
      <c r="Q8002" s="224"/>
      <c r="S8002" s="202"/>
      <c r="T8002"/>
    </row>
    <row r="8003" spans="15:20">
      <c r="O8003" s="247"/>
      <c r="P8003"/>
      <c r="Q8003" s="224"/>
      <c r="S8003" s="202"/>
      <c r="T8003"/>
    </row>
    <row r="8004" spans="15:20">
      <c r="O8004" s="247"/>
      <c r="P8004"/>
      <c r="Q8004" s="224"/>
      <c r="S8004" s="202"/>
      <c r="T8004"/>
    </row>
    <row r="8005" spans="15:20">
      <c r="O8005" s="247"/>
      <c r="P8005"/>
      <c r="Q8005" s="224"/>
      <c r="S8005" s="202"/>
      <c r="T8005"/>
    </row>
    <row r="8006" spans="15:20">
      <c r="O8006" s="247"/>
      <c r="P8006"/>
      <c r="Q8006" s="224"/>
      <c r="S8006" s="202"/>
      <c r="T8006"/>
    </row>
    <row r="8007" spans="15:20">
      <c r="O8007" s="247"/>
      <c r="P8007"/>
      <c r="Q8007" s="224"/>
      <c r="S8007" s="202"/>
      <c r="T8007"/>
    </row>
    <row r="8008" spans="15:20">
      <c r="O8008" s="247"/>
      <c r="P8008"/>
      <c r="Q8008" s="224"/>
      <c r="S8008" s="202"/>
      <c r="T8008"/>
    </row>
    <row r="8009" spans="15:20">
      <c r="O8009" s="247"/>
      <c r="P8009"/>
      <c r="Q8009" s="224"/>
      <c r="S8009" s="202"/>
      <c r="T8009"/>
    </row>
    <row r="8010" spans="15:20">
      <c r="O8010" s="247"/>
      <c r="P8010"/>
      <c r="Q8010" s="224"/>
      <c r="S8010" s="202"/>
      <c r="T8010"/>
    </row>
    <row r="8011" spans="15:20">
      <c r="O8011" s="247"/>
      <c r="P8011"/>
      <c r="Q8011" s="224"/>
      <c r="S8011" s="202"/>
      <c r="T8011"/>
    </row>
    <row r="8012" spans="15:20">
      <c r="O8012" s="247"/>
      <c r="P8012"/>
      <c r="Q8012" s="224"/>
      <c r="S8012" s="202"/>
      <c r="T8012"/>
    </row>
    <row r="8013" spans="15:20">
      <c r="O8013" s="247"/>
      <c r="P8013"/>
      <c r="Q8013" s="224"/>
      <c r="S8013" s="202"/>
      <c r="T8013"/>
    </row>
    <row r="8014" spans="15:20">
      <c r="O8014" s="247"/>
      <c r="P8014"/>
      <c r="Q8014" s="224"/>
      <c r="S8014" s="202"/>
      <c r="T8014"/>
    </row>
    <row r="8015" spans="15:20">
      <c r="O8015" s="247"/>
      <c r="P8015"/>
      <c r="Q8015" s="224"/>
      <c r="S8015" s="202"/>
      <c r="T8015"/>
    </row>
    <row r="8016" spans="15:20">
      <c r="O8016" s="247"/>
      <c r="P8016"/>
      <c r="Q8016" s="224"/>
      <c r="S8016" s="202"/>
      <c r="T8016"/>
    </row>
    <row r="8017" spans="15:20">
      <c r="O8017" s="247"/>
      <c r="P8017"/>
      <c r="Q8017" s="224"/>
      <c r="S8017" s="202"/>
      <c r="T8017"/>
    </row>
    <row r="8018" spans="15:20">
      <c r="O8018" s="247"/>
      <c r="P8018"/>
      <c r="Q8018" s="224"/>
      <c r="S8018" s="202"/>
      <c r="T8018"/>
    </row>
    <row r="8019" spans="15:20">
      <c r="O8019" s="247"/>
      <c r="P8019"/>
      <c r="Q8019" s="224"/>
      <c r="S8019" s="202"/>
      <c r="T8019"/>
    </row>
    <row r="8020" spans="15:20">
      <c r="O8020" s="247"/>
      <c r="P8020"/>
      <c r="Q8020" s="224"/>
      <c r="S8020" s="202"/>
      <c r="T8020"/>
    </row>
    <row r="8021" spans="15:20">
      <c r="O8021" s="247"/>
      <c r="P8021"/>
      <c r="Q8021" s="224"/>
      <c r="S8021" s="202"/>
      <c r="T8021"/>
    </row>
    <row r="8022" spans="15:20">
      <c r="O8022" s="247"/>
      <c r="P8022"/>
      <c r="Q8022" s="224"/>
      <c r="S8022" s="202"/>
      <c r="T8022"/>
    </row>
    <row r="8023" spans="15:20">
      <c r="O8023" s="247"/>
      <c r="P8023"/>
      <c r="Q8023" s="224"/>
      <c r="S8023" s="202"/>
      <c r="T8023"/>
    </row>
    <row r="8024" spans="15:20">
      <c r="O8024" s="247"/>
      <c r="P8024"/>
      <c r="Q8024" s="224"/>
      <c r="S8024" s="202"/>
      <c r="T8024"/>
    </row>
    <row r="8025" spans="15:20">
      <c r="O8025" s="247"/>
      <c r="P8025"/>
      <c r="Q8025" s="224"/>
      <c r="S8025" s="202"/>
      <c r="T8025"/>
    </row>
    <row r="8026" spans="15:20">
      <c r="O8026" s="247"/>
      <c r="P8026"/>
      <c r="Q8026" s="224"/>
      <c r="S8026" s="202"/>
      <c r="T8026"/>
    </row>
    <row r="8027" spans="15:20">
      <c r="O8027" s="247"/>
      <c r="P8027"/>
      <c r="Q8027" s="224"/>
      <c r="S8027" s="202"/>
      <c r="T8027"/>
    </row>
    <row r="8028" spans="15:20">
      <c r="O8028" s="247"/>
      <c r="P8028"/>
      <c r="Q8028" s="224"/>
      <c r="S8028" s="202"/>
      <c r="T8028"/>
    </row>
    <row r="8029" spans="15:20">
      <c r="O8029" s="247"/>
      <c r="P8029"/>
      <c r="Q8029" s="224"/>
      <c r="S8029" s="202"/>
      <c r="T8029"/>
    </row>
    <row r="8030" spans="15:20">
      <c r="O8030" s="247"/>
      <c r="P8030"/>
      <c r="Q8030" s="224"/>
      <c r="S8030" s="202"/>
      <c r="T8030"/>
    </row>
    <row r="8031" spans="15:20">
      <c r="O8031" s="247"/>
      <c r="P8031"/>
      <c r="Q8031" s="224"/>
      <c r="S8031" s="202"/>
      <c r="T8031"/>
    </row>
    <row r="8032" spans="15:20">
      <c r="O8032" s="247"/>
      <c r="P8032"/>
      <c r="Q8032" s="224"/>
      <c r="S8032" s="202"/>
      <c r="T8032"/>
    </row>
    <row r="8033" spans="15:20">
      <c r="O8033" s="247"/>
      <c r="P8033"/>
      <c r="Q8033" s="224"/>
      <c r="S8033" s="202"/>
      <c r="T8033"/>
    </row>
    <row r="8034" spans="15:20">
      <c r="O8034" s="247"/>
      <c r="P8034"/>
      <c r="Q8034" s="224"/>
      <c r="S8034" s="202"/>
      <c r="T8034"/>
    </row>
    <row r="8035" spans="15:20">
      <c r="O8035" s="247"/>
      <c r="P8035"/>
      <c r="Q8035" s="224"/>
      <c r="S8035" s="202"/>
      <c r="T8035"/>
    </row>
    <row r="8036" spans="15:20">
      <c r="O8036" s="247"/>
      <c r="P8036"/>
      <c r="Q8036" s="224"/>
      <c r="S8036" s="202"/>
      <c r="T8036"/>
    </row>
    <row r="8037" spans="15:20">
      <c r="O8037" s="247"/>
      <c r="P8037"/>
      <c r="Q8037" s="224"/>
      <c r="S8037" s="202"/>
      <c r="T8037"/>
    </row>
    <row r="8038" spans="15:20">
      <c r="O8038" s="247"/>
      <c r="P8038"/>
      <c r="Q8038" s="224"/>
      <c r="S8038" s="202"/>
      <c r="T8038"/>
    </row>
    <row r="8039" spans="15:20">
      <c r="O8039" s="247"/>
      <c r="P8039"/>
      <c r="Q8039" s="224"/>
      <c r="S8039" s="202"/>
      <c r="T8039"/>
    </row>
    <row r="8040" spans="15:20">
      <c r="O8040" s="247"/>
      <c r="P8040"/>
      <c r="Q8040" s="224"/>
      <c r="S8040" s="202"/>
      <c r="T8040"/>
    </row>
    <row r="8041" spans="15:20">
      <c r="O8041" s="247"/>
      <c r="P8041"/>
      <c r="Q8041" s="224"/>
      <c r="S8041" s="202"/>
      <c r="T8041"/>
    </row>
    <row r="8042" spans="15:20">
      <c r="O8042" s="247"/>
      <c r="P8042"/>
      <c r="Q8042" s="224"/>
      <c r="S8042" s="202"/>
      <c r="T8042"/>
    </row>
    <row r="8043" spans="15:20">
      <c r="O8043" s="247"/>
      <c r="P8043"/>
      <c r="Q8043" s="224"/>
      <c r="S8043" s="202"/>
      <c r="T8043"/>
    </row>
    <row r="8044" spans="15:20">
      <c r="O8044" s="247"/>
      <c r="P8044"/>
      <c r="Q8044" s="224"/>
      <c r="S8044" s="202"/>
      <c r="T8044"/>
    </row>
    <row r="8045" spans="15:20">
      <c r="O8045" s="247"/>
      <c r="P8045"/>
      <c r="Q8045" s="224"/>
      <c r="S8045" s="202"/>
      <c r="T8045"/>
    </row>
    <row r="8046" spans="15:20">
      <c r="O8046" s="247"/>
      <c r="P8046"/>
      <c r="Q8046" s="224"/>
      <c r="S8046" s="202"/>
      <c r="T8046"/>
    </row>
    <row r="8047" spans="15:20">
      <c r="O8047" s="247"/>
      <c r="P8047"/>
      <c r="Q8047" s="224"/>
      <c r="S8047" s="202"/>
      <c r="T8047"/>
    </row>
    <row r="8048" spans="15:20">
      <c r="O8048" s="247"/>
      <c r="P8048"/>
      <c r="Q8048" s="224"/>
      <c r="S8048" s="202"/>
      <c r="T8048"/>
    </row>
    <row r="8049" spans="15:20">
      <c r="O8049" s="247"/>
      <c r="P8049"/>
      <c r="Q8049" s="224"/>
      <c r="S8049" s="202"/>
      <c r="T8049"/>
    </row>
    <row r="8050" spans="15:20">
      <c r="O8050" s="247"/>
      <c r="P8050"/>
      <c r="Q8050" s="224"/>
      <c r="S8050" s="202"/>
      <c r="T8050"/>
    </row>
    <row r="8051" spans="15:20">
      <c r="O8051" s="247"/>
      <c r="P8051"/>
      <c r="Q8051" s="224"/>
      <c r="S8051" s="202"/>
      <c r="T8051"/>
    </row>
    <row r="8052" spans="15:20">
      <c r="O8052" s="247"/>
      <c r="P8052"/>
      <c r="Q8052" s="224"/>
      <c r="S8052" s="202"/>
      <c r="T8052"/>
    </row>
    <row r="8053" spans="15:20">
      <c r="O8053" s="247"/>
      <c r="P8053"/>
      <c r="Q8053" s="224"/>
      <c r="S8053" s="202"/>
      <c r="T8053"/>
    </row>
    <row r="8054" spans="15:20">
      <c r="O8054" s="247"/>
      <c r="P8054"/>
      <c r="Q8054" s="224"/>
      <c r="S8054" s="202"/>
      <c r="T8054"/>
    </row>
    <row r="8055" spans="15:20">
      <c r="O8055" s="247"/>
      <c r="P8055"/>
      <c r="Q8055" s="224"/>
      <c r="S8055" s="202"/>
      <c r="T8055"/>
    </row>
    <row r="8056" spans="15:20">
      <c r="O8056" s="247"/>
      <c r="P8056"/>
      <c r="Q8056" s="224"/>
      <c r="S8056" s="202"/>
      <c r="T8056"/>
    </row>
    <row r="8057" spans="15:20">
      <c r="O8057" s="247"/>
      <c r="P8057"/>
      <c r="Q8057" s="224"/>
      <c r="S8057" s="202"/>
      <c r="T8057"/>
    </row>
    <row r="8058" spans="15:20">
      <c r="O8058" s="247"/>
      <c r="P8058"/>
      <c r="Q8058" s="224"/>
      <c r="S8058" s="202"/>
      <c r="T8058"/>
    </row>
    <row r="8059" spans="15:20">
      <c r="O8059" s="247"/>
      <c r="P8059"/>
      <c r="Q8059" s="224"/>
      <c r="S8059" s="202"/>
      <c r="T8059"/>
    </row>
    <row r="8060" spans="15:20">
      <c r="O8060" s="247"/>
      <c r="P8060"/>
      <c r="Q8060" s="224"/>
      <c r="S8060" s="202"/>
      <c r="T8060"/>
    </row>
    <row r="8061" spans="15:20">
      <c r="O8061" s="247"/>
      <c r="P8061"/>
      <c r="Q8061" s="224"/>
      <c r="S8061" s="202"/>
      <c r="T8061"/>
    </row>
    <row r="8062" spans="15:20">
      <c r="O8062" s="247"/>
      <c r="P8062"/>
      <c r="Q8062" s="224"/>
      <c r="S8062" s="202"/>
      <c r="T8062"/>
    </row>
    <row r="8063" spans="15:20">
      <c r="O8063" s="247"/>
      <c r="P8063"/>
      <c r="Q8063" s="224"/>
      <c r="S8063" s="202"/>
      <c r="T8063"/>
    </row>
    <row r="8064" spans="15:20">
      <c r="O8064" s="247"/>
      <c r="P8064"/>
      <c r="Q8064" s="224"/>
      <c r="S8064" s="202"/>
      <c r="T8064"/>
    </row>
    <row r="8065" spans="15:20">
      <c r="O8065" s="247"/>
      <c r="P8065"/>
      <c r="Q8065" s="224"/>
      <c r="S8065" s="202"/>
      <c r="T8065"/>
    </row>
    <row r="8066" spans="15:20">
      <c r="O8066" s="247"/>
      <c r="P8066"/>
      <c r="Q8066" s="224"/>
      <c r="S8066" s="202"/>
      <c r="T8066"/>
    </row>
    <row r="8067" spans="15:20">
      <c r="O8067" s="247"/>
      <c r="P8067"/>
      <c r="Q8067" s="224"/>
      <c r="S8067" s="202"/>
      <c r="T8067"/>
    </row>
    <row r="8068" spans="15:20">
      <c r="O8068" s="247"/>
      <c r="P8068"/>
      <c r="Q8068" s="224"/>
      <c r="S8068" s="202"/>
      <c r="T8068"/>
    </row>
    <row r="8069" spans="15:20">
      <c r="O8069" s="247"/>
      <c r="P8069"/>
      <c r="Q8069" s="224"/>
      <c r="S8069" s="202"/>
      <c r="T8069"/>
    </row>
    <row r="8070" spans="15:20">
      <c r="O8070" s="247"/>
      <c r="P8070"/>
      <c r="Q8070" s="224"/>
      <c r="S8070" s="202"/>
      <c r="T8070"/>
    </row>
    <row r="8071" spans="15:20">
      <c r="O8071" s="247"/>
      <c r="P8071"/>
      <c r="Q8071" s="224"/>
      <c r="S8071" s="202"/>
      <c r="T8071"/>
    </row>
    <row r="8072" spans="15:20">
      <c r="O8072" s="247"/>
      <c r="P8072"/>
      <c r="Q8072" s="224"/>
      <c r="S8072" s="202"/>
      <c r="T8072"/>
    </row>
    <row r="8073" spans="15:20">
      <c r="O8073" s="247"/>
      <c r="P8073"/>
      <c r="Q8073" s="224"/>
      <c r="S8073" s="202"/>
      <c r="T8073"/>
    </row>
    <row r="8074" spans="15:20">
      <c r="O8074" s="247"/>
      <c r="P8074"/>
      <c r="Q8074" s="224"/>
      <c r="S8074" s="202"/>
      <c r="T8074"/>
    </row>
    <row r="8075" spans="15:20">
      <c r="O8075" s="247"/>
      <c r="P8075"/>
      <c r="Q8075" s="224"/>
      <c r="S8075" s="202"/>
      <c r="T8075"/>
    </row>
    <row r="8076" spans="15:20">
      <c r="O8076" s="247"/>
      <c r="P8076"/>
      <c r="Q8076" s="224"/>
      <c r="S8076" s="202"/>
      <c r="T8076"/>
    </row>
    <row r="8077" spans="15:20">
      <c r="O8077" s="247"/>
      <c r="P8077"/>
      <c r="Q8077" s="224"/>
      <c r="S8077" s="202"/>
      <c r="T8077"/>
    </row>
    <row r="8078" spans="15:20">
      <c r="O8078" s="247"/>
      <c r="P8078"/>
      <c r="Q8078" s="224"/>
      <c r="S8078" s="202"/>
      <c r="T8078"/>
    </row>
    <row r="8079" spans="15:20">
      <c r="O8079" s="247"/>
      <c r="P8079"/>
      <c r="Q8079" s="224"/>
      <c r="S8079" s="202"/>
      <c r="T8079"/>
    </row>
    <row r="8080" spans="15:20">
      <c r="O8080" s="247"/>
      <c r="P8080"/>
      <c r="Q8080" s="224"/>
      <c r="S8080" s="202"/>
      <c r="T8080"/>
    </row>
    <row r="8081" spans="15:20">
      <c r="O8081" s="247"/>
      <c r="P8081"/>
      <c r="Q8081" s="224"/>
      <c r="S8081" s="202"/>
      <c r="T8081"/>
    </row>
    <row r="8082" spans="15:20">
      <c r="O8082" s="247"/>
      <c r="P8082"/>
      <c r="Q8082" s="224"/>
      <c r="S8082" s="202"/>
      <c r="T8082"/>
    </row>
    <row r="8083" spans="15:20">
      <c r="O8083" s="247"/>
      <c r="P8083"/>
      <c r="Q8083" s="224"/>
      <c r="S8083" s="202"/>
      <c r="T8083"/>
    </row>
    <row r="8084" spans="15:20">
      <c r="O8084" s="247"/>
      <c r="P8084"/>
      <c r="Q8084" s="224"/>
      <c r="S8084" s="202"/>
      <c r="T8084"/>
    </row>
    <row r="8085" spans="15:20">
      <c r="O8085" s="247"/>
      <c r="P8085"/>
      <c r="Q8085" s="224"/>
      <c r="S8085" s="202"/>
      <c r="T8085"/>
    </row>
    <row r="8086" spans="15:20">
      <c r="O8086" s="247"/>
      <c r="P8086"/>
      <c r="Q8086" s="224"/>
      <c r="S8086" s="202"/>
      <c r="T8086"/>
    </row>
    <row r="8087" spans="15:20">
      <c r="O8087" s="247"/>
      <c r="P8087"/>
      <c r="Q8087" s="224"/>
      <c r="S8087" s="202"/>
      <c r="T8087"/>
    </row>
    <row r="8088" spans="15:20">
      <c r="O8088" s="247"/>
      <c r="P8088"/>
      <c r="Q8088" s="224"/>
      <c r="S8088" s="202"/>
      <c r="T8088"/>
    </row>
    <row r="8089" spans="15:20">
      <c r="O8089" s="247"/>
      <c r="P8089"/>
      <c r="Q8089" s="224"/>
      <c r="S8089" s="202"/>
      <c r="T8089"/>
    </row>
    <row r="8090" spans="15:20">
      <c r="O8090" s="247"/>
      <c r="P8090"/>
      <c r="Q8090" s="224"/>
      <c r="S8090" s="202"/>
      <c r="T8090"/>
    </row>
    <row r="8091" spans="15:20">
      <c r="O8091" s="247"/>
      <c r="P8091"/>
      <c r="Q8091" s="224"/>
      <c r="S8091" s="202"/>
      <c r="T8091"/>
    </row>
    <row r="8092" spans="15:20">
      <c r="O8092" s="247"/>
      <c r="P8092"/>
      <c r="Q8092" s="224"/>
      <c r="S8092" s="202"/>
      <c r="T8092"/>
    </row>
    <row r="8093" spans="15:20">
      <c r="O8093" s="247"/>
      <c r="P8093"/>
      <c r="Q8093" s="224"/>
      <c r="S8093" s="202"/>
      <c r="T8093"/>
    </row>
    <row r="8094" spans="15:20">
      <c r="O8094" s="247"/>
      <c r="P8094"/>
      <c r="Q8094" s="224"/>
      <c r="S8094" s="202"/>
      <c r="T8094"/>
    </row>
    <row r="8095" spans="15:20">
      <c r="O8095" s="247"/>
      <c r="P8095"/>
      <c r="Q8095" s="224"/>
      <c r="S8095" s="202"/>
      <c r="T8095"/>
    </row>
    <row r="8096" spans="15:20">
      <c r="O8096" s="247"/>
      <c r="P8096"/>
      <c r="Q8096" s="224"/>
      <c r="S8096" s="202"/>
      <c r="T8096"/>
    </row>
    <row r="8097" spans="15:20">
      <c r="O8097" s="247"/>
      <c r="P8097"/>
      <c r="Q8097" s="224"/>
      <c r="S8097" s="202"/>
      <c r="T8097"/>
    </row>
    <row r="8098" spans="15:20">
      <c r="O8098" s="247"/>
      <c r="P8098"/>
      <c r="Q8098" s="224"/>
      <c r="S8098" s="202"/>
      <c r="T8098"/>
    </row>
    <row r="8099" spans="15:20">
      <c r="O8099" s="247"/>
      <c r="P8099"/>
      <c r="Q8099" s="224"/>
      <c r="S8099" s="202"/>
      <c r="T8099"/>
    </row>
    <row r="8100" spans="15:20">
      <c r="O8100" s="247"/>
      <c r="P8100"/>
      <c r="Q8100" s="224"/>
      <c r="S8100" s="202"/>
      <c r="T8100"/>
    </row>
    <row r="8101" spans="15:20">
      <c r="O8101" s="247"/>
      <c r="P8101"/>
      <c r="Q8101" s="224"/>
      <c r="S8101" s="202"/>
      <c r="T8101"/>
    </row>
    <row r="8102" spans="15:20">
      <c r="O8102" s="247"/>
      <c r="P8102"/>
      <c r="Q8102" s="224"/>
      <c r="S8102" s="202"/>
      <c r="T8102"/>
    </row>
    <row r="8103" spans="15:20">
      <c r="O8103" s="247"/>
      <c r="P8103"/>
      <c r="Q8103" s="224"/>
      <c r="S8103" s="202"/>
      <c r="T8103"/>
    </row>
    <row r="8104" spans="15:20">
      <c r="O8104" s="247"/>
      <c r="P8104"/>
      <c r="Q8104" s="224"/>
      <c r="S8104" s="202"/>
      <c r="T8104"/>
    </row>
    <row r="8105" spans="15:20">
      <c r="O8105" s="247"/>
      <c r="P8105"/>
      <c r="Q8105" s="224"/>
      <c r="S8105" s="202"/>
      <c r="T8105"/>
    </row>
    <row r="8106" spans="15:20">
      <c r="O8106" s="247"/>
      <c r="P8106"/>
      <c r="Q8106" s="224"/>
      <c r="S8106" s="202"/>
      <c r="T8106"/>
    </row>
    <row r="8107" spans="15:20">
      <c r="O8107" s="247"/>
      <c r="P8107"/>
      <c r="Q8107" s="224"/>
      <c r="S8107" s="202"/>
      <c r="T8107"/>
    </row>
    <row r="8108" spans="15:20">
      <c r="O8108" s="247"/>
      <c r="P8108"/>
      <c r="Q8108" s="224"/>
      <c r="S8108" s="202"/>
      <c r="T8108"/>
    </row>
    <row r="8109" spans="15:20">
      <c r="O8109" s="247"/>
      <c r="P8109"/>
      <c r="Q8109" s="224"/>
      <c r="S8109" s="202"/>
      <c r="T8109"/>
    </row>
    <row r="8110" spans="15:20">
      <c r="O8110" s="247"/>
      <c r="P8110"/>
      <c r="Q8110" s="224"/>
      <c r="S8110" s="202"/>
      <c r="T8110"/>
    </row>
    <row r="8111" spans="15:20">
      <c r="O8111" s="247"/>
      <c r="P8111"/>
      <c r="Q8111" s="224"/>
      <c r="S8111" s="202"/>
      <c r="T8111"/>
    </row>
    <row r="8112" spans="15:20">
      <c r="O8112" s="247"/>
      <c r="P8112"/>
      <c r="Q8112" s="224"/>
      <c r="S8112" s="202"/>
      <c r="T8112"/>
    </row>
    <row r="8113" spans="15:20">
      <c r="O8113" s="247"/>
      <c r="P8113"/>
      <c r="Q8113" s="224"/>
      <c r="S8113" s="202"/>
      <c r="T8113"/>
    </row>
    <row r="8114" spans="15:20">
      <c r="O8114" s="247"/>
      <c r="P8114"/>
      <c r="Q8114" s="224"/>
      <c r="S8114" s="202"/>
      <c r="T8114"/>
    </row>
    <row r="8115" spans="15:20">
      <c r="O8115" s="247"/>
      <c r="P8115"/>
      <c r="Q8115" s="224"/>
      <c r="S8115" s="202"/>
      <c r="T8115"/>
    </row>
    <row r="8116" spans="15:20">
      <c r="O8116" s="247"/>
      <c r="P8116"/>
      <c r="Q8116" s="224"/>
      <c r="S8116" s="202"/>
      <c r="T8116"/>
    </row>
    <row r="8117" spans="15:20">
      <c r="O8117" s="247"/>
      <c r="P8117"/>
      <c r="Q8117" s="224"/>
      <c r="S8117" s="202"/>
      <c r="T8117"/>
    </row>
    <row r="8118" spans="15:20">
      <c r="O8118" s="247"/>
      <c r="P8118"/>
      <c r="Q8118" s="224"/>
      <c r="S8118" s="202"/>
      <c r="T8118"/>
    </row>
    <row r="8119" spans="15:20">
      <c r="O8119" s="247"/>
      <c r="P8119"/>
      <c r="Q8119" s="224"/>
      <c r="S8119" s="202"/>
      <c r="T8119"/>
    </row>
    <row r="8120" spans="15:20">
      <c r="O8120" s="247"/>
      <c r="P8120"/>
      <c r="Q8120" s="224"/>
      <c r="S8120" s="202"/>
      <c r="T8120"/>
    </row>
    <row r="8121" spans="15:20">
      <c r="O8121" s="247"/>
      <c r="P8121"/>
      <c r="Q8121" s="224"/>
      <c r="S8121" s="202"/>
      <c r="T8121"/>
    </row>
    <row r="8122" spans="15:20">
      <c r="O8122" s="247"/>
      <c r="P8122"/>
      <c r="Q8122" s="224"/>
      <c r="S8122" s="202"/>
      <c r="T8122"/>
    </row>
    <row r="8123" spans="15:20">
      <c r="O8123" s="247"/>
      <c r="P8123"/>
      <c r="Q8123" s="224"/>
      <c r="S8123" s="202"/>
      <c r="T8123"/>
    </row>
    <row r="8124" spans="15:20">
      <c r="O8124" s="247"/>
      <c r="P8124"/>
      <c r="Q8124" s="224"/>
      <c r="S8124" s="202"/>
      <c r="T8124"/>
    </row>
    <row r="8125" spans="15:20">
      <c r="O8125" s="247"/>
      <c r="P8125"/>
      <c r="Q8125" s="224"/>
      <c r="S8125" s="202"/>
      <c r="T8125"/>
    </row>
    <row r="8126" spans="15:20">
      <c r="O8126" s="247"/>
      <c r="P8126"/>
      <c r="Q8126" s="224"/>
      <c r="S8126" s="202"/>
      <c r="T8126"/>
    </row>
    <row r="8127" spans="15:20">
      <c r="O8127" s="247"/>
      <c r="P8127"/>
      <c r="Q8127" s="224"/>
      <c r="S8127" s="202"/>
      <c r="T8127"/>
    </row>
    <row r="8128" spans="15:20">
      <c r="O8128" s="247"/>
      <c r="P8128"/>
      <c r="Q8128" s="224"/>
      <c r="S8128" s="202"/>
      <c r="T8128"/>
    </row>
    <row r="8129" spans="15:20">
      <c r="O8129" s="247"/>
      <c r="P8129"/>
      <c r="Q8129" s="224"/>
      <c r="S8129" s="202"/>
      <c r="T8129"/>
    </row>
    <row r="8130" spans="15:20">
      <c r="O8130" s="247"/>
      <c r="P8130"/>
      <c r="Q8130" s="224"/>
      <c r="S8130" s="202"/>
      <c r="T8130"/>
    </row>
    <row r="8131" spans="15:20">
      <c r="O8131" s="247"/>
      <c r="P8131"/>
      <c r="Q8131" s="224"/>
      <c r="S8131" s="202"/>
      <c r="T8131"/>
    </row>
    <row r="8132" spans="15:20">
      <c r="O8132" s="247"/>
      <c r="P8132"/>
      <c r="Q8132" s="224"/>
      <c r="S8132" s="202"/>
      <c r="T8132"/>
    </row>
    <row r="8133" spans="15:20">
      <c r="O8133" s="247"/>
      <c r="P8133"/>
      <c r="Q8133" s="224"/>
      <c r="S8133" s="202"/>
      <c r="T8133"/>
    </row>
    <row r="8134" spans="15:20">
      <c r="O8134" s="247"/>
      <c r="P8134"/>
      <c r="Q8134" s="224"/>
      <c r="S8134" s="202"/>
      <c r="T8134"/>
    </row>
    <row r="8135" spans="15:20">
      <c r="O8135" s="247"/>
      <c r="P8135"/>
      <c r="Q8135" s="224"/>
      <c r="S8135" s="202"/>
      <c r="T8135"/>
    </row>
    <row r="8136" spans="15:20">
      <c r="O8136" s="247"/>
      <c r="P8136"/>
      <c r="Q8136" s="224"/>
      <c r="S8136" s="202"/>
      <c r="T8136"/>
    </row>
    <row r="8137" spans="15:20">
      <c r="O8137" s="247"/>
      <c r="P8137"/>
      <c r="Q8137" s="224"/>
      <c r="S8137" s="202"/>
      <c r="T8137"/>
    </row>
    <row r="8138" spans="15:20">
      <c r="O8138" s="247"/>
      <c r="P8138"/>
      <c r="Q8138" s="224"/>
      <c r="S8138" s="202"/>
      <c r="T8138"/>
    </row>
    <row r="8139" spans="15:20">
      <c r="O8139" s="247"/>
      <c r="P8139"/>
      <c r="Q8139" s="224"/>
      <c r="S8139" s="202"/>
      <c r="T8139"/>
    </row>
    <row r="8140" spans="15:20">
      <c r="O8140" s="247"/>
      <c r="P8140"/>
      <c r="Q8140" s="224"/>
      <c r="S8140" s="202"/>
      <c r="T8140"/>
    </row>
    <row r="8141" spans="15:20">
      <c r="O8141" s="247"/>
      <c r="P8141"/>
      <c r="Q8141" s="224"/>
      <c r="S8141" s="202"/>
      <c r="T8141"/>
    </row>
    <row r="8142" spans="15:20">
      <c r="O8142" s="247"/>
      <c r="P8142"/>
      <c r="Q8142" s="224"/>
      <c r="S8142" s="202"/>
      <c r="T8142"/>
    </row>
    <row r="8143" spans="15:20">
      <c r="O8143" s="247"/>
      <c r="P8143"/>
      <c r="Q8143" s="224"/>
      <c r="S8143" s="202"/>
      <c r="T8143"/>
    </row>
    <row r="8144" spans="15:20">
      <c r="O8144" s="247"/>
      <c r="P8144"/>
      <c r="Q8144" s="224"/>
      <c r="S8144" s="202"/>
      <c r="T8144"/>
    </row>
    <row r="8145" spans="15:20">
      <c r="O8145" s="247"/>
      <c r="P8145"/>
      <c r="Q8145" s="224"/>
      <c r="S8145" s="202"/>
      <c r="T8145"/>
    </row>
    <row r="8146" spans="15:20">
      <c r="O8146" s="247"/>
      <c r="P8146"/>
      <c r="Q8146" s="224"/>
      <c r="S8146" s="202"/>
      <c r="T8146"/>
    </row>
    <row r="8147" spans="15:20">
      <c r="O8147" s="247"/>
      <c r="P8147"/>
      <c r="Q8147" s="224"/>
      <c r="S8147" s="202"/>
      <c r="T8147"/>
    </row>
    <row r="8148" spans="15:20">
      <c r="O8148" s="247"/>
      <c r="P8148"/>
      <c r="Q8148" s="224"/>
      <c r="S8148" s="202"/>
      <c r="T8148"/>
    </row>
    <row r="8149" spans="15:20">
      <c r="O8149" s="247"/>
      <c r="P8149"/>
      <c r="Q8149" s="224"/>
      <c r="S8149" s="202"/>
      <c r="T8149"/>
    </row>
    <row r="8150" spans="15:20">
      <c r="O8150" s="247"/>
      <c r="P8150"/>
      <c r="Q8150" s="224"/>
      <c r="S8150" s="202"/>
      <c r="T8150"/>
    </row>
    <row r="8151" spans="15:20">
      <c r="O8151" s="247"/>
      <c r="P8151"/>
      <c r="Q8151" s="224"/>
      <c r="S8151" s="202"/>
      <c r="T8151"/>
    </row>
    <row r="8152" spans="15:20">
      <c r="O8152" s="247"/>
      <c r="P8152"/>
      <c r="Q8152" s="224"/>
      <c r="S8152" s="202"/>
      <c r="T8152"/>
    </row>
    <row r="8153" spans="15:20">
      <c r="O8153" s="247"/>
      <c r="P8153"/>
      <c r="Q8153" s="224"/>
      <c r="S8153" s="202"/>
      <c r="T8153"/>
    </row>
    <row r="8154" spans="15:20">
      <c r="O8154" s="247"/>
      <c r="P8154"/>
      <c r="Q8154" s="224"/>
      <c r="S8154" s="202"/>
      <c r="T8154"/>
    </row>
    <row r="8155" spans="15:20">
      <c r="O8155" s="247"/>
      <c r="P8155"/>
      <c r="Q8155" s="224"/>
      <c r="S8155" s="202"/>
      <c r="T8155"/>
    </row>
    <row r="8156" spans="15:20">
      <c r="O8156" s="247"/>
      <c r="P8156"/>
      <c r="Q8156" s="224"/>
      <c r="S8156" s="202"/>
      <c r="T8156"/>
    </row>
    <row r="8157" spans="15:20">
      <c r="O8157" s="247"/>
      <c r="P8157"/>
      <c r="Q8157" s="224"/>
      <c r="S8157" s="202"/>
      <c r="T8157"/>
    </row>
    <row r="8158" spans="15:20">
      <c r="O8158" s="247"/>
      <c r="P8158"/>
      <c r="Q8158" s="224"/>
      <c r="S8158" s="202"/>
      <c r="T8158"/>
    </row>
    <row r="8159" spans="15:20">
      <c r="O8159" s="247"/>
      <c r="P8159"/>
      <c r="Q8159" s="224"/>
      <c r="S8159" s="202"/>
      <c r="T8159"/>
    </row>
    <row r="8160" spans="15:20">
      <c r="O8160" s="247"/>
      <c r="P8160"/>
      <c r="Q8160" s="224"/>
      <c r="S8160" s="202"/>
      <c r="T8160"/>
    </row>
    <row r="8161" spans="15:20">
      <c r="O8161" s="247"/>
      <c r="P8161"/>
      <c r="Q8161" s="224"/>
      <c r="S8161" s="202"/>
      <c r="T8161"/>
    </row>
    <row r="8162" spans="15:20">
      <c r="O8162" s="247"/>
      <c r="P8162"/>
      <c r="Q8162" s="224"/>
      <c r="S8162" s="202"/>
      <c r="T8162"/>
    </row>
    <row r="8163" spans="15:20">
      <c r="O8163" s="247"/>
      <c r="P8163"/>
      <c r="Q8163" s="224"/>
      <c r="S8163" s="202"/>
      <c r="T8163"/>
    </row>
    <row r="8164" spans="15:20">
      <c r="O8164" s="247"/>
      <c r="P8164"/>
      <c r="Q8164" s="224"/>
      <c r="S8164" s="202"/>
      <c r="T8164"/>
    </row>
    <row r="8165" spans="15:20">
      <c r="O8165" s="247"/>
      <c r="P8165"/>
      <c r="Q8165" s="224"/>
      <c r="S8165" s="202"/>
      <c r="T8165"/>
    </row>
    <row r="8166" spans="15:20">
      <c r="O8166" s="247"/>
      <c r="P8166"/>
      <c r="Q8166" s="224"/>
      <c r="S8166" s="202"/>
      <c r="T8166"/>
    </row>
    <row r="8167" spans="15:20">
      <c r="O8167" s="247"/>
      <c r="P8167"/>
      <c r="Q8167" s="224"/>
      <c r="S8167" s="202"/>
      <c r="T8167"/>
    </row>
    <row r="8168" spans="15:20">
      <c r="O8168" s="247"/>
      <c r="P8168"/>
      <c r="Q8168" s="224"/>
      <c r="S8168" s="202"/>
      <c r="T8168"/>
    </row>
    <row r="8169" spans="15:20">
      <c r="O8169" s="247"/>
      <c r="P8169"/>
      <c r="Q8169" s="224"/>
      <c r="S8169" s="202"/>
      <c r="T8169"/>
    </row>
    <row r="8170" spans="15:20">
      <c r="O8170" s="247"/>
      <c r="P8170"/>
      <c r="Q8170" s="224"/>
      <c r="S8170" s="202"/>
      <c r="T8170"/>
    </row>
    <row r="8171" spans="15:20">
      <c r="O8171" s="247"/>
      <c r="P8171"/>
      <c r="Q8171" s="224"/>
      <c r="S8171" s="202"/>
      <c r="T8171"/>
    </row>
    <row r="8172" spans="15:20">
      <c r="O8172" s="247"/>
      <c r="P8172"/>
      <c r="Q8172" s="224"/>
      <c r="S8172" s="202"/>
      <c r="T8172"/>
    </row>
    <row r="8173" spans="15:20">
      <c r="O8173" s="247"/>
      <c r="P8173"/>
      <c r="Q8173" s="224"/>
      <c r="S8173" s="202"/>
      <c r="T8173"/>
    </row>
    <row r="8174" spans="15:20">
      <c r="O8174" s="247"/>
      <c r="P8174"/>
      <c r="Q8174" s="224"/>
      <c r="S8174" s="202"/>
      <c r="T8174"/>
    </row>
    <row r="8175" spans="15:20">
      <c r="O8175" s="247"/>
      <c r="P8175"/>
      <c r="Q8175" s="224"/>
      <c r="S8175" s="202"/>
      <c r="T8175"/>
    </row>
    <row r="8176" spans="15:20">
      <c r="O8176" s="247"/>
      <c r="P8176"/>
      <c r="Q8176" s="224"/>
      <c r="S8176" s="202"/>
      <c r="T8176"/>
    </row>
    <row r="8177" spans="15:20">
      <c r="O8177" s="247"/>
      <c r="P8177"/>
      <c r="Q8177" s="224"/>
      <c r="S8177" s="202"/>
      <c r="T8177"/>
    </row>
    <row r="8178" spans="15:20">
      <c r="O8178" s="247"/>
      <c r="P8178"/>
      <c r="Q8178" s="224"/>
      <c r="S8178" s="202"/>
      <c r="T8178"/>
    </row>
    <row r="8179" spans="15:20">
      <c r="O8179" s="247"/>
      <c r="P8179"/>
      <c r="Q8179" s="224"/>
      <c r="S8179" s="202"/>
      <c r="T8179"/>
    </row>
    <row r="8180" spans="15:20">
      <c r="O8180" s="247"/>
      <c r="P8180"/>
      <c r="Q8180" s="224"/>
      <c r="S8180" s="202"/>
      <c r="T8180"/>
    </row>
    <row r="8181" spans="15:20">
      <c r="O8181" s="247"/>
      <c r="P8181"/>
      <c r="Q8181" s="224"/>
      <c r="S8181" s="202"/>
      <c r="T8181"/>
    </row>
    <row r="8182" spans="15:20">
      <c r="O8182" s="247"/>
      <c r="P8182"/>
      <c r="Q8182" s="224"/>
      <c r="S8182" s="202"/>
      <c r="T8182"/>
    </row>
    <row r="8183" spans="15:20">
      <c r="O8183" s="247"/>
      <c r="P8183"/>
      <c r="Q8183" s="224"/>
      <c r="S8183" s="202"/>
      <c r="T8183"/>
    </row>
    <row r="8184" spans="15:20">
      <c r="O8184" s="247"/>
      <c r="P8184"/>
      <c r="Q8184" s="224"/>
      <c r="S8184" s="202"/>
      <c r="T8184"/>
    </row>
    <row r="8185" spans="15:20">
      <c r="O8185" s="247"/>
      <c r="P8185"/>
      <c r="Q8185" s="224"/>
      <c r="S8185" s="202"/>
      <c r="T8185"/>
    </row>
    <row r="8186" spans="15:20">
      <c r="O8186" s="247"/>
      <c r="P8186"/>
      <c r="Q8186" s="224"/>
      <c r="S8186" s="202"/>
      <c r="T8186"/>
    </row>
    <row r="8187" spans="15:20">
      <c r="O8187" s="247"/>
      <c r="P8187"/>
      <c r="Q8187" s="224"/>
      <c r="S8187" s="202"/>
      <c r="T8187"/>
    </row>
    <row r="8188" spans="15:20">
      <c r="O8188" s="247"/>
      <c r="P8188"/>
      <c r="Q8188" s="224"/>
      <c r="S8188" s="202"/>
      <c r="T8188"/>
    </row>
    <row r="8189" spans="15:20">
      <c r="O8189" s="247"/>
      <c r="P8189"/>
      <c r="Q8189" s="224"/>
      <c r="S8189" s="202"/>
      <c r="T8189"/>
    </row>
    <row r="8190" spans="15:20">
      <c r="O8190" s="247"/>
      <c r="P8190"/>
      <c r="Q8190" s="224"/>
      <c r="S8190" s="202"/>
      <c r="T8190"/>
    </row>
    <row r="8191" spans="15:20">
      <c r="O8191" s="247"/>
      <c r="P8191"/>
      <c r="Q8191" s="224"/>
      <c r="S8191" s="202"/>
      <c r="T8191"/>
    </row>
    <row r="8192" spans="15:20">
      <c r="O8192" s="247"/>
      <c r="P8192"/>
      <c r="Q8192" s="224"/>
      <c r="S8192" s="202"/>
      <c r="T8192"/>
    </row>
    <row r="8193" spans="15:20">
      <c r="O8193" s="247"/>
      <c r="P8193"/>
      <c r="Q8193" s="224"/>
      <c r="S8193" s="202"/>
      <c r="T8193"/>
    </row>
    <row r="8194" spans="15:20">
      <c r="O8194" s="247"/>
      <c r="P8194"/>
      <c r="Q8194" s="224"/>
      <c r="S8194" s="202"/>
      <c r="T8194"/>
    </row>
    <row r="8195" spans="15:20">
      <c r="O8195" s="247"/>
      <c r="P8195"/>
      <c r="Q8195" s="224"/>
      <c r="S8195" s="202"/>
      <c r="T8195"/>
    </row>
    <row r="8196" spans="15:20">
      <c r="O8196" s="247"/>
      <c r="P8196"/>
      <c r="Q8196" s="224"/>
      <c r="S8196" s="202"/>
      <c r="T8196"/>
    </row>
    <row r="8197" spans="15:20">
      <c r="O8197" s="247"/>
      <c r="P8197"/>
      <c r="Q8197" s="224"/>
      <c r="S8197" s="202"/>
      <c r="T8197"/>
    </row>
    <row r="8198" spans="15:20">
      <c r="O8198" s="247"/>
      <c r="P8198"/>
      <c r="Q8198" s="224"/>
      <c r="S8198" s="202"/>
      <c r="T8198"/>
    </row>
    <row r="8199" spans="15:20">
      <c r="O8199" s="247"/>
      <c r="P8199"/>
      <c r="Q8199" s="224"/>
      <c r="S8199" s="202"/>
      <c r="T8199"/>
    </row>
    <row r="8200" spans="15:20">
      <c r="O8200" s="247"/>
      <c r="P8200"/>
      <c r="Q8200" s="224"/>
      <c r="S8200" s="202"/>
      <c r="T8200"/>
    </row>
    <row r="8201" spans="15:20">
      <c r="O8201" s="247"/>
      <c r="P8201"/>
      <c r="Q8201" s="224"/>
      <c r="S8201" s="202"/>
      <c r="T8201"/>
    </row>
    <row r="8202" spans="15:20">
      <c r="O8202" s="247"/>
      <c r="P8202"/>
      <c r="Q8202" s="224"/>
      <c r="S8202" s="202"/>
      <c r="T8202"/>
    </row>
    <row r="8203" spans="15:20">
      <c r="O8203" s="247"/>
      <c r="P8203"/>
      <c r="Q8203" s="224"/>
      <c r="S8203" s="202"/>
      <c r="T8203"/>
    </row>
    <row r="8204" spans="15:20">
      <c r="O8204" s="247"/>
      <c r="P8204"/>
      <c r="Q8204" s="224"/>
      <c r="S8204" s="202"/>
      <c r="T8204"/>
    </row>
    <row r="8205" spans="15:20">
      <c r="O8205" s="247"/>
      <c r="P8205"/>
      <c r="Q8205" s="224"/>
      <c r="S8205" s="202"/>
      <c r="T8205"/>
    </row>
    <row r="8206" spans="15:20">
      <c r="O8206" s="247"/>
      <c r="P8206"/>
      <c r="Q8206" s="224"/>
      <c r="S8206" s="202"/>
      <c r="T8206"/>
    </row>
    <row r="8207" spans="15:20">
      <c r="O8207" s="247"/>
      <c r="P8207"/>
      <c r="Q8207" s="224"/>
      <c r="S8207" s="202"/>
      <c r="T8207"/>
    </row>
    <row r="8208" spans="15:20">
      <c r="O8208" s="247"/>
      <c r="P8208"/>
      <c r="Q8208" s="224"/>
      <c r="S8208" s="202"/>
      <c r="T8208"/>
    </row>
    <row r="8209" spans="15:20">
      <c r="O8209" s="247"/>
      <c r="P8209"/>
      <c r="Q8209" s="224"/>
      <c r="S8209" s="202"/>
      <c r="T8209"/>
    </row>
    <row r="8210" spans="15:20">
      <c r="O8210" s="247"/>
      <c r="P8210"/>
      <c r="Q8210" s="224"/>
      <c r="S8210" s="202"/>
      <c r="T8210"/>
    </row>
    <row r="8211" spans="15:20">
      <c r="O8211" s="247"/>
      <c r="P8211"/>
      <c r="Q8211" s="224"/>
      <c r="S8211" s="202"/>
      <c r="T8211"/>
    </row>
    <row r="8212" spans="15:20">
      <c r="O8212" s="247"/>
      <c r="P8212"/>
      <c r="Q8212" s="224"/>
      <c r="S8212" s="202"/>
      <c r="T8212"/>
    </row>
    <row r="8213" spans="15:20">
      <c r="O8213" s="247"/>
      <c r="P8213"/>
      <c r="Q8213" s="224"/>
      <c r="S8213" s="202"/>
      <c r="T8213"/>
    </row>
    <row r="8214" spans="15:20">
      <c r="O8214" s="247"/>
      <c r="P8214"/>
      <c r="Q8214" s="224"/>
      <c r="S8214" s="202"/>
      <c r="T8214"/>
    </row>
    <row r="8215" spans="15:20">
      <c r="O8215" s="247"/>
      <c r="P8215"/>
      <c r="Q8215" s="224"/>
      <c r="S8215" s="202"/>
      <c r="T8215"/>
    </row>
    <row r="8216" spans="15:20">
      <c r="O8216" s="247"/>
      <c r="P8216"/>
      <c r="Q8216" s="224"/>
      <c r="S8216" s="202"/>
      <c r="T8216"/>
    </row>
    <row r="8217" spans="15:20">
      <c r="O8217" s="247"/>
      <c r="P8217"/>
      <c r="Q8217" s="224"/>
      <c r="S8217" s="202"/>
      <c r="T8217"/>
    </row>
    <row r="8218" spans="15:20">
      <c r="O8218" s="247"/>
      <c r="P8218"/>
      <c r="Q8218" s="224"/>
      <c r="S8218" s="202"/>
      <c r="T8218"/>
    </row>
    <row r="8219" spans="15:20">
      <c r="O8219" s="247"/>
      <c r="P8219"/>
      <c r="Q8219" s="224"/>
      <c r="S8219" s="202"/>
      <c r="T8219"/>
    </row>
    <row r="8220" spans="15:20">
      <c r="O8220" s="247"/>
      <c r="P8220"/>
      <c r="Q8220" s="224"/>
      <c r="S8220" s="202"/>
      <c r="T8220"/>
    </row>
    <row r="8221" spans="15:20">
      <c r="O8221" s="247"/>
      <c r="P8221"/>
      <c r="Q8221" s="224"/>
      <c r="S8221" s="202"/>
      <c r="T8221"/>
    </row>
    <row r="8222" spans="15:20">
      <c r="O8222" s="247"/>
      <c r="P8222"/>
      <c r="Q8222" s="224"/>
      <c r="S8222" s="202"/>
      <c r="T8222"/>
    </row>
    <row r="8223" spans="15:20">
      <c r="O8223" s="247"/>
      <c r="P8223"/>
      <c r="Q8223" s="224"/>
      <c r="S8223" s="202"/>
      <c r="T8223"/>
    </row>
    <row r="8224" spans="15:20">
      <c r="O8224" s="247"/>
      <c r="P8224"/>
      <c r="Q8224" s="224"/>
      <c r="S8224" s="202"/>
      <c r="T8224"/>
    </row>
    <row r="8225" spans="15:20">
      <c r="O8225" s="247"/>
      <c r="P8225"/>
      <c r="Q8225" s="224"/>
      <c r="S8225" s="202"/>
      <c r="T8225"/>
    </row>
    <row r="8226" spans="15:20">
      <c r="O8226" s="247"/>
      <c r="P8226"/>
      <c r="Q8226" s="224"/>
      <c r="S8226" s="202"/>
      <c r="T8226"/>
    </row>
    <row r="8227" spans="15:20">
      <c r="O8227" s="247"/>
      <c r="P8227"/>
      <c r="Q8227" s="224"/>
      <c r="S8227" s="202"/>
      <c r="T8227"/>
    </row>
    <row r="8228" spans="15:20">
      <c r="O8228" s="247"/>
      <c r="P8228"/>
      <c r="Q8228" s="224"/>
      <c r="S8228" s="202"/>
      <c r="T8228"/>
    </row>
    <row r="8229" spans="15:20">
      <c r="O8229" s="247"/>
      <c r="P8229"/>
      <c r="Q8229" s="224"/>
      <c r="S8229" s="202"/>
      <c r="T8229"/>
    </row>
    <row r="8230" spans="15:20">
      <c r="O8230" s="247"/>
      <c r="P8230"/>
      <c r="Q8230" s="224"/>
      <c r="S8230" s="202"/>
      <c r="T8230"/>
    </row>
    <row r="8231" spans="15:20">
      <c r="O8231" s="247"/>
      <c r="P8231"/>
      <c r="Q8231" s="224"/>
      <c r="S8231" s="202"/>
      <c r="T8231"/>
    </row>
    <row r="8232" spans="15:20">
      <c r="O8232" s="247"/>
      <c r="P8232"/>
      <c r="Q8232" s="224"/>
      <c r="S8232" s="202"/>
      <c r="T8232"/>
    </row>
    <row r="8233" spans="15:20">
      <c r="O8233" s="247"/>
      <c r="P8233"/>
      <c r="Q8233" s="224"/>
      <c r="S8233" s="202"/>
      <c r="T8233"/>
    </row>
    <row r="8234" spans="15:20">
      <c r="O8234" s="247"/>
      <c r="P8234"/>
      <c r="Q8234" s="224"/>
      <c r="S8234" s="202"/>
      <c r="T8234"/>
    </row>
    <row r="8235" spans="15:20">
      <c r="O8235" s="247"/>
      <c r="P8235"/>
      <c r="Q8235" s="224"/>
      <c r="S8235" s="202"/>
      <c r="T8235"/>
    </row>
    <row r="8236" spans="15:20">
      <c r="O8236" s="247"/>
      <c r="P8236"/>
      <c r="Q8236" s="224"/>
      <c r="S8236" s="202"/>
      <c r="T8236"/>
    </row>
    <row r="8237" spans="15:20">
      <c r="O8237" s="247"/>
      <c r="P8237"/>
      <c r="Q8237" s="224"/>
      <c r="S8237" s="202"/>
      <c r="T8237"/>
    </row>
    <row r="8238" spans="15:20">
      <c r="O8238" s="247"/>
      <c r="P8238"/>
      <c r="Q8238" s="224"/>
      <c r="S8238" s="202"/>
      <c r="T8238"/>
    </row>
    <row r="8239" spans="15:20">
      <c r="O8239" s="247"/>
      <c r="P8239"/>
      <c r="Q8239" s="224"/>
      <c r="S8239" s="202"/>
      <c r="T8239"/>
    </row>
    <row r="8240" spans="15:20">
      <c r="O8240" s="247"/>
      <c r="P8240"/>
      <c r="Q8240" s="224"/>
      <c r="S8240" s="202"/>
      <c r="T8240"/>
    </row>
    <row r="8241" spans="15:20">
      <c r="O8241" s="247"/>
      <c r="P8241"/>
      <c r="Q8241" s="224"/>
      <c r="S8241" s="202"/>
      <c r="T8241"/>
    </row>
    <row r="8242" spans="15:20">
      <c r="O8242" s="247"/>
      <c r="P8242"/>
      <c r="Q8242" s="224"/>
      <c r="S8242" s="202"/>
      <c r="T8242"/>
    </row>
    <row r="8243" spans="15:20">
      <c r="O8243" s="247"/>
      <c r="P8243"/>
      <c r="Q8243" s="224"/>
      <c r="S8243" s="202"/>
      <c r="T8243"/>
    </row>
    <row r="8244" spans="15:20">
      <c r="O8244" s="247"/>
      <c r="P8244"/>
      <c r="Q8244" s="224"/>
      <c r="S8244" s="202"/>
      <c r="T8244"/>
    </row>
    <row r="8245" spans="15:20">
      <c r="O8245" s="247"/>
      <c r="P8245"/>
      <c r="Q8245" s="224"/>
      <c r="S8245" s="202"/>
      <c r="T8245"/>
    </row>
    <row r="8246" spans="15:20">
      <c r="O8246" s="247"/>
      <c r="P8246"/>
      <c r="Q8246" s="224"/>
      <c r="S8246" s="202"/>
      <c r="T8246"/>
    </row>
    <row r="8247" spans="15:20">
      <c r="O8247" s="247"/>
      <c r="P8247"/>
      <c r="Q8247" s="224"/>
      <c r="S8247" s="202"/>
      <c r="T8247"/>
    </row>
    <row r="8248" spans="15:20">
      <c r="O8248" s="247"/>
      <c r="P8248"/>
      <c r="Q8248" s="224"/>
      <c r="S8248" s="202"/>
      <c r="T8248"/>
    </row>
    <row r="8249" spans="15:20">
      <c r="O8249" s="247"/>
      <c r="P8249"/>
      <c r="Q8249" s="224"/>
      <c r="S8249" s="202"/>
      <c r="T8249"/>
    </row>
    <row r="8250" spans="15:20">
      <c r="O8250" s="247"/>
      <c r="P8250"/>
      <c r="Q8250" s="224"/>
      <c r="S8250" s="202"/>
      <c r="T8250"/>
    </row>
    <row r="8251" spans="15:20">
      <c r="O8251" s="247"/>
      <c r="P8251"/>
      <c r="Q8251" s="224"/>
      <c r="S8251" s="202"/>
      <c r="T8251"/>
    </row>
    <row r="8252" spans="15:20">
      <c r="O8252" s="247"/>
      <c r="P8252"/>
      <c r="Q8252" s="224"/>
      <c r="S8252" s="202"/>
      <c r="T8252"/>
    </row>
    <row r="8253" spans="15:20">
      <c r="O8253" s="247"/>
      <c r="P8253"/>
      <c r="Q8253" s="224"/>
      <c r="S8253" s="202"/>
      <c r="T8253"/>
    </row>
    <row r="8254" spans="15:20">
      <c r="O8254" s="247"/>
      <c r="P8254"/>
      <c r="Q8254" s="224"/>
      <c r="S8254" s="202"/>
      <c r="T8254"/>
    </row>
    <row r="8255" spans="15:20">
      <c r="O8255" s="247"/>
      <c r="P8255"/>
      <c r="Q8255" s="224"/>
      <c r="S8255" s="202"/>
      <c r="T8255"/>
    </row>
    <row r="8256" spans="15:20">
      <c r="O8256" s="247"/>
      <c r="P8256"/>
      <c r="Q8256" s="224"/>
      <c r="S8256" s="202"/>
      <c r="T8256"/>
    </row>
    <row r="8257" spans="15:20">
      <c r="O8257" s="247"/>
      <c r="P8257"/>
      <c r="Q8257" s="224"/>
      <c r="S8257" s="202"/>
      <c r="T8257"/>
    </row>
    <row r="8258" spans="15:20">
      <c r="O8258" s="247"/>
      <c r="P8258"/>
      <c r="Q8258" s="224"/>
      <c r="S8258" s="202"/>
      <c r="T8258"/>
    </row>
    <row r="8259" spans="15:20">
      <c r="O8259" s="247"/>
      <c r="P8259"/>
      <c r="Q8259" s="224"/>
      <c r="S8259" s="202"/>
      <c r="T8259"/>
    </row>
    <row r="8260" spans="15:20">
      <c r="O8260" s="247"/>
      <c r="P8260"/>
      <c r="Q8260" s="224"/>
      <c r="S8260" s="202"/>
      <c r="T8260"/>
    </row>
    <row r="8261" spans="15:20">
      <c r="O8261" s="247"/>
      <c r="P8261"/>
      <c r="Q8261" s="224"/>
      <c r="S8261" s="202"/>
      <c r="T8261"/>
    </row>
    <row r="8262" spans="15:20">
      <c r="O8262" s="247"/>
      <c r="P8262"/>
      <c r="Q8262" s="224"/>
      <c r="S8262" s="202"/>
      <c r="T8262"/>
    </row>
    <row r="8263" spans="15:20">
      <c r="O8263" s="247"/>
      <c r="P8263"/>
      <c r="Q8263" s="224"/>
      <c r="S8263" s="202"/>
      <c r="T8263"/>
    </row>
    <row r="8264" spans="15:20">
      <c r="O8264" s="247"/>
      <c r="P8264"/>
      <c r="Q8264" s="224"/>
      <c r="S8264" s="202"/>
      <c r="T8264"/>
    </row>
    <row r="8265" spans="15:20">
      <c r="O8265" s="247"/>
      <c r="P8265"/>
      <c r="Q8265" s="224"/>
      <c r="S8265" s="202"/>
      <c r="T8265"/>
    </row>
    <row r="8266" spans="15:20">
      <c r="O8266" s="247"/>
      <c r="P8266"/>
      <c r="Q8266" s="224"/>
      <c r="S8266" s="202"/>
      <c r="T8266"/>
    </row>
    <row r="8267" spans="15:20">
      <c r="O8267" s="247"/>
      <c r="P8267"/>
      <c r="Q8267" s="224"/>
      <c r="S8267" s="202"/>
      <c r="T8267"/>
    </row>
    <row r="8268" spans="15:20">
      <c r="O8268" s="247"/>
      <c r="P8268"/>
      <c r="Q8268" s="224"/>
      <c r="S8268" s="202"/>
      <c r="T8268"/>
    </row>
    <row r="8269" spans="15:20">
      <c r="O8269" s="247"/>
      <c r="P8269"/>
      <c r="Q8269" s="224"/>
      <c r="S8269" s="202"/>
      <c r="T8269"/>
    </row>
    <row r="8270" spans="15:20">
      <c r="O8270" s="247"/>
      <c r="P8270"/>
      <c r="Q8270" s="224"/>
      <c r="S8270" s="202"/>
      <c r="T8270"/>
    </row>
    <row r="8271" spans="15:20">
      <c r="O8271" s="247"/>
      <c r="P8271"/>
      <c r="Q8271" s="224"/>
      <c r="S8271" s="202"/>
      <c r="T8271"/>
    </row>
    <row r="8272" spans="15:20">
      <c r="O8272" s="247"/>
      <c r="P8272"/>
      <c r="Q8272" s="224"/>
      <c r="S8272" s="202"/>
      <c r="T8272"/>
    </row>
    <row r="8273" spans="15:20">
      <c r="O8273" s="247"/>
      <c r="P8273"/>
      <c r="Q8273" s="224"/>
      <c r="S8273" s="202"/>
      <c r="T8273"/>
    </row>
    <row r="8274" spans="15:20">
      <c r="O8274" s="247"/>
      <c r="P8274"/>
      <c r="Q8274" s="224"/>
      <c r="S8274" s="202"/>
      <c r="T8274"/>
    </row>
    <row r="8275" spans="15:20">
      <c r="O8275" s="247"/>
      <c r="P8275"/>
      <c r="Q8275" s="224"/>
      <c r="S8275" s="202"/>
      <c r="T8275"/>
    </row>
    <row r="8276" spans="15:20">
      <c r="O8276" s="247"/>
      <c r="P8276"/>
      <c r="Q8276" s="224"/>
      <c r="S8276" s="202"/>
      <c r="T8276"/>
    </row>
    <row r="8277" spans="15:20">
      <c r="O8277" s="247"/>
      <c r="P8277"/>
      <c r="Q8277" s="224"/>
      <c r="S8277" s="202"/>
      <c r="T8277"/>
    </row>
    <row r="8278" spans="15:20">
      <c r="O8278" s="247"/>
      <c r="P8278"/>
      <c r="Q8278" s="224"/>
      <c r="S8278" s="202"/>
      <c r="T8278"/>
    </row>
    <row r="8279" spans="15:20">
      <c r="O8279" s="247"/>
      <c r="P8279"/>
      <c r="Q8279" s="224"/>
      <c r="S8279" s="202"/>
      <c r="T8279"/>
    </row>
    <row r="8280" spans="15:20">
      <c r="O8280" s="247"/>
      <c r="P8280"/>
      <c r="Q8280" s="224"/>
      <c r="S8280" s="202"/>
      <c r="T8280"/>
    </row>
    <row r="8281" spans="15:20">
      <c r="O8281" s="247"/>
      <c r="P8281"/>
      <c r="Q8281" s="224"/>
      <c r="S8281" s="202"/>
      <c r="T8281"/>
    </row>
    <row r="8282" spans="15:20">
      <c r="O8282" s="247"/>
      <c r="P8282"/>
      <c r="Q8282" s="224"/>
      <c r="S8282" s="202"/>
      <c r="T8282"/>
    </row>
    <row r="8283" spans="15:20">
      <c r="O8283" s="247"/>
      <c r="P8283"/>
      <c r="Q8283" s="224"/>
      <c r="S8283" s="202"/>
      <c r="T8283"/>
    </row>
    <row r="8284" spans="15:20">
      <c r="O8284" s="247"/>
      <c r="P8284"/>
      <c r="Q8284" s="224"/>
      <c r="S8284" s="202"/>
      <c r="T8284"/>
    </row>
    <row r="8285" spans="15:20">
      <c r="O8285" s="247"/>
      <c r="P8285"/>
      <c r="Q8285" s="224"/>
      <c r="S8285" s="202"/>
      <c r="T8285"/>
    </row>
    <row r="8286" spans="15:20">
      <c r="O8286" s="247"/>
      <c r="P8286"/>
      <c r="Q8286" s="224"/>
      <c r="S8286" s="202"/>
      <c r="T8286"/>
    </row>
    <row r="8287" spans="15:20">
      <c r="O8287" s="247"/>
      <c r="P8287"/>
      <c r="Q8287" s="224"/>
      <c r="S8287" s="202"/>
      <c r="T8287"/>
    </row>
    <row r="8288" spans="15:20">
      <c r="O8288" s="247"/>
      <c r="P8288"/>
      <c r="Q8288" s="224"/>
      <c r="S8288" s="202"/>
      <c r="T8288"/>
    </row>
    <row r="8289" spans="15:20">
      <c r="O8289" s="247"/>
      <c r="P8289"/>
      <c r="Q8289" s="224"/>
      <c r="S8289" s="202"/>
      <c r="T8289"/>
    </row>
    <row r="8290" spans="15:20">
      <c r="O8290" s="247"/>
      <c r="P8290"/>
      <c r="Q8290" s="224"/>
      <c r="S8290" s="202"/>
      <c r="T8290"/>
    </row>
    <row r="8291" spans="15:20">
      <c r="O8291" s="247"/>
      <c r="P8291"/>
      <c r="Q8291" s="224"/>
      <c r="S8291" s="202"/>
      <c r="T8291"/>
    </row>
    <row r="8292" spans="15:20">
      <c r="O8292" s="247"/>
      <c r="P8292"/>
      <c r="Q8292" s="224"/>
      <c r="S8292" s="202"/>
      <c r="T8292"/>
    </row>
    <row r="8293" spans="15:20">
      <c r="O8293" s="247"/>
      <c r="P8293"/>
      <c r="Q8293" s="224"/>
      <c r="S8293" s="202"/>
      <c r="T8293"/>
    </row>
    <row r="8294" spans="15:20">
      <c r="O8294" s="247"/>
      <c r="P8294"/>
      <c r="Q8294" s="224"/>
      <c r="S8294" s="202"/>
      <c r="T8294"/>
    </row>
    <row r="8295" spans="15:20">
      <c r="O8295" s="247"/>
      <c r="P8295"/>
      <c r="Q8295" s="224"/>
      <c r="S8295" s="202"/>
      <c r="T8295"/>
    </row>
    <row r="8296" spans="15:20">
      <c r="O8296" s="247"/>
      <c r="P8296"/>
      <c r="Q8296" s="224"/>
      <c r="S8296" s="202"/>
      <c r="T8296"/>
    </row>
    <row r="8297" spans="15:20">
      <c r="O8297" s="247"/>
      <c r="P8297"/>
      <c r="Q8297" s="224"/>
      <c r="S8297" s="202"/>
      <c r="T8297"/>
    </row>
    <row r="8298" spans="15:20">
      <c r="O8298" s="247"/>
      <c r="P8298"/>
      <c r="Q8298" s="224"/>
      <c r="S8298" s="202"/>
      <c r="T8298"/>
    </row>
    <row r="8299" spans="15:20">
      <c r="O8299" s="247"/>
      <c r="P8299"/>
      <c r="Q8299" s="224"/>
      <c r="S8299" s="202"/>
      <c r="T8299"/>
    </row>
    <row r="8300" spans="15:20">
      <c r="O8300" s="247"/>
      <c r="P8300"/>
      <c r="Q8300" s="224"/>
      <c r="S8300" s="202"/>
      <c r="T8300"/>
    </row>
    <row r="8301" spans="15:20">
      <c r="O8301" s="247"/>
      <c r="P8301"/>
      <c r="Q8301" s="224"/>
      <c r="S8301" s="202"/>
      <c r="T8301"/>
    </row>
    <row r="8302" spans="15:20">
      <c r="O8302" s="247"/>
      <c r="P8302"/>
      <c r="Q8302" s="224"/>
      <c r="S8302" s="202"/>
      <c r="T8302"/>
    </row>
    <row r="8303" spans="15:20">
      <c r="O8303" s="247"/>
      <c r="P8303"/>
      <c r="Q8303" s="224"/>
      <c r="S8303" s="202"/>
      <c r="T8303"/>
    </row>
    <row r="8304" spans="15:20">
      <c r="O8304" s="247"/>
      <c r="P8304"/>
      <c r="Q8304" s="224"/>
      <c r="S8304" s="202"/>
      <c r="T8304"/>
    </row>
    <row r="8305" spans="15:20">
      <c r="O8305" s="247"/>
      <c r="P8305"/>
      <c r="Q8305" s="224"/>
      <c r="S8305" s="202"/>
      <c r="T8305"/>
    </row>
    <row r="8306" spans="15:20">
      <c r="O8306" s="247"/>
      <c r="P8306"/>
      <c r="Q8306" s="224"/>
      <c r="S8306" s="202"/>
      <c r="T8306"/>
    </row>
    <row r="8307" spans="15:20">
      <c r="O8307" s="247"/>
      <c r="P8307"/>
      <c r="Q8307" s="224"/>
      <c r="S8307" s="202"/>
      <c r="T8307"/>
    </row>
    <row r="8308" spans="15:20">
      <c r="O8308" s="247"/>
      <c r="P8308"/>
      <c r="Q8308" s="224"/>
      <c r="S8308" s="202"/>
      <c r="T8308"/>
    </row>
    <row r="8309" spans="15:20">
      <c r="O8309" s="247"/>
      <c r="P8309"/>
      <c r="Q8309" s="224"/>
      <c r="S8309" s="202"/>
      <c r="T8309"/>
    </row>
    <row r="8310" spans="15:20">
      <c r="O8310" s="247"/>
      <c r="P8310"/>
      <c r="Q8310" s="224"/>
      <c r="S8310" s="202"/>
      <c r="T8310"/>
    </row>
    <row r="8311" spans="15:20">
      <c r="O8311" s="247"/>
      <c r="P8311"/>
      <c r="Q8311" s="224"/>
      <c r="S8311" s="202"/>
      <c r="T8311"/>
    </row>
    <row r="8312" spans="15:20">
      <c r="O8312" s="247"/>
      <c r="P8312"/>
      <c r="Q8312" s="224"/>
      <c r="S8312" s="202"/>
      <c r="T8312"/>
    </row>
    <row r="8313" spans="15:20">
      <c r="O8313" s="247"/>
      <c r="P8313"/>
      <c r="Q8313" s="224"/>
      <c r="S8313" s="202"/>
      <c r="T8313"/>
    </row>
    <row r="8314" spans="15:20">
      <c r="O8314" s="247"/>
      <c r="P8314"/>
      <c r="Q8314" s="224"/>
      <c r="S8314" s="202"/>
      <c r="T8314"/>
    </row>
    <row r="8315" spans="15:20">
      <c r="O8315" s="247"/>
      <c r="P8315"/>
      <c r="Q8315" s="224"/>
      <c r="S8315" s="202"/>
      <c r="T8315"/>
    </row>
    <row r="8316" spans="15:20">
      <c r="O8316" s="247"/>
      <c r="P8316"/>
      <c r="Q8316" s="224"/>
      <c r="S8316" s="202"/>
      <c r="T8316"/>
    </row>
    <row r="8317" spans="15:20">
      <c r="O8317" s="247"/>
      <c r="P8317"/>
      <c r="Q8317" s="224"/>
      <c r="S8317" s="202"/>
      <c r="T8317"/>
    </row>
    <row r="8318" spans="15:20">
      <c r="O8318" s="247"/>
      <c r="P8318"/>
      <c r="Q8318" s="224"/>
      <c r="S8318" s="202"/>
      <c r="T8318"/>
    </row>
    <row r="8319" spans="15:20">
      <c r="O8319" s="247"/>
      <c r="P8319"/>
      <c r="Q8319" s="224"/>
      <c r="S8319" s="202"/>
      <c r="T8319"/>
    </row>
    <row r="8320" spans="15:20">
      <c r="O8320" s="247"/>
      <c r="P8320"/>
      <c r="Q8320" s="224"/>
      <c r="S8320" s="202"/>
      <c r="T8320"/>
    </row>
    <row r="8321" spans="15:20">
      <c r="O8321" s="247"/>
      <c r="P8321"/>
      <c r="Q8321" s="224"/>
      <c r="S8321" s="202"/>
      <c r="T8321"/>
    </row>
    <row r="8322" spans="15:20">
      <c r="O8322" s="247"/>
      <c r="P8322"/>
      <c r="Q8322" s="224"/>
      <c r="S8322" s="202"/>
      <c r="T8322"/>
    </row>
    <row r="8323" spans="15:20">
      <c r="O8323" s="247"/>
      <c r="P8323"/>
      <c r="Q8323" s="224"/>
      <c r="S8323" s="202"/>
      <c r="T8323"/>
    </row>
    <row r="8324" spans="15:20">
      <c r="O8324" s="247"/>
      <c r="P8324"/>
      <c r="Q8324" s="224"/>
      <c r="S8324" s="202"/>
      <c r="T8324"/>
    </row>
    <row r="8325" spans="15:20">
      <c r="O8325" s="247"/>
      <c r="P8325"/>
      <c r="Q8325" s="224"/>
      <c r="S8325" s="202"/>
      <c r="T8325"/>
    </row>
    <row r="8326" spans="15:20">
      <c r="O8326" s="247"/>
      <c r="P8326"/>
      <c r="Q8326" s="224"/>
      <c r="S8326" s="202"/>
      <c r="T8326"/>
    </row>
    <row r="8327" spans="15:20">
      <c r="O8327" s="247"/>
      <c r="P8327"/>
      <c r="Q8327" s="224"/>
      <c r="S8327" s="202"/>
      <c r="T8327"/>
    </row>
    <row r="8328" spans="15:20">
      <c r="O8328" s="247"/>
      <c r="P8328"/>
      <c r="Q8328" s="224"/>
      <c r="S8328" s="202"/>
      <c r="T8328"/>
    </row>
    <row r="8329" spans="15:20">
      <c r="O8329" s="247"/>
      <c r="P8329"/>
      <c r="Q8329" s="224"/>
      <c r="S8329" s="202"/>
      <c r="T8329"/>
    </row>
    <row r="8330" spans="15:20">
      <c r="O8330" s="247"/>
      <c r="P8330"/>
      <c r="Q8330" s="224"/>
      <c r="S8330" s="202"/>
      <c r="T8330"/>
    </row>
    <row r="8331" spans="15:20">
      <c r="O8331" s="247"/>
      <c r="P8331"/>
      <c r="Q8331" s="224"/>
      <c r="S8331" s="202"/>
      <c r="T8331"/>
    </row>
    <row r="8332" spans="15:20">
      <c r="O8332" s="247"/>
      <c r="P8332"/>
      <c r="Q8332" s="224"/>
      <c r="S8332" s="202"/>
      <c r="T8332"/>
    </row>
    <row r="8333" spans="15:20">
      <c r="O8333" s="247"/>
      <c r="P8333"/>
      <c r="Q8333" s="224"/>
      <c r="S8333" s="202"/>
      <c r="T8333"/>
    </row>
    <row r="8334" spans="15:20">
      <c r="O8334" s="247"/>
      <c r="P8334"/>
      <c r="Q8334" s="224"/>
      <c r="S8334" s="202"/>
      <c r="T8334"/>
    </row>
    <row r="8335" spans="15:20">
      <c r="O8335" s="247"/>
      <c r="P8335"/>
      <c r="Q8335" s="224"/>
      <c r="S8335" s="202"/>
      <c r="T8335"/>
    </row>
    <row r="8336" spans="15:20">
      <c r="O8336" s="247"/>
      <c r="P8336"/>
      <c r="Q8336" s="224"/>
      <c r="S8336" s="202"/>
      <c r="T8336"/>
    </row>
    <row r="8337" spans="15:20">
      <c r="O8337" s="247"/>
      <c r="P8337"/>
      <c r="Q8337" s="224"/>
      <c r="S8337" s="202"/>
      <c r="T8337"/>
    </row>
    <row r="8338" spans="15:20">
      <c r="O8338" s="247"/>
      <c r="P8338"/>
      <c r="Q8338" s="224"/>
      <c r="S8338" s="202"/>
      <c r="T8338"/>
    </row>
    <row r="8339" spans="15:20">
      <c r="O8339" s="247"/>
      <c r="P8339"/>
      <c r="Q8339" s="224"/>
      <c r="S8339" s="202"/>
      <c r="T8339"/>
    </row>
    <row r="8340" spans="15:20">
      <c r="O8340" s="247"/>
      <c r="P8340"/>
      <c r="Q8340" s="224"/>
      <c r="S8340" s="202"/>
      <c r="T8340"/>
    </row>
    <row r="8341" spans="15:20">
      <c r="O8341" s="247"/>
      <c r="P8341"/>
      <c r="Q8341" s="224"/>
      <c r="S8341" s="202"/>
      <c r="T8341"/>
    </row>
    <row r="8342" spans="15:20">
      <c r="O8342" s="247"/>
      <c r="P8342"/>
      <c r="Q8342" s="224"/>
      <c r="S8342" s="202"/>
      <c r="T8342"/>
    </row>
    <row r="8343" spans="15:20">
      <c r="O8343" s="247"/>
      <c r="P8343"/>
      <c r="Q8343" s="224"/>
      <c r="S8343" s="202"/>
      <c r="T8343"/>
    </row>
    <row r="8344" spans="15:20">
      <c r="O8344" s="247"/>
      <c r="P8344"/>
      <c r="Q8344" s="224"/>
      <c r="S8344" s="202"/>
      <c r="T8344"/>
    </row>
    <row r="8345" spans="15:20">
      <c r="O8345" s="247"/>
      <c r="P8345"/>
      <c r="Q8345" s="224"/>
      <c r="S8345" s="202"/>
      <c r="T8345"/>
    </row>
    <row r="8346" spans="15:20">
      <c r="O8346" s="247"/>
      <c r="P8346"/>
      <c r="Q8346" s="224"/>
      <c r="S8346" s="202"/>
      <c r="T8346"/>
    </row>
    <row r="8347" spans="15:20">
      <c r="O8347" s="247"/>
      <c r="P8347"/>
      <c r="Q8347" s="224"/>
      <c r="S8347" s="202"/>
      <c r="T8347"/>
    </row>
    <row r="8348" spans="15:20">
      <c r="O8348" s="247"/>
      <c r="P8348"/>
      <c r="Q8348" s="224"/>
      <c r="S8348" s="202"/>
      <c r="T8348"/>
    </row>
    <row r="8349" spans="15:20">
      <c r="O8349" s="247"/>
      <c r="P8349"/>
      <c r="Q8349" s="224"/>
      <c r="S8349" s="202"/>
      <c r="T8349"/>
    </row>
    <row r="8350" spans="15:20">
      <c r="O8350" s="247"/>
      <c r="P8350"/>
      <c r="Q8350" s="224"/>
      <c r="S8350" s="202"/>
      <c r="T8350"/>
    </row>
    <row r="8351" spans="15:20">
      <c r="O8351" s="247"/>
      <c r="P8351"/>
      <c r="Q8351" s="224"/>
      <c r="S8351" s="202"/>
      <c r="T8351"/>
    </row>
    <row r="8352" spans="15:20">
      <c r="O8352" s="247"/>
      <c r="P8352"/>
      <c r="Q8352" s="224"/>
      <c r="S8352" s="202"/>
      <c r="T8352"/>
    </row>
    <row r="8353" spans="15:20">
      <c r="O8353" s="247"/>
      <c r="P8353"/>
      <c r="Q8353" s="224"/>
      <c r="S8353" s="202"/>
      <c r="T8353"/>
    </row>
    <row r="8354" spans="15:20">
      <c r="O8354" s="247"/>
      <c r="P8354"/>
      <c r="Q8354" s="224"/>
      <c r="S8354" s="202"/>
      <c r="T8354"/>
    </row>
    <row r="8355" spans="15:20">
      <c r="O8355" s="247"/>
      <c r="P8355"/>
      <c r="Q8355" s="224"/>
      <c r="S8355" s="202"/>
      <c r="T8355"/>
    </row>
    <row r="8356" spans="15:20">
      <c r="O8356" s="247"/>
      <c r="P8356"/>
      <c r="Q8356" s="224"/>
      <c r="S8356" s="202"/>
      <c r="T8356"/>
    </row>
    <row r="8357" spans="15:20">
      <c r="O8357" s="247"/>
      <c r="P8357"/>
      <c r="Q8357" s="224"/>
      <c r="S8357" s="202"/>
      <c r="T8357"/>
    </row>
    <row r="8358" spans="15:20">
      <c r="O8358" s="247"/>
      <c r="P8358"/>
      <c r="Q8358" s="224"/>
      <c r="S8358" s="202"/>
      <c r="T8358"/>
    </row>
    <row r="8359" spans="15:20">
      <c r="O8359" s="247"/>
      <c r="P8359"/>
      <c r="Q8359" s="224"/>
      <c r="S8359" s="202"/>
      <c r="T8359"/>
    </row>
    <row r="8360" spans="15:20">
      <c r="O8360" s="247"/>
      <c r="P8360"/>
      <c r="Q8360" s="224"/>
      <c r="S8360" s="202"/>
      <c r="T8360"/>
    </row>
    <row r="8361" spans="15:20">
      <c r="O8361" s="247"/>
      <c r="P8361"/>
      <c r="Q8361" s="224"/>
      <c r="S8361" s="202"/>
      <c r="T8361"/>
    </row>
    <row r="8362" spans="15:20">
      <c r="O8362" s="247"/>
      <c r="P8362"/>
      <c r="Q8362" s="224"/>
      <c r="S8362" s="202"/>
      <c r="T8362"/>
    </row>
    <row r="8363" spans="15:20">
      <c r="O8363" s="247"/>
      <c r="P8363"/>
      <c r="Q8363" s="224"/>
      <c r="S8363" s="202"/>
      <c r="T8363"/>
    </row>
    <row r="8364" spans="15:20">
      <c r="O8364" s="247"/>
      <c r="P8364"/>
      <c r="Q8364" s="224"/>
      <c r="S8364" s="202"/>
      <c r="T8364"/>
    </row>
    <row r="8365" spans="15:20">
      <c r="O8365" s="247"/>
      <c r="P8365"/>
      <c r="Q8365" s="224"/>
      <c r="S8365" s="202"/>
      <c r="T8365"/>
    </row>
    <row r="8366" spans="15:20">
      <c r="O8366" s="247"/>
      <c r="P8366"/>
      <c r="Q8366" s="224"/>
      <c r="S8366" s="202"/>
      <c r="T8366"/>
    </row>
    <row r="8367" spans="15:20">
      <c r="O8367" s="247"/>
      <c r="P8367"/>
      <c r="Q8367" s="224"/>
      <c r="S8367" s="202"/>
      <c r="T8367"/>
    </row>
    <row r="8368" spans="15:20">
      <c r="O8368" s="247"/>
      <c r="P8368"/>
      <c r="Q8368" s="224"/>
      <c r="S8368" s="202"/>
      <c r="T8368"/>
    </row>
    <row r="8369" spans="15:20">
      <c r="O8369" s="247"/>
      <c r="P8369"/>
      <c r="Q8369" s="224"/>
      <c r="S8369" s="202"/>
      <c r="T8369"/>
    </row>
    <row r="8370" spans="15:20">
      <c r="O8370" s="247"/>
      <c r="P8370"/>
      <c r="Q8370" s="224"/>
      <c r="S8370" s="202"/>
      <c r="T8370"/>
    </row>
    <row r="8371" spans="15:20">
      <c r="O8371" s="247"/>
      <c r="P8371"/>
      <c r="Q8371" s="224"/>
      <c r="S8371" s="202"/>
      <c r="T8371"/>
    </row>
    <row r="8372" spans="15:20">
      <c r="O8372" s="247"/>
      <c r="P8372"/>
      <c r="Q8372" s="224"/>
      <c r="S8372" s="202"/>
      <c r="T8372"/>
    </row>
    <row r="8373" spans="15:20">
      <c r="O8373" s="247"/>
      <c r="P8373"/>
      <c r="Q8373" s="224"/>
      <c r="S8373" s="202"/>
      <c r="T8373"/>
    </row>
    <row r="8374" spans="15:20">
      <c r="O8374" s="247"/>
      <c r="P8374"/>
      <c r="Q8374" s="224"/>
      <c r="S8374" s="202"/>
      <c r="T8374"/>
    </row>
    <row r="8375" spans="15:20">
      <c r="O8375" s="247"/>
      <c r="P8375"/>
      <c r="Q8375" s="224"/>
      <c r="S8375" s="202"/>
      <c r="T8375"/>
    </row>
    <row r="8376" spans="15:20">
      <c r="O8376" s="247"/>
      <c r="P8376"/>
      <c r="Q8376" s="224"/>
      <c r="S8376" s="202"/>
      <c r="T8376"/>
    </row>
    <row r="8377" spans="15:20">
      <c r="O8377" s="247"/>
      <c r="P8377"/>
      <c r="Q8377" s="224"/>
      <c r="S8377" s="202"/>
      <c r="T8377"/>
    </row>
    <row r="8378" spans="15:20">
      <c r="O8378" s="247"/>
      <c r="P8378"/>
      <c r="Q8378" s="224"/>
      <c r="S8378" s="202"/>
      <c r="T8378"/>
    </row>
    <row r="8379" spans="15:20">
      <c r="O8379" s="247"/>
      <c r="P8379"/>
      <c r="Q8379" s="224"/>
      <c r="S8379" s="202"/>
      <c r="T8379"/>
    </row>
    <row r="8380" spans="15:20">
      <c r="O8380" s="247"/>
      <c r="P8380"/>
      <c r="Q8380" s="224"/>
      <c r="S8380" s="202"/>
      <c r="T8380"/>
    </row>
    <row r="8381" spans="15:20">
      <c r="O8381" s="247"/>
      <c r="P8381"/>
      <c r="Q8381" s="224"/>
      <c r="S8381" s="202"/>
      <c r="T8381"/>
    </row>
    <row r="8382" spans="15:20">
      <c r="O8382" s="247"/>
      <c r="P8382"/>
      <c r="Q8382" s="224"/>
      <c r="S8382" s="202"/>
      <c r="T8382"/>
    </row>
    <row r="8383" spans="15:20">
      <c r="O8383" s="247"/>
      <c r="P8383"/>
      <c r="Q8383" s="224"/>
      <c r="S8383" s="202"/>
      <c r="T8383"/>
    </row>
    <row r="8384" spans="15:20">
      <c r="O8384" s="247"/>
      <c r="P8384"/>
      <c r="Q8384" s="224"/>
      <c r="S8384" s="202"/>
      <c r="T8384"/>
    </row>
    <row r="8385" spans="15:20">
      <c r="O8385" s="247"/>
      <c r="P8385"/>
      <c r="Q8385" s="224"/>
      <c r="S8385" s="202"/>
      <c r="T8385"/>
    </row>
    <row r="8386" spans="15:20">
      <c r="O8386" s="247"/>
      <c r="P8386"/>
      <c r="Q8386" s="224"/>
      <c r="S8386" s="202"/>
      <c r="T8386"/>
    </row>
    <row r="8387" spans="15:20">
      <c r="O8387" s="247"/>
      <c r="P8387"/>
      <c r="Q8387" s="224"/>
      <c r="S8387" s="202"/>
      <c r="T8387"/>
    </row>
    <row r="8388" spans="15:20">
      <c r="O8388" s="247"/>
      <c r="P8388"/>
      <c r="Q8388" s="224"/>
      <c r="S8388" s="202"/>
      <c r="T8388"/>
    </row>
    <row r="8389" spans="15:20">
      <c r="O8389" s="247"/>
      <c r="P8389"/>
      <c r="Q8389" s="224"/>
      <c r="S8389" s="202"/>
      <c r="T8389"/>
    </row>
    <row r="8390" spans="15:20">
      <c r="O8390" s="247"/>
      <c r="P8390"/>
      <c r="Q8390" s="224"/>
      <c r="S8390" s="202"/>
      <c r="T8390"/>
    </row>
    <row r="8391" spans="15:20">
      <c r="O8391" s="247"/>
      <c r="P8391"/>
      <c r="Q8391" s="224"/>
      <c r="S8391" s="202"/>
      <c r="T8391"/>
    </row>
    <row r="8392" spans="15:20">
      <c r="O8392" s="247"/>
      <c r="P8392"/>
      <c r="Q8392" s="224"/>
      <c r="S8392" s="202"/>
      <c r="T8392"/>
    </row>
    <row r="8393" spans="15:20">
      <c r="O8393" s="247"/>
      <c r="P8393"/>
      <c r="Q8393" s="224"/>
      <c r="S8393" s="202"/>
      <c r="T8393"/>
    </row>
    <row r="8394" spans="15:20">
      <c r="O8394" s="247"/>
      <c r="P8394"/>
      <c r="Q8394" s="224"/>
      <c r="S8394" s="202"/>
      <c r="T8394"/>
    </row>
    <row r="8395" spans="15:20">
      <c r="O8395" s="247"/>
      <c r="P8395"/>
      <c r="Q8395" s="224"/>
      <c r="S8395" s="202"/>
      <c r="T8395"/>
    </row>
    <row r="8396" spans="15:20">
      <c r="O8396" s="247"/>
      <c r="P8396"/>
      <c r="Q8396" s="224"/>
      <c r="S8396" s="202"/>
      <c r="T8396"/>
    </row>
    <row r="8397" spans="15:20">
      <c r="O8397" s="247"/>
      <c r="P8397"/>
      <c r="Q8397" s="224"/>
      <c r="S8397" s="202"/>
      <c r="T8397"/>
    </row>
    <row r="8398" spans="15:20">
      <c r="O8398" s="247"/>
      <c r="P8398"/>
      <c r="Q8398" s="224"/>
      <c r="S8398" s="202"/>
      <c r="T8398"/>
    </row>
    <row r="8399" spans="15:20">
      <c r="O8399" s="247"/>
      <c r="P8399"/>
      <c r="Q8399" s="224"/>
      <c r="S8399" s="202"/>
      <c r="T8399"/>
    </row>
    <row r="8400" spans="15:20">
      <c r="O8400" s="247"/>
      <c r="P8400"/>
      <c r="Q8400" s="224"/>
      <c r="S8400" s="202"/>
      <c r="T8400"/>
    </row>
    <row r="8401" spans="15:20">
      <c r="O8401" s="247"/>
      <c r="P8401"/>
      <c r="Q8401" s="224"/>
      <c r="S8401" s="202"/>
      <c r="T8401"/>
    </row>
    <row r="8402" spans="15:20">
      <c r="O8402" s="247"/>
      <c r="P8402"/>
      <c r="Q8402" s="224"/>
      <c r="S8402" s="202"/>
      <c r="T8402"/>
    </row>
    <row r="8403" spans="15:20">
      <c r="O8403" s="247"/>
      <c r="P8403"/>
      <c r="Q8403" s="224"/>
      <c r="S8403" s="202"/>
      <c r="T8403"/>
    </row>
    <row r="8404" spans="15:20">
      <c r="O8404" s="247"/>
      <c r="P8404"/>
      <c r="Q8404" s="224"/>
      <c r="S8404" s="202"/>
      <c r="T8404"/>
    </row>
    <row r="8405" spans="15:20">
      <c r="O8405" s="247"/>
      <c r="P8405"/>
      <c r="Q8405" s="224"/>
      <c r="S8405" s="202"/>
      <c r="T8405"/>
    </row>
    <row r="8406" spans="15:20">
      <c r="O8406" s="247"/>
      <c r="P8406"/>
      <c r="Q8406" s="224"/>
      <c r="S8406" s="202"/>
      <c r="T8406"/>
    </row>
    <row r="8407" spans="15:20">
      <c r="O8407" s="247"/>
      <c r="P8407"/>
      <c r="Q8407" s="224"/>
      <c r="S8407" s="202"/>
      <c r="T8407"/>
    </row>
    <row r="8408" spans="15:20">
      <c r="O8408" s="247"/>
      <c r="P8408"/>
      <c r="Q8408" s="224"/>
      <c r="S8408" s="202"/>
      <c r="T8408"/>
    </row>
    <row r="8409" spans="15:20">
      <c r="O8409" s="247"/>
      <c r="P8409"/>
      <c r="Q8409" s="224"/>
      <c r="S8409" s="202"/>
      <c r="T8409"/>
    </row>
    <row r="8410" spans="15:20">
      <c r="O8410" s="247"/>
      <c r="P8410"/>
      <c r="Q8410" s="224"/>
      <c r="S8410" s="202"/>
      <c r="T8410"/>
    </row>
    <row r="8411" spans="15:20">
      <c r="O8411" s="247"/>
      <c r="P8411"/>
      <c r="Q8411" s="224"/>
      <c r="S8411" s="202"/>
      <c r="T8411"/>
    </row>
    <row r="8412" spans="15:20">
      <c r="O8412" s="247"/>
      <c r="P8412"/>
      <c r="Q8412" s="224"/>
      <c r="S8412" s="202"/>
      <c r="T8412"/>
    </row>
    <row r="8413" spans="15:20">
      <c r="O8413" s="247"/>
      <c r="P8413"/>
      <c r="Q8413" s="224"/>
      <c r="S8413" s="202"/>
      <c r="T8413"/>
    </row>
    <row r="8414" spans="15:20">
      <c r="O8414" s="247"/>
      <c r="P8414"/>
      <c r="Q8414" s="224"/>
      <c r="S8414" s="202"/>
      <c r="T8414"/>
    </row>
    <row r="8415" spans="15:20">
      <c r="O8415" s="247"/>
      <c r="P8415"/>
      <c r="Q8415" s="224"/>
      <c r="S8415" s="202"/>
      <c r="T8415"/>
    </row>
    <row r="8416" spans="15:20">
      <c r="O8416" s="247"/>
      <c r="P8416"/>
      <c r="Q8416" s="224"/>
      <c r="S8416" s="202"/>
      <c r="T8416"/>
    </row>
    <row r="8417" spans="15:20">
      <c r="O8417" s="247"/>
      <c r="P8417"/>
      <c r="Q8417" s="224"/>
      <c r="S8417" s="202"/>
      <c r="T8417"/>
    </row>
    <row r="8418" spans="15:20">
      <c r="O8418" s="247"/>
      <c r="P8418"/>
      <c r="Q8418" s="224"/>
      <c r="S8418" s="202"/>
      <c r="T8418"/>
    </row>
    <row r="8419" spans="15:20">
      <c r="O8419" s="247"/>
      <c r="P8419"/>
      <c r="Q8419" s="224"/>
      <c r="S8419" s="202"/>
      <c r="T8419"/>
    </row>
    <row r="8420" spans="15:20">
      <c r="O8420" s="247"/>
      <c r="P8420"/>
      <c r="Q8420" s="224"/>
      <c r="S8420" s="202"/>
      <c r="T8420"/>
    </row>
    <row r="8421" spans="15:20">
      <c r="O8421" s="247"/>
      <c r="P8421"/>
      <c r="Q8421" s="224"/>
      <c r="S8421" s="202"/>
      <c r="T8421"/>
    </row>
    <row r="8422" spans="15:20">
      <c r="O8422" s="247"/>
      <c r="P8422"/>
      <c r="Q8422" s="224"/>
      <c r="S8422" s="202"/>
      <c r="T8422"/>
    </row>
    <row r="8423" spans="15:20">
      <c r="O8423" s="247"/>
      <c r="P8423"/>
      <c r="Q8423" s="224"/>
      <c r="S8423" s="202"/>
      <c r="T8423"/>
    </row>
    <row r="8424" spans="15:20">
      <c r="O8424" s="247"/>
      <c r="P8424"/>
      <c r="Q8424" s="224"/>
      <c r="S8424" s="202"/>
      <c r="T8424"/>
    </row>
    <row r="8425" spans="15:20">
      <c r="O8425" s="247"/>
      <c r="P8425"/>
      <c r="Q8425" s="224"/>
      <c r="S8425" s="202"/>
      <c r="T8425"/>
    </row>
    <row r="8426" spans="15:20">
      <c r="O8426" s="247"/>
      <c r="P8426"/>
      <c r="Q8426" s="224"/>
      <c r="S8426" s="202"/>
      <c r="T8426"/>
    </row>
    <row r="8427" spans="15:20">
      <c r="O8427" s="247"/>
      <c r="P8427"/>
      <c r="Q8427" s="224"/>
      <c r="S8427" s="202"/>
      <c r="T8427"/>
    </row>
    <row r="8428" spans="15:20">
      <c r="O8428" s="247"/>
      <c r="P8428"/>
      <c r="Q8428" s="224"/>
      <c r="S8428" s="202"/>
      <c r="T8428"/>
    </row>
    <row r="8429" spans="15:20">
      <c r="O8429" s="247"/>
      <c r="P8429"/>
      <c r="Q8429" s="224"/>
      <c r="S8429" s="202"/>
      <c r="T8429"/>
    </row>
    <row r="8430" spans="15:20">
      <c r="O8430" s="247"/>
      <c r="P8430"/>
      <c r="Q8430" s="224"/>
      <c r="S8430" s="202"/>
      <c r="T8430"/>
    </row>
    <row r="8431" spans="15:20">
      <c r="O8431" s="247"/>
      <c r="P8431"/>
      <c r="Q8431" s="224"/>
      <c r="S8431" s="202"/>
      <c r="T8431"/>
    </row>
    <row r="8432" spans="15:20">
      <c r="O8432" s="247"/>
      <c r="P8432"/>
      <c r="Q8432" s="224"/>
      <c r="S8432" s="202"/>
      <c r="T8432"/>
    </row>
    <row r="8433" spans="15:20">
      <c r="O8433" s="247"/>
      <c r="P8433"/>
      <c r="Q8433" s="224"/>
      <c r="S8433" s="202"/>
      <c r="T8433"/>
    </row>
    <row r="8434" spans="15:20">
      <c r="O8434" s="247"/>
      <c r="P8434"/>
      <c r="Q8434" s="224"/>
      <c r="S8434" s="202"/>
      <c r="T8434"/>
    </row>
    <row r="8435" spans="15:20">
      <c r="O8435" s="247"/>
      <c r="P8435"/>
      <c r="Q8435" s="224"/>
      <c r="S8435" s="202"/>
      <c r="T8435"/>
    </row>
    <row r="8436" spans="15:20">
      <c r="O8436" s="247"/>
      <c r="P8436"/>
      <c r="Q8436" s="224"/>
      <c r="S8436" s="202"/>
      <c r="T8436"/>
    </row>
    <row r="8437" spans="15:20">
      <c r="O8437" s="247"/>
      <c r="P8437"/>
      <c r="Q8437" s="224"/>
      <c r="S8437" s="202"/>
      <c r="T8437"/>
    </row>
    <row r="8438" spans="15:20">
      <c r="O8438" s="247"/>
      <c r="P8438"/>
      <c r="Q8438" s="224"/>
      <c r="S8438" s="202"/>
      <c r="T8438"/>
    </row>
    <row r="8439" spans="15:20">
      <c r="O8439" s="247"/>
      <c r="P8439"/>
      <c r="Q8439" s="224"/>
      <c r="S8439" s="202"/>
      <c r="T8439"/>
    </row>
    <row r="8440" spans="15:20">
      <c r="O8440" s="247"/>
      <c r="P8440"/>
      <c r="Q8440" s="224"/>
      <c r="S8440" s="202"/>
      <c r="T8440"/>
    </row>
    <row r="8441" spans="15:20">
      <c r="O8441" s="247"/>
      <c r="P8441"/>
      <c r="Q8441" s="224"/>
      <c r="S8441" s="202"/>
      <c r="T8441"/>
    </row>
    <row r="8442" spans="15:20">
      <c r="O8442" s="247"/>
      <c r="P8442"/>
      <c r="Q8442" s="224"/>
      <c r="S8442" s="202"/>
      <c r="T8442"/>
    </row>
    <row r="8443" spans="15:20">
      <c r="O8443" s="247"/>
      <c r="P8443"/>
      <c r="Q8443" s="224"/>
      <c r="S8443" s="202"/>
      <c r="T8443"/>
    </row>
    <row r="8444" spans="15:20">
      <c r="O8444" s="247"/>
      <c r="P8444"/>
      <c r="Q8444" s="224"/>
      <c r="S8444" s="202"/>
      <c r="T8444"/>
    </row>
    <row r="8445" spans="15:20">
      <c r="O8445" s="247"/>
      <c r="P8445"/>
      <c r="Q8445" s="224"/>
      <c r="S8445" s="202"/>
      <c r="T8445"/>
    </row>
    <row r="8446" spans="15:20">
      <c r="O8446" s="247"/>
      <c r="P8446"/>
      <c r="Q8446" s="224"/>
      <c r="S8446" s="202"/>
      <c r="T8446"/>
    </row>
    <row r="8447" spans="15:20">
      <c r="O8447" s="247"/>
      <c r="P8447"/>
      <c r="Q8447" s="224"/>
      <c r="S8447" s="202"/>
      <c r="T8447"/>
    </row>
    <row r="8448" spans="15:20">
      <c r="O8448" s="247"/>
      <c r="P8448"/>
      <c r="Q8448" s="224"/>
      <c r="S8448" s="202"/>
      <c r="T8448"/>
    </row>
    <row r="8449" spans="15:20">
      <c r="O8449" s="247"/>
      <c r="P8449"/>
      <c r="Q8449" s="224"/>
      <c r="S8449" s="202"/>
      <c r="T8449"/>
    </row>
    <row r="8450" spans="15:20">
      <c r="O8450" s="247"/>
      <c r="P8450"/>
      <c r="Q8450" s="224"/>
      <c r="S8450" s="202"/>
      <c r="T8450"/>
    </row>
    <row r="8451" spans="15:20">
      <c r="O8451" s="247"/>
      <c r="P8451"/>
      <c r="Q8451" s="224"/>
      <c r="S8451" s="202"/>
      <c r="T8451"/>
    </row>
    <row r="8452" spans="15:20">
      <c r="O8452" s="247"/>
      <c r="P8452"/>
      <c r="Q8452" s="224"/>
      <c r="S8452" s="202"/>
      <c r="T8452"/>
    </row>
    <row r="8453" spans="15:20">
      <c r="O8453" s="247"/>
      <c r="P8453"/>
      <c r="Q8453" s="224"/>
      <c r="S8453" s="202"/>
      <c r="T8453"/>
    </row>
    <row r="8454" spans="15:20">
      <c r="O8454" s="247"/>
      <c r="P8454"/>
      <c r="Q8454" s="224"/>
      <c r="S8454" s="202"/>
      <c r="T8454"/>
    </row>
    <row r="8455" spans="15:20">
      <c r="O8455" s="247"/>
      <c r="P8455"/>
      <c r="Q8455" s="224"/>
      <c r="S8455" s="202"/>
      <c r="T8455"/>
    </row>
    <row r="8456" spans="15:20">
      <c r="O8456" s="247"/>
      <c r="P8456"/>
      <c r="Q8456" s="224"/>
      <c r="S8456" s="202"/>
      <c r="T8456"/>
    </row>
    <row r="8457" spans="15:20">
      <c r="O8457" s="247"/>
      <c r="P8457"/>
      <c r="Q8457" s="224"/>
      <c r="S8457" s="202"/>
      <c r="T8457"/>
    </row>
    <row r="8458" spans="15:20">
      <c r="O8458" s="247"/>
      <c r="P8458"/>
      <c r="Q8458" s="224"/>
      <c r="S8458" s="202"/>
      <c r="T8458"/>
    </row>
    <row r="8459" spans="15:20">
      <c r="O8459" s="247"/>
      <c r="P8459"/>
      <c r="Q8459" s="224"/>
      <c r="S8459" s="202"/>
      <c r="T8459"/>
    </row>
    <row r="8460" spans="15:20">
      <c r="O8460" s="247"/>
      <c r="P8460"/>
      <c r="Q8460" s="224"/>
      <c r="S8460" s="202"/>
      <c r="T8460"/>
    </row>
    <row r="8461" spans="15:20">
      <c r="O8461" s="247"/>
      <c r="P8461"/>
      <c r="Q8461" s="224"/>
      <c r="S8461" s="202"/>
      <c r="T8461"/>
    </row>
    <row r="8462" spans="15:20">
      <c r="O8462" s="247"/>
      <c r="P8462"/>
      <c r="Q8462" s="224"/>
      <c r="S8462" s="202"/>
      <c r="T8462"/>
    </row>
    <row r="8463" spans="15:20">
      <c r="O8463" s="247"/>
      <c r="P8463"/>
      <c r="Q8463" s="224"/>
      <c r="S8463" s="202"/>
      <c r="T8463"/>
    </row>
    <row r="8464" spans="15:20">
      <c r="O8464" s="247"/>
      <c r="P8464"/>
      <c r="Q8464" s="224"/>
      <c r="S8464" s="202"/>
      <c r="T8464"/>
    </row>
    <row r="8465" spans="15:20">
      <c r="O8465" s="247"/>
      <c r="P8465"/>
      <c r="Q8465" s="224"/>
      <c r="S8465" s="202"/>
      <c r="T8465"/>
    </row>
    <row r="8466" spans="15:20">
      <c r="O8466" s="247"/>
      <c r="P8466"/>
      <c r="Q8466" s="224"/>
      <c r="S8466" s="202"/>
      <c r="T8466"/>
    </row>
    <row r="8467" spans="15:20">
      <c r="O8467" s="247"/>
      <c r="P8467"/>
      <c r="Q8467" s="224"/>
      <c r="S8467" s="202"/>
      <c r="T8467"/>
    </row>
    <row r="8468" spans="15:20">
      <c r="O8468" s="247"/>
      <c r="P8468"/>
      <c r="Q8468" s="224"/>
      <c r="S8468" s="202"/>
      <c r="T8468"/>
    </row>
    <row r="8469" spans="15:20">
      <c r="O8469" s="247"/>
      <c r="P8469"/>
      <c r="Q8469" s="224"/>
      <c r="S8469" s="202"/>
      <c r="T8469"/>
    </row>
    <row r="8470" spans="15:20">
      <c r="O8470" s="247"/>
      <c r="P8470"/>
      <c r="Q8470" s="224"/>
      <c r="S8470" s="202"/>
      <c r="T8470"/>
    </row>
    <row r="8471" spans="15:20">
      <c r="O8471" s="247"/>
      <c r="P8471"/>
      <c r="Q8471" s="224"/>
      <c r="S8471" s="202"/>
      <c r="T8471"/>
    </row>
    <row r="8472" spans="15:20">
      <c r="O8472" s="247"/>
      <c r="P8472"/>
      <c r="Q8472" s="224"/>
      <c r="S8472" s="202"/>
      <c r="T8472"/>
    </row>
    <row r="8473" spans="15:20">
      <c r="O8473" s="247"/>
      <c r="P8473"/>
      <c r="Q8473" s="224"/>
      <c r="S8473" s="202"/>
      <c r="T8473"/>
    </row>
    <row r="8474" spans="15:20">
      <c r="O8474" s="247"/>
      <c r="P8474"/>
      <c r="Q8474" s="224"/>
      <c r="S8474" s="202"/>
      <c r="T8474"/>
    </row>
    <row r="8475" spans="15:20">
      <c r="O8475" s="247"/>
      <c r="P8475"/>
      <c r="Q8475" s="224"/>
      <c r="S8475" s="202"/>
      <c r="T8475"/>
    </row>
    <row r="8476" spans="15:20">
      <c r="O8476" s="247"/>
      <c r="P8476"/>
      <c r="Q8476" s="224"/>
      <c r="S8476" s="202"/>
      <c r="T8476"/>
    </row>
    <row r="8477" spans="15:20">
      <c r="O8477" s="247"/>
      <c r="P8477"/>
      <c r="Q8477" s="224"/>
      <c r="S8477" s="202"/>
      <c r="T8477"/>
    </row>
    <row r="8478" spans="15:20">
      <c r="O8478" s="247"/>
      <c r="P8478"/>
      <c r="Q8478" s="224"/>
      <c r="S8478" s="202"/>
      <c r="T8478"/>
    </row>
    <row r="8479" spans="15:20">
      <c r="O8479" s="247"/>
      <c r="P8479"/>
      <c r="Q8479" s="224"/>
      <c r="S8479" s="202"/>
      <c r="T8479"/>
    </row>
    <row r="8480" spans="15:20">
      <c r="O8480" s="247"/>
      <c r="P8480"/>
      <c r="Q8480" s="224"/>
      <c r="S8480" s="202"/>
      <c r="T8480"/>
    </row>
    <row r="8481" spans="15:20">
      <c r="O8481" s="247"/>
      <c r="P8481"/>
      <c r="Q8481" s="224"/>
      <c r="S8481" s="202"/>
      <c r="T8481"/>
    </row>
    <row r="8482" spans="15:20">
      <c r="O8482" s="247"/>
      <c r="P8482"/>
      <c r="Q8482" s="224"/>
      <c r="S8482" s="202"/>
      <c r="T8482"/>
    </row>
    <row r="8483" spans="15:20">
      <c r="O8483" s="247"/>
      <c r="P8483"/>
      <c r="Q8483" s="224"/>
      <c r="S8483" s="202"/>
      <c r="T8483"/>
    </row>
    <row r="8484" spans="15:20">
      <c r="O8484" s="247"/>
      <c r="P8484"/>
      <c r="Q8484" s="224"/>
      <c r="S8484" s="202"/>
      <c r="T8484"/>
    </row>
    <row r="8485" spans="15:20">
      <c r="O8485" s="247"/>
      <c r="P8485"/>
      <c r="Q8485" s="224"/>
      <c r="S8485" s="202"/>
      <c r="T8485"/>
    </row>
    <row r="8486" spans="15:20">
      <c r="O8486" s="247"/>
      <c r="P8486"/>
      <c r="Q8486" s="224"/>
      <c r="S8486" s="202"/>
      <c r="T8486"/>
    </row>
    <row r="8487" spans="15:20">
      <c r="O8487" s="247"/>
      <c r="P8487"/>
      <c r="Q8487" s="224"/>
      <c r="S8487" s="202"/>
      <c r="T8487"/>
    </row>
    <row r="8488" spans="15:20">
      <c r="O8488" s="247"/>
      <c r="P8488"/>
      <c r="Q8488" s="224"/>
      <c r="S8488" s="202"/>
      <c r="T8488"/>
    </row>
    <row r="8489" spans="15:20">
      <c r="O8489" s="247"/>
      <c r="P8489"/>
      <c r="Q8489" s="224"/>
      <c r="S8489" s="202"/>
      <c r="T8489"/>
    </row>
    <row r="8490" spans="15:20">
      <c r="O8490" s="247"/>
      <c r="P8490"/>
      <c r="Q8490" s="224"/>
      <c r="S8490" s="202"/>
      <c r="T8490"/>
    </row>
    <row r="8491" spans="15:20">
      <c r="O8491" s="247"/>
      <c r="P8491"/>
      <c r="Q8491" s="224"/>
      <c r="S8491" s="202"/>
      <c r="T8491"/>
    </row>
    <row r="8492" spans="15:20">
      <c r="O8492" s="247"/>
      <c r="P8492"/>
      <c r="Q8492" s="224"/>
      <c r="S8492" s="202"/>
      <c r="T8492"/>
    </row>
    <row r="8493" spans="15:20">
      <c r="O8493" s="247"/>
      <c r="P8493"/>
      <c r="Q8493" s="224"/>
      <c r="S8493" s="202"/>
      <c r="T8493"/>
    </row>
    <row r="8494" spans="15:20">
      <c r="O8494" s="247"/>
      <c r="P8494"/>
      <c r="Q8494" s="224"/>
      <c r="S8494" s="202"/>
      <c r="T8494"/>
    </row>
    <row r="8495" spans="15:20">
      <c r="O8495" s="247"/>
      <c r="P8495"/>
      <c r="Q8495" s="224"/>
      <c r="S8495" s="202"/>
      <c r="T8495"/>
    </row>
    <row r="8496" spans="15:20">
      <c r="O8496" s="247"/>
      <c r="P8496"/>
      <c r="Q8496" s="224"/>
      <c r="S8496" s="202"/>
      <c r="T8496"/>
    </row>
    <row r="8497" spans="15:20">
      <c r="O8497" s="247"/>
      <c r="P8497"/>
      <c r="Q8497" s="224"/>
      <c r="S8497" s="202"/>
      <c r="T8497"/>
    </row>
    <row r="8498" spans="15:20">
      <c r="O8498" s="247"/>
      <c r="P8498"/>
      <c r="Q8498" s="224"/>
      <c r="S8498" s="202"/>
      <c r="T8498"/>
    </row>
    <row r="8499" spans="15:20">
      <c r="O8499" s="247"/>
      <c r="P8499"/>
      <c r="Q8499" s="224"/>
      <c r="S8499" s="202"/>
      <c r="T8499"/>
    </row>
    <row r="8500" spans="15:20">
      <c r="O8500" s="247"/>
      <c r="P8500"/>
      <c r="Q8500" s="224"/>
      <c r="S8500" s="202"/>
      <c r="T8500"/>
    </row>
    <row r="8501" spans="15:20">
      <c r="O8501" s="247"/>
      <c r="P8501"/>
      <c r="Q8501" s="224"/>
      <c r="S8501" s="202"/>
      <c r="T8501"/>
    </row>
    <row r="8502" spans="15:20">
      <c r="O8502" s="247"/>
      <c r="P8502"/>
      <c r="Q8502" s="224"/>
      <c r="S8502" s="202"/>
      <c r="T8502"/>
    </row>
    <row r="8503" spans="15:20">
      <c r="O8503" s="247"/>
      <c r="P8503"/>
      <c r="Q8503" s="224"/>
      <c r="S8503" s="202"/>
      <c r="T8503"/>
    </row>
    <row r="8504" spans="15:20">
      <c r="O8504" s="247"/>
      <c r="P8504"/>
      <c r="Q8504" s="224"/>
      <c r="S8504" s="202"/>
      <c r="T8504"/>
    </row>
    <row r="8505" spans="15:20">
      <c r="O8505" s="247"/>
      <c r="P8505"/>
      <c r="Q8505" s="224"/>
      <c r="S8505" s="202"/>
      <c r="T8505"/>
    </row>
    <row r="8506" spans="15:20">
      <c r="O8506" s="247"/>
      <c r="P8506"/>
      <c r="Q8506" s="224"/>
      <c r="S8506" s="202"/>
      <c r="T8506"/>
    </row>
    <row r="8507" spans="15:20">
      <c r="O8507" s="247"/>
      <c r="P8507"/>
      <c r="Q8507" s="224"/>
      <c r="S8507" s="202"/>
      <c r="T8507"/>
    </row>
    <row r="8508" spans="15:20">
      <c r="O8508" s="247"/>
      <c r="P8508"/>
      <c r="Q8508" s="224"/>
      <c r="S8508" s="202"/>
      <c r="T8508"/>
    </row>
    <row r="8509" spans="15:20">
      <c r="O8509" s="247"/>
      <c r="P8509"/>
      <c r="Q8509" s="224"/>
      <c r="S8509" s="202"/>
      <c r="T8509"/>
    </row>
    <row r="8510" spans="15:20">
      <c r="O8510" s="247"/>
      <c r="P8510"/>
      <c r="Q8510" s="224"/>
      <c r="S8510" s="202"/>
      <c r="T8510"/>
    </row>
    <row r="8511" spans="15:20">
      <c r="O8511" s="247"/>
      <c r="P8511"/>
      <c r="Q8511" s="224"/>
      <c r="S8511" s="202"/>
      <c r="T8511"/>
    </row>
    <row r="8512" spans="15:20">
      <c r="O8512" s="247"/>
      <c r="P8512"/>
      <c r="Q8512" s="224"/>
      <c r="S8512" s="202"/>
      <c r="T8512"/>
    </row>
    <row r="8513" spans="15:20">
      <c r="O8513" s="247"/>
      <c r="P8513"/>
      <c r="Q8513" s="224"/>
      <c r="S8513" s="202"/>
      <c r="T8513"/>
    </row>
    <row r="8514" spans="15:20">
      <c r="O8514" s="247"/>
      <c r="P8514"/>
      <c r="Q8514" s="224"/>
      <c r="S8514" s="202"/>
      <c r="T8514"/>
    </row>
    <row r="8515" spans="15:20">
      <c r="O8515" s="247"/>
      <c r="P8515"/>
      <c r="Q8515" s="224"/>
      <c r="S8515" s="202"/>
      <c r="T8515"/>
    </row>
    <row r="8516" spans="15:20">
      <c r="O8516" s="247"/>
      <c r="P8516"/>
      <c r="Q8516" s="224"/>
      <c r="S8516" s="202"/>
      <c r="T8516"/>
    </row>
    <row r="8517" spans="15:20">
      <c r="O8517" s="247"/>
      <c r="P8517"/>
      <c r="Q8517" s="224"/>
      <c r="S8517" s="202"/>
      <c r="T8517"/>
    </row>
    <row r="8518" spans="15:20">
      <c r="O8518" s="247"/>
      <c r="P8518"/>
      <c r="Q8518" s="224"/>
      <c r="S8518" s="202"/>
      <c r="T8518"/>
    </row>
    <row r="8519" spans="15:20">
      <c r="O8519" s="247"/>
      <c r="P8519"/>
      <c r="Q8519" s="224"/>
      <c r="S8519" s="202"/>
      <c r="T8519"/>
    </row>
    <row r="8520" spans="15:20">
      <c r="O8520" s="247"/>
      <c r="P8520"/>
      <c r="Q8520" s="224"/>
      <c r="S8520" s="202"/>
      <c r="T8520"/>
    </row>
    <row r="8521" spans="15:20">
      <c r="O8521" s="247"/>
      <c r="P8521"/>
      <c r="Q8521" s="224"/>
      <c r="S8521" s="202"/>
      <c r="T8521"/>
    </row>
    <row r="8522" spans="15:20">
      <c r="O8522" s="247"/>
      <c r="P8522"/>
      <c r="Q8522" s="224"/>
      <c r="S8522" s="202"/>
      <c r="T8522"/>
    </row>
    <row r="8523" spans="15:20">
      <c r="O8523" s="247"/>
      <c r="P8523"/>
      <c r="Q8523" s="224"/>
      <c r="S8523" s="202"/>
      <c r="T8523"/>
    </row>
    <row r="8524" spans="15:20">
      <c r="O8524" s="247"/>
      <c r="P8524"/>
      <c r="Q8524" s="224"/>
      <c r="S8524" s="202"/>
      <c r="T8524"/>
    </row>
    <row r="8525" spans="15:20">
      <c r="O8525" s="247"/>
      <c r="P8525"/>
      <c r="Q8525" s="224"/>
      <c r="S8525" s="202"/>
      <c r="T8525"/>
    </row>
    <row r="8526" spans="15:20">
      <c r="O8526" s="247"/>
      <c r="P8526"/>
      <c r="Q8526" s="224"/>
      <c r="S8526" s="202"/>
      <c r="T8526"/>
    </row>
    <row r="8527" spans="15:20">
      <c r="O8527" s="247"/>
      <c r="P8527"/>
      <c r="Q8527" s="224"/>
      <c r="S8527" s="202"/>
      <c r="T8527"/>
    </row>
    <row r="8528" spans="15:20">
      <c r="O8528" s="247"/>
      <c r="P8528"/>
      <c r="Q8528" s="224"/>
      <c r="S8528" s="202"/>
      <c r="T8528"/>
    </row>
    <row r="8529" spans="15:20">
      <c r="O8529" s="247"/>
      <c r="P8529"/>
      <c r="Q8529" s="224"/>
      <c r="S8529" s="202"/>
      <c r="T8529"/>
    </row>
    <row r="8530" spans="15:20">
      <c r="O8530" s="247"/>
      <c r="P8530"/>
      <c r="Q8530" s="224"/>
      <c r="S8530" s="202"/>
      <c r="T8530"/>
    </row>
    <row r="8531" spans="15:20">
      <c r="O8531" s="247"/>
      <c r="P8531"/>
      <c r="Q8531" s="224"/>
      <c r="S8531" s="202"/>
      <c r="T8531"/>
    </row>
    <row r="8532" spans="15:20">
      <c r="O8532" s="247"/>
      <c r="P8532"/>
      <c r="Q8532" s="224"/>
      <c r="S8532" s="202"/>
      <c r="T8532"/>
    </row>
    <row r="8533" spans="15:20">
      <c r="O8533" s="247"/>
      <c r="P8533"/>
      <c r="Q8533" s="224"/>
      <c r="S8533" s="202"/>
      <c r="T8533"/>
    </row>
    <row r="8534" spans="15:20">
      <c r="O8534" s="247"/>
      <c r="P8534"/>
      <c r="Q8534" s="224"/>
      <c r="S8534" s="202"/>
      <c r="T8534"/>
    </row>
    <row r="8535" spans="15:20">
      <c r="O8535" s="247"/>
      <c r="P8535"/>
      <c r="Q8535" s="224"/>
      <c r="S8535" s="202"/>
      <c r="T8535"/>
    </row>
    <row r="8536" spans="15:20">
      <c r="O8536" s="247"/>
      <c r="P8536"/>
      <c r="Q8536" s="224"/>
      <c r="S8536" s="202"/>
      <c r="T8536"/>
    </row>
    <row r="8537" spans="15:20">
      <c r="O8537" s="247"/>
      <c r="P8537"/>
      <c r="Q8537" s="224"/>
      <c r="S8537" s="202"/>
      <c r="T8537"/>
    </row>
    <row r="8538" spans="15:20">
      <c r="O8538" s="247"/>
      <c r="P8538"/>
      <c r="Q8538" s="224"/>
      <c r="S8538" s="202"/>
      <c r="T8538"/>
    </row>
    <row r="8539" spans="15:20">
      <c r="O8539" s="247"/>
      <c r="P8539"/>
      <c r="Q8539" s="224"/>
      <c r="S8539" s="202"/>
      <c r="T8539"/>
    </row>
    <row r="8540" spans="15:20">
      <c r="O8540" s="247"/>
      <c r="P8540"/>
      <c r="Q8540" s="224"/>
      <c r="S8540" s="202"/>
      <c r="T8540"/>
    </row>
    <row r="8541" spans="15:20">
      <c r="O8541" s="247"/>
      <c r="P8541"/>
      <c r="Q8541" s="224"/>
      <c r="S8541" s="202"/>
      <c r="T8541"/>
    </row>
    <row r="8542" spans="15:20">
      <c r="O8542" s="247"/>
      <c r="P8542"/>
      <c r="Q8542" s="224"/>
      <c r="S8542" s="202"/>
      <c r="T8542"/>
    </row>
    <row r="8543" spans="15:20">
      <c r="O8543" s="247"/>
      <c r="P8543"/>
      <c r="Q8543" s="224"/>
      <c r="S8543" s="202"/>
      <c r="T8543"/>
    </row>
    <row r="8544" spans="15:20">
      <c r="O8544" s="247"/>
      <c r="P8544"/>
      <c r="Q8544" s="224"/>
      <c r="S8544" s="202"/>
      <c r="T8544"/>
    </row>
    <row r="8545" spans="15:20">
      <c r="O8545" s="247"/>
      <c r="P8545"/>
      <c r="Q8545" s="224"/>
      <c r="S8545" s="202"/>
      <c r="T8545"/>
    </row>
    <row r="8546" spans="15:20">
      <c r="O8546" s="247"/>
      <c r="P8546"/>
      <c r="Q8546" s="224"/>
      <c r="S8546" s="202"/>
      <c r="T8546"/>
    </row>
    <row r="8547" spans="15:20">
      <c r="O8547" s="247"/>
      <c r="P8547"/>
      <c r="Q8547" s="224"/>
      <c r="S8547" s="202"/>
      <c r="T8547"/>
    </row>
    <row r="8548" spans="15:20">
      <c r="O8548" s="247"/>
      <c r="P8548"/>
      <c r="Q8548" s="224"/>
      <c r="S8548" s="202"/>
      <c r="T8548"/>
    </row>
    <row r="8549" spans="15:20">
      <c r="O8549" s="247"/>
      <c r="P8549"/>
      <c r="Q8549" s="224"/>
      <c r="S8549" s="202"/>
      <c r="T8549"/>
    </row>
    <row r="8550" spans="15:20">
      <c r="O8550" s="247"/>
      <c r="P8550"/>
      <c r="Q8550" s="224"/>
      <c r="S8550" s="202"/>
      <c r="T8550"/>
    </row>
    <row r="8551" spans="15:20">
      <c r="O8551" s="247"/>
      <c r="P8551"/>
      <c r="Q8551" s="224"/>
      <c r="S8551" s="202"/>
      <c r="T8551"/>
    </row>
    <row r="8552" spans="15:20">
      <c r="O8552" s="247"/>
      <c r="P8552"/>
      <c r="Q8552" s="224"/>
      <c r="S8552" s="202"/>
      <c r="T8552"/>
    </row>
    <row r="8553" spans="15:20">
      <c r="O8553" s="247"/>
      <c r="P8553"/>
      <c r="Q8553" s="224"/>
      <c r="S8553" s="202"/>
      <c r="T8553"/>
    </row>
    <row r="8554" spans="15:20">
      <c r="O8554" s="247"/>
      <c r="P8554"/>
      <c r="Q8554" s="224"/>
      <c r="S8554" s="202"/>
      <c r="T8554"/>
    </row>
    <row r="8555" spans="15:20">
      <c r="O8555" s="247"/>
      <c r="P8555"/>
      <c r="Q8555" s="224"/>
      <c r="S8555" s="202"/>
      <c r="T8555"/>
    </row>
    <row r="8556" spans="15:20">
      <c r="O8556" s="247"/>
      <c r="P8556"/>
      <c r="Q8556" s="224"/>
      <c r="S8556" s="202"/>
      <c r="T8556"/>
    </row>
    <row r="8557" spans="15:20">
      <c r="O8557" s="247"/>
      <c r="P8557"/>
      <c r="Q8557" s="224"/>
      <c r="S8557" s="202"/>
      <c r="T8557"/>
    </row>
    <row r="8558" spans="15:20">
      <c r="O8558" s="247"/>
      <c r="P8558"/>
      <c r="Q8558" s="224"/>
      <c r="S8558" s="202"/>
      <c r="T8558"/>
    </row>
    <row r="8559" spans="15:20">
      <c r="O8559" s="247"/>
      <c r="P8559"/>
      <c r="Q8559" s="224"/>
      <c r="S8559" s="202"/>
      <c r="T8559"/>
    </row>
    <row r="8560" spans="15:20">
      <c r="O8560" s="247"/>
      <c r="P8560"/>
      <c r="Q8560" s="224"/>
      <c r="S8560" s="202"/>
      <c r="T8560"/>
    </row>
    <row r="8561" spans="15:20">
      <c r="O8561" s="247"/>
      <c r="P8561"/>
      <c r="Q8561" s="224"/>
      <c r="S8561" s="202"/>
      <c r="T8561"/>
    </row>
    <row r="8562" spans="15:20">
      <c r="O8562" s="247"/>
      <c r="P8562"/>
      <c r="Q8562" s="224"/>
      <c r="S8562" s="202"/>
      <c r="T8562"/>
    </row>
    <row r="8563" spans="15:20">
      <c r="O8563" s="247"/>
      <c r="P8563"/>
      <c r="Q8563" s="224"/>
      <c r="S8563" s="202"/>
      <c r="T8563"/>
    </row>
    <row r="8564" spans="15:20">
      <c r="O8564" s="247"/>
      <c r="P8564"/>
      <c r="Q8564" s="224"/>
      <c r="S8564" s="202"/>
      <c r="T8564"/>
    </row>
    <row r="8565" spans="15:20">
      <c r="O8565" s="247"/>
      <c r="P8565"/>
      <c r="Q8565" s="224"/>
      <c r="S8565" s="202"/>
      <c r="T8565"/>
    </row>
    <row r="8566" spans="15:20">
      <c r="O8566" s="247"/>
      <c r="P8566"/>
      <c r="Q8566" s="224"/>
      <c r="S8566" s="202"/>
      <c r="T8566"/>
    </row>
    <row r="8567" spans="15:20">
      <c r="O8567" s="247"/>
      <c r="P8567"/>
      <c r="Q8567" s="224"/>
      <c r="S8567" s="202"/>
      <c r="T8567"/>
    </row>
    <row r="8568" spans="15:20">
      <c r="O8568" s="247"/>
      <c r="P8568"/>
      <c r="Q8568" s="224"/>
      <c r="S8568" s="202"/>
      <c r="T8568"/>
    </row>
    <row r="8569" spans="15:20">
      <c r="O8569" s="247"/>
      <c r="P8569"/>
      <c r="Q8569" s="224"/>
      <c r="S8569" s="202"/>
      <c r="T8569"/>
    </row>
    <row r="8570" spans="15:20">
      <c r="O8570" s="247"/>
      <c r="P8570"/>
      <c r="Q8570" s="224"/>
      <c r="S8570" s="202"/>
      <c r="T8570"/>
    </row>
    <row r="8571" spans="15:20">
      <c r="O8571" s="247"/>
      <c r="P8571"/>
      <c r="Q8571" s="224"/>
      <c r="S8571" s="202"/>
      <c r="T8571"/>
    </row>
    <row r="8572" spans="15:20">
      <c r="O8572" s="247"/>
      <c r="P8572"/>
      <c r="Q8572" s="224"/>
      <c r="S8572" s="202"/>
      <c r="T8572"/>
    </row>
    <row r="8573" spans="15:20">
      <c r="O8573" s="247"/>
      <c r="P8573"/>
      <c r="Q8573" s="224"/>
      <c r="S8573" s="202"/>
      <c r="T8573"/>
    </row>
    <row r="8574" spans="15:20">
      <c r="O8574" s="247"/>
      <c r="P8574"/>
      <c r="Q8574" s="224"/>
      <c r="S8574" s="202"/>
      <c r="T8574"/>
    </row>
    <row r="8575" spans="15:20">
      <c r="O8575" s="247"/>
      <c r="P8575"/>
      <c r="Q8575" s="224"/>
      <c r="S8575" s="202"/>
      <c r="T8575"/>
    </row>
    <row r="8576" spans="15:20">
      <c r="O8576" s="247"/>
      <c r="P8576"/>
      <c r="Q8576" s="224"/>
      <c r="S8576" s="202"/>
      <c r="T8576"/>
    </row>
    <row r="8577" spans="15:20">
      <c r="O8577" s="247"/>
      <c r="P8577"/>
      <c r="Q8577" s="224"/>
      <c r="S8577" s="202"/>
      <c r="T8577"/>
    </row>
    <row r="8578" spans="15:20">
      <c r="O8578" s="247"/>
      <c r="P8578"/>
      <c r="Q8578" s="224"/>
      <c r="S8578" s="202"/>
      <c r="T8578"/>
    </row>
    <row r="8579" spans="15:20">
      <c r="O8579" s="247"/>
      <c r="P8579"/>
      <c r="Q8579" s="224"/>
      <c r="S8579" s="202"/>
      <c r="T8579"/>
    </row>
    <row r="8580" spans="15:20">
      <c r="O8580" s="247"/>
      <c r="P8580"/>
      <c r="Q8580" s="224"/>
      <c r="S8580" s="202"/>
      <c r="T8580"/>
    </row>
    <row r="8581" spans="15:20">
      <c r="O8581" s="247"/>
      <c r="P8581"/>
      <c r="Q8581" s="224"/>
      <c r="S8581" s="202"/>
      <c r="T8581"/>
    </row>
    <row r="8582" spans="15:20">
      <c r="O8582" s="247"/>
      <c r="P8582"/>
      <c r="Q8582" s="224"/>
      <c r="S8582" s="202"/>
      <c r="T8582"/>
    </row>
    <row r="8583" spans="15:20">
      <c r="O8583" s="247"/>
      <c r="P8583"/>
      <c r="Q8583" s="224"/>
      <c r="S8583" s="202"/>
      <c r="T8583"/>
    </row>
    <row r="8584" spans="15:20">
      <c r="O8584" s="247"/>
      <c r="P8584"/>
      <c r="Q8584" s="224"/>
      <c r="S8584" s="202"/>
      <c r="T8584"/>
    </row>
    <row r="8585" spans="15:20">
      <c r="O8585" s="247"/>
      <c r="P8585"/>
      <c r="Q8585" s="224"/>
      <c r="S8585" s="202"/>
      <c r="T8585"/>
    </row>
    <row r="8586" spans="15:20">
      <c r="O8586" s="247"/>
      <c r="P8586"/>
      <c r="Q8586" s="224"/>
      <c r="S8586" s="202"/>
      <c r="T8586"/>
    </row>
    <row r="8587" spans="15:20">
      <c r="O8587" s="247"/>
      <c r="P8587"/>
      <c r="Q8587" s="224"/>
      <c r="S8587" s="202"/>
      <c r="T8587"/>
    </row>
    <row r="8588" spans="15:20">
      <c r="O8588" s="247"/>
      <c r="P8588"/>
      <c r="Q8588" s="224"/>
      <c r="S8588" s="202"/>
      <c r="T8588"/>
    </row>
    <row r="8589" spans="15:20">
      <c r="O8589" s="247"/>
      <c r="P8589"/>
      <c r="Q8589" s="224"/>
      <c r="S8589" s="202"/>
      <c r="T8589"/>
    </row>
    <row r="8590" spans="15:20">
      <c r="O8590" s="247"/>
      <c r="P8590"/>
      <c r="Q8590" s="224"/>
      <c r="S8590" s="202"/>
      <c r="T8590"/>
    </row>
    <row r="8591" spans="15:20">
      <c r="O8591" s="247"/>
      <c r="P8591"/>
      <c r="Q8591" s="224"/>
      <c r="S8591" s="202"/>
      <c r="T8591"/>
    </row>
    <row r="8592" spans="15:20">
      <c r="O8592" s="247"/>
      <c r="P8592"/>
      <c r="Q8592" s="224"/>
      <c r="S8592" s="202"/>
      <c r="T8592"/>
    </row>
    <row r="8593" spans="15:20">
      <c r="O8593" s="247"/>
      <c r="P8593"/>
      <c r="Q8593" s="224"/>
      <c r="S8593" s="202"/>
      <c r="T8593"/>
    </row>
    <row r="8594" spans="15:20">
      <c r="O8594" s="247"/>
      <c r="P8594"/>
      <c r="Q8594" s="224"/>
      <c r="S8594" s="202"/>
      <c r="T8594"/>
    </row>
    <row r="8595" spans="15:20">
      <c r="O8595" s="247"/>
      <c r="P8595"/>
      <c r="Q8595" s="224"/>
      <c r="S8595" s="202"/>
      <c r="T8595"/>
    </row>
    <row r="8596" spans="15:20">
      <c r="O8596" s="247"/>
      <c r="P8596"/>
      <c r="Q8596" s="224"/>
      <c r="S8596" s="202"/>
      <c r="T8596"/>
    </row>
    <row r="8597" spans="15:20">
      <c r="O8597" s="247"/>
      <c r="P8597"/>
      <c r="Q8597" s="224"/>
      <c r="S8597" s="202"/>
      <c r="T8597"/>
    </row>
    <row r="8598" spans="15:20">
      <c r="O8598" s="247"/>
      <c r="P8598"/>
      <c r="Q8598" s="224"/>
      <c r="S8598" s="202"/>
      <c r="T8598"/>
    </row>
    <row r="8599" spans="15:20">
      <c r="O8599" s="247"/>
      <c r="P8599"/>
      <c r="Q8599" s="224"/>
      <c r="S8599" s="202"/>
      <c r="T8599"/>
    </row>
    <row r="8600" spans="15:20">
      <c r="O8600" s="247"/>
      <c r="P8600"/>
      <c r="Q8600" s="224"/>
      <c r="S8600" s="202"/>
      <c r="T8600"/>
    </row>
    <row r="8601" spans="15:20">
      <c r="O8601" s="247"/>
      <c r="P8601"/>
      <c r="Q8601" s="224"/>
      <c r="S8601" s="202"/>
      <c r="T8601"/>
    </row>
    <row r="8602" spans="15:20">
      <c r="O8602" s="247"/>
      <c r="P8602"/>
      <c r="Q8602" s="224"/>
      <c r="S8602" s="202"/>
      <c r="T8602"/>
    </row>
    <row r="8603" spans="15:20">
      <c r="O8603" s="247"/>
      <c r="P8603"/>
      <c r="Q8603" s="224"/>
      <c r="S8603" s="202"/>
      <c r="T8603"/>
    </row>
    <row r="8604" spans="15:20">
      <c r="O8604" s="247"/>
      <c r="P8604"/>
      <c r="Q8604" s="224"/>
      <c r="S8604" s="202"/>
      <c r="T8604"/>
    </row>
    <row r="8605" spans="15:20">
      <c r="O8605" s="247"/>
      <c r="P8605"/>
      <c r="Q8605" s="224"/>
      <c r="S8605" s="202"/>
      <c r="T8605"/>
    </row>
    <row r="8606" spans="15:20">
      <c r="O8606" s="247"/>
      <c r="P8606"/>
      <c r="Q8606" s="224"/>
      <c r="S8606" s="202"/>
      <c r="T8606"/>
    </row>
    <row r="8607" spans="15:20">
      <c r="O8607" s="247"/>
      <c r="P8607"/>
      <c r="Q8607" s="224"/>
      <c r="S8607" s="202"/>
      <c r="T8607"/>
    </row>
    <row r="8608" spans="15:20">
      <c r="O8608" s="247"/>
      <c r="P8608"/>
      <c r="Q8608" s="224"/>
      <c r="S8608" s="202"/>
      <c r="T8608"/>
    </row>
    <row r="8609" spans="15:20">
      <c r="O8609" s="247"/>
      <c r="P8609"/>
      <c r="Q8609" s="224"/>
      <c r="S8609" s="202"/>
      <c r="T8609"/>
    </row>
    <row r="8610" spans="15:20">
      <c r="O8610" s="247"/>
      <c r="P8610"/>
      <c r="Q8610" s="224"/>
      <c r="S8610" s="202"/>
      <c r="T8610"/>
    </row>
    <row r="8611" spans="15:20">
      <c r="O8611" s="247"/>
      <c r="P8611"/>
      <c r="Q8611" s="224"/>
      <c r="S8611" s="202"/>
      <c r="T8611"/>
    </row>
    <row r="8612" spans="15:20">
      <c r="O8612" s="247"/>
      <c r="P8612"/>
      <c r="Q8612" s="224"/>
      <c r="S8612" s="202"/>
      <c r="T8612"/>
    </row>
    <row r="8613" spans="15:20">
      <c r="O8613" s="247"/>
      <c r="P8613"/>
      <c r="Q8613" s="224"/>
      <c r="S8613" s="202"/>
      <c r="T8613"/>
    </row>
    <row r="8614" spans="15:20">
      <c r="O8614" s="247"/>
      <c r="P8614"/>
      <c r="Q8614" s="224"/>
      <c r="S8614" s="202"/>
      <c r="T8614"/>
    </row>
    <row r="8615" spans="15:20">
      <c r="O8615" s="247"/>
      <c r="P8615"/>
      <c r="Q8615" s="224"/>
      <c r="S8615" s="202"/>
      <c r="T8615"/>
    </row>
    <row r="8616" spans="15:20">
      <c r="O8616" s="247"/>
      <c r="P8616"/>
      <c r="Q8616" s="224"/>
      <c r="S8616" s="202"/>
      <c r="T8616"/>
    </row>
    <row r="8617" spans="15:20">
      <c r="O8617" s="247"/>
      <c r="P8617"/>
      <c r="Q8617" s="224"/>
      <c r="S8617" s="202"/>
      <c r="T8617"/>
    </row>
    <row r="8618" spans="15:20">
      <c r="O8618" s="247"/>
      <c r="P8618"/>
      <c r="Q8618" s="224"/>
      <c r="S8618" s="202"/>
      <c r="T8618"/>
    </row>
    <row r="8619" spans="15:20">
      <c r="O8619" s="247"/>
      <c r="P8619"/>
      <c r="Q8619" s="224"/>
      <c r="S8619" s="202"/>
      <c r="T8619"/>
    </row>
    <row r="8620" spans="15:20">
      <c r="O8620" s="247"/>
      <c r="P8620"/>
      <c r="Q8620" s="224"/>
      <c r="S8620" s="202"/>
      <c r="T8620"/>
    </row>
    <row r="8621" spans="15:20">
      <c r="O8621" s="247"/>
      <c r="P8621"/>
      <c r="Q8621" s="224"/>
      <c r="S8621" s="202"/>
      <c r="T8621"/>
    </row>
    <row r="8622" spans="15:20">
      <c r="O8622" s="247"/>
      <c r="P8622"/>
      <c r="Q8622" s="224"/>
      <c r="S8622" s="202"/>
      <c r="T8622"/>
    </row>
    <row r="8623" spans="15:20">
      <c r="O8623" s="247"/>
      <c r="P8623"/>
      <c r="Q8623" s="224"/>
      <c r="S8623" s="202"/>
      <c r="T8623"/>
    </row>
    <row r="8624" spans="15:20">
      <c r="O8624" s="247"/>
      <c r="P8624"/>
      <c r="Q8624" s="224"/>
      <c r="S8624" s="202"/>
      <c r="T8624"/>
    </row>
    <row r="8625" spans="15:20">
      <c r="O8625" s="247"/>
      <c r="P8625"/>
      <c r="Q8625" s="224"/>
      <c r="S8625" s="202"/>
      <c r="T8625"/>
    </row>
    <row r="8626" spans="15:20">
      <c r="O8626" s="247"/>
      <c r="P8626"/>
      <c r="Q8626" s="224"/>
      <c r="S8626" s="202"/>
      <c r="T8626"/>
    </row>
    <row r="8627" spans="15:20">
      <c r="O8627" s="247"/>
      <c r="P8627"/>
      <c r="Q8627" s="224"/>
      <c r="S8627" s="202"/>
      <c r="T8627"/>
    </row>
    <row r="8628" spans="15:20">
      <c r="O8628" s="247"/>
      <c r="P8628"/>
      <c r="Q8628" s="224"/>
      <c r="S8628" s="202"/>
      <c r="T8628"/>
    </row>
    <row r="8629" spans="15:20">
      <c r="O8629" s="247"/>
      <c r="P8629"/>
      <c r="Q8629" s="224"/>
      <c r="S8629" s="202"/>
      <c r="T8629"/>
    </row>
    <row r="8630" spans="15:20">
      <c r="O8630" s="247"/>
      <c r="P8630"/>
      <c r="Q8630" s="224"/>
      <c r="S8630" s="202"/>
      <c r="T8630"/>
    </row>
    <row r="8631" spans="15:20">
      <c r="O8631" s="247"/>
      <c r="P8631"/>
      <c r="Q8631" s="224"/>
      <c r="S8631" s="202"/>
      <c r="T8631"/>
    </row>
    <row r="8632" spans="15:20">
      <c r="O8632" s="247"/>
      <c r="P8632"/>
      <c r="Q8632" s="224"/>
      <c r="S8632" s="202"/>
      <c r="T8632"/>
    </row>
    <row r="8633" spans="15:20">
      <c r="O8633" s="247"/>
      <c r="P8633"/>
      <c r="Q8633" s="224"/>
      <c r="S8633" s="202"/>
      <c r="T8633"/>
    </row>
    <row r="8634" spans="15:20">
      <c r="O8634" s="247"/>
      <c r="P8634"/>
      <c r="Q8634" s="224"/>
      <c r="S8634" s="202"/>
      <c r="T8634"/>
    </row>
    <row r="8635" spans="15:20">
      <c r="O8635" s="247"/>
      <c r="P8635"/>
      <c r="Q8635" s="224"/>
      <c r="S8635" s="202"/>
      <c r="T8635"/>
    </row>
    <row r="8636" spans="15:20">
      <c r="O8636" s="247"/>
      <c r="P8636"/>
      <c r="Q8636" s="224"/>
      <c r="S8636" s="202"/>
      <c r="T8636"/>
    </row>
    <row r="8637" spans="15:20">
      <c r="O8637" s="247"/>
      <c r="P8637"/>
      <c r="Q8637" s="224"/>
      <c r="S8637" s="202"/>
      <c r="T8637"/>
    </row>
    <row r="8638" spans="15:20">
      <c r="O8638" s="247"/>
      <c r="P8638"/>
      <c r="Q8638" s="224"/>
      <c r="S8638" s="202"/>
      <c r="T8638"/>
    </row>
    <row r="8639" spans="15:20">
      <c r="O8639" s="247"/>
      <c r="P8639"/>
      <c r="Q8639" s="224"/>
      <c r="S8639" s="202"/>
      <c r="T8639"/>
    </row>
    <row r="8640" spans="15:20">
      <c r="O8640" s="247"/>
      <c r="P8640"/>
      <c r="Q8640" s="224"/>
      <c r="S8640" s="202"/>
      <c r="T8640"/>
    </row>
    <row r="8641" spans="15:20">
      <c r="O8641" s="247"/>
      <c r="P8641"/>
      <c r="Q8641" s="224"/>
      <c r="S8641" s="202"/>
      <c r="T8641"/>
    </row>
    <row r="8642" spans="15:20">
      <c r="O8642" s="247"/>
      <c r="P8642"/>
      <c r="Q8642" s="224"/>
      <c r="S8642" s="202"/>
      <c r="T8642"/>
    </row>
    <row r="8643" spans="15:20">
      <c r="O8643" s="247"/>
      <c r="P8643"/>
      <c r="Q8643" s="224"/>
      <c r="S8643" s="202"/>
      <c r="T8643"/>
    </row>
    <row r="8644" spans="15:20">
      <c r="O8644" s="247"/>
      <c r="P8644"/>
      <c r="Q8644" s="224"/>
      <c r="S8644" s="202"/>
      <c r="T8644"/>
    </row>
    <row r="8645" spans="15:20">
      <c r="O8645" s="247"/>
      <c r="P8645"/>
      <c r="Q8645" s="224"/>
      <c r="S8645" s="202"/>
      <c r="T8645"/>
    </row>
    <row r="8646" spans="15:20">
      <c r="O8646" s="247"/>
      <c r="P8646"/>
      <c r="Q8646" s="224"/>
      <c r="S8646" s="202"/>
      <c r="T8646"/>
    </row>
    <row r="8647" spans="15:20">
      <c r="O8647" s="247"/>
      <c r="P8647"/>
      <c r="Q8647" s="224"/>
      <c r="S8647" s="202"/>
      <c r="T8647"/>
    </row>
    <row r="8648" spans="15:20">
      <c r="O8648" s="247"/>
      <c r="P8648"/>
      <c r="Q8648" s="224"/>
      <c r="S8648" s="202"/>
      <c r="T8648"/>
    </row>
    <row r="8649" spans="15:20">
      <c r="O8649" s="247"/>
      <c r="P8649"/>
      <c r="Q8649" s="224"/>
      <c r="S8649" s="202"/>
      <c r="T8649"/>
    </row>
    <row r="8650" spans="15:20">
      <c r="O8650" s="247"/>
      <c r="P8650"/>
      <c r="Q8650" s="224"/>
      <c r="S8650" s="202"/>
      <c r="T8650"/>
    </row>
    <row r="8651" spans="15:20">
      <c r="O8651" s="247"/>
      <c r="P8651"/>
      <c r="Q8651" s="224"/>
      <c r="S8651" s="202"/>
      <c r="T8651"/>
    </row>
    <row r="8652" spans="15:20">
      <c r="O8652" s="247"/>
      <c r="P8652"/>
      <c r="Q8652" s="224"/>
      <c r="S8652" s="202"/>
      <c r="T8652"/>
    </row>
    <row r="8653" spans="15:20">
      <c r="O8653" s="247"/>
      <c r="P8653"/>
      <c r="Q8653" s="224"/>
      <c r="S8653" s="202"/>
      <c r="T8653"/>
    </row>
    <row r="8654" spans="15:20">
      <c r="O8654" s="247"/>
      <c r="P8654"/>
      <c r="Q8654" s="224"/>
      <c r="S8654" s="202"/>
      <c r="T8654"/>
    </row>
    <row r="8655" spans="15:20">
      <c r="O8655" s="247"/>
      <c r="P8655"/>
      <c r="Q8655" s="224"/>
      <c r="S8655" s="202"/>
      <c r="T8655"/>
    </row>
    <row r="8656" spans="15:20">
      <c r="O8656" s="247"/>
      <c r="P8656"/>
      <c r="Q8656" s="224"/>
      <c r="S8656" s="202"/>
      <c r="T8656"/>
    </row>
    <row r="8657" spans="15:20">
      <c r="O8657" s="247"/>
      <c r="P8657"/>
      <c r="Q8657" s="224"/>
      <c r="S8657" s="202"/>
      <c r="T8657"/>
    </row>
    <row r="8658" spans="15:20">
      <c r="O8658" s="247"/>
      <c r="P8658"/>
      <c r="Q8658" s="224"/>
      <c r="S8658" s="202"/>
      <c r="T8658"/>
    </row>
    <row r="8659" spans="15:20">
      <c r="O8659" s="247"/>
      <c r="P8659"/>
      <c r="Q8659" s="224"/>
      <c r="S8659" s="202"/>
      <c r="T8659"/>
    </row>
    <row r="8660" spans="15:20">
      <c r="O8660" s="247"/>
      <c r="P8660"/>
      <c r="Q8660" s="224"/>
      <c r="S8660" s="202"/>
      <c r="T8660"/>
    </row>
    <row r="8661" spans="15:20">
      <c r="O8661" s="247"/>
      <c r="P8661"/>
      <c r="Q8661" s="224"/>
      <c r="S8661" s="202"/>
      <c r="T8661"/>
    </row>
    <row r="8662" spans="15:20">
      <c r="O8662" s="247"/>
      <c r="P8662"/>
      <c r="Q8662" s="224"/>
      <c r="S8662" s="202"/>
      <c r="T8662"/>
    </row>
    <row r="8663" spans="15:20">
      <c r="O8663" s="247"/>
      <c r="P8663"/>
      <c r="Q8663" s="224"/>
      <c r="S8663" s="202"/>
      <c r="T8663"/>
    </row>
    <row r="8664" spans="15:20">
      <c r="O8664" s="247"/>
      <c r="P8664"/>
      <c r="Q8664" s="224"/>
      <c r="S8664" s="202"/>
      <c r="T8664"/>
    </row>
    <row r="8665" spans="15:20">
      <c r="O8665" s="247"/>
      <c r="P8665"/>
      <c r="Q8665" s="224"/>
      <c r="S8665" s="202"/>
      <c r="T8665"/>
    </row>
    <row r="8666" spans="15:20">
      <c r="O8666" s="247"/>
      <c r="P8666"/>
      <c r="Q8666" s="224"/>
      <c r="S8666" s="202"/>
      <c r="T8666"/>
    </row>
    <row r="8667" spans="15:20">
      <c r="O8667" s="247"/>
      <c r="P8667"/>
      <c r="Q8667" s="224"/>
      <c r="S8667" s="202"/>
      <c r="T8667"/>
    </row>
    <row r="8668" spans="15:20">
      <c r="O8668" s="247"/>
      <c r="P8668"/>
      <c r="Q8668" s="224"/>
      <c r="S8668" s="202"/>
      <c r="T8668"/>
    </row>
    <row r="8669" spans="15:20">
      <c r="O8669" s="247"/>
      <c r="P8669"/>
      <c r="Q8669" s="224"/>
      <c r="S8669" s="202"/>
      <c r="T8669"/>
    </row>
    <row r="8670" spans="15:20">
      <c r="O8670" s="247"/>
      <c r="P8670"/>
      <c r="Q8670" s="224"/>
      <c r="S8670" s="202"/>
      <c r="T8670"/>
    </row>
    <row r="8671" spans="15:20">
      <c r="O8671" s="247"/>
      <c r="P8671"/>
      <c r="Q8671" s="224"/>
      <c r="S8671" s="202"/>
      <c r="T8671"/>
    </row>
    <row r="8672" spans="15:20">
      <c r="O8672" s="247"/>
      <c r="P8672"/>
      <c r="Q8672" s="224"/>
      <c r="S8672" s="202"/>
      <c r="T8672"/>
    </row>
    <row r="8673" spans="15:20">
      <c r="O8673" s="247"/>
      <c r="P8673"/>
      <c r="Q8673" s="224"/>
      <c r="S8673" s="202"/>
      <c r="T8673"/>
    </row>
    <row r="8674" spans="15:20">
      <c r="O8674" s="247"/>
      <c r="P8674"/>
      <c r="Q8674" s="224"/>
      <c r="S8674" s="202"/>
      <c r="T8674"/>
    </row>
    <row r="8675" spans="15:20">
      <c r="O8675" s="247"/>
      <c r="P8675"/>
      <c r="Q8675" s="224"/>
      <c r="S8675" s="202"/>
      <c r="T8675"/>
    </row>
    <row r="8676" spans="15:20">
      <c r="O8676" s="247"/>
      <c r="P8676"/>
      <c r="Q8676" s="224"/>
      <c r="S8676" s="202"/>
      <c r="T8676"/>
    </row>
    <row r="8677" spans="15:20">
      <c r="O8677" s="247"/>
      <c r="P8677"/>
      <c r="Q8677" s="224"/>
      <c r="S8677" s="202"/>
      <c r="T8677"/>
    </row>
    <row r="8678" spans="15:20">
      <c r="O8678" s="247"/>
      <c r="P8678"/>
      <c r="Q8678" s="224"/>
      <c r="S8678" s="202"/>
      <c r="T8678"/>
    </row>
    <row r="8679" spans="15:20">
      <c r="O8679" s="247"/>
      <c r="P8679"/>
      <c r="Q8679" s="224"/>
      <c r="S8679" s="202"/>
      <c r="T8679"/>
    </row>
    <row r="8680" spans="15:20">
      <c r="O8680" s="247"/>
      <c r="P8680"/>
      <c r="Q8680" s="224"/>
      <c r="S8680" s="202"/>
      <c r="T8680"/>
    </row>
    <row r="8681" spans="15:20">
      <c r="O8681" s="247"/>
      <c r="P8681"/>
      <c r="Q8681" s="224"/>
      <c r="S8681" s="202"/>
      <c r="T8681"/>
    </row>
    <row r="8682" spans="15:20">
      <c r="O8682" s="247"/>
      <c r="P8682"/>
      <c r="Q8682" s="224"/>
      <c r="S8682" s="202"/>
      <c r="T8682"/>
    </row>
    <row r="8683" spans="15:20">
      <c r="O8683" s="247"/>
      <c r="P8683"/>
      <c r="Q8683" s="224"/>
      <c r="S8683" s="202"/>
      <c r="T8683"/>
    </row>
    <row r="8684" spans="15:20">
      <c r="O8684" s="247"/>
      <c r="P8684"/>
      <c r="Q8684" s="224"/>
      <c r="S8684" s="202"/>
      <c r="T8684"/>
    </row>
    <row r="8685" spans="15:20">
      <c r="O8685" s="247"/>
      <c r="P8685"/>
      <c r="Q8685" s="224"/>
      <c r="S8685" s="202"/>
      <c r="T8685"/>
    </row>
    <row r="8686" spans="15:20">
      <c r="O8686" s="247"/>
      <c r="P8686"/>
      <c r="Q8686" s="224"/>
      <c r="S8686" s="202"/>
      <c r="T8686"/>
    </row>
    <row r="8687" spans="15:20">
      <c r="O8687" s="247"/>
      <c r="P8687"/>
      <c r="Q8687" s="224"/>
      <c r="S8687" s="202"/>
      <c r="T8687"/>
    </row>
    <row r="8688" spans="15:20">
      <c r="O8688" s="247"/>
      <c r="P8688"/>
      <c r="Q8688" s="224"/>
      <c r="S8688" s="202"/>
      <c r="T8688"/>
    </row>
    <row r="8689" spans="15:20">
      <c r="O8689" s="247"/>
      <c r="P8689"/>
      <c r="Q8689" s="224"/>
      <c r="S8689" s="202"/>
      <c r="T8689"/>
    </row>
    <row r="8690" spans="15:20">
      <c r="O8690" s="247"/>
      <c r="P8690"/>
      <c r="Q8690" s="224"/>
      <c r="S8690" s="202"/>
      <c r="T8690"/>
    </row>
    <row r="8691" spans="15:20">
      <c r="O8691" s="247"/>
      <c r="P8691"/>
      <c r="Q8691" s="224"/>
      <c r="S8691" s="202"/>
      <c r="T8691"/>
    </row>
    <row r="8692" spans="15:20">
      <c r="O8692" s="247"/>
      <c r="P8692"/>
      <c r="Q8692" s="224"/>
      <c r="S8692" s="202"/>
      <c r="T8692"/>
    </row>
    <row r="8693" spans="15:20">
      <c r="O8693" s="247"/>
      <c r="P8693"/>
      <c r="Q8693" s="224"/>
      <c r="S8693" s="202"/>
      <c r="T8693"/>
    </row>
    <row r="8694" spans="15:20">
      <c r="O8694" s="247"/>
      <c r="P8694"/>
      <c r="Q8694" s="224"/>
      <c r="S8694" s="202"/>
      <c r="T8694"/>
    </row>
    <row r="8695" spans="15:20">
      <c r="O8695" s="247"/>
      <c r="P8695"/>
      <c r="Q8695" s="224"/>
      <c r="S8695" s="202"/>
      <c r="T8695"/>
    </row>
    <row r="8696" spans="15:20">
      <c r="O8696" s="247"/>
      <c r="P8696"/>
      <c r="Q8696" s="224"/>
      <c r="S8696" s="202"/>
      <c r="T8696"/>
    </row>
    <row r="8697" spans="15:20">
      <c r="O8697" s="247"/>
      <c r="P8697"/>
      <c r="Q8697" s="224"/>
      <c r="S8697" s="202"/>
      <c r="T8697"/>
    </row>
    <row r="8698" spans="15:20">
      <c r="O8698" s="247"/>
      <c r="P8698"/>
      <c r="Q8698" s="224"/>
      <c r="S8698" s="202"/>
      <c r="T8698"/>
    </row>
    <row r="8699" spans="15:20">
      <c r="O8699" s="247"/>
      <c r="P8699"/>
      <c r="Q8699" s="224"/>
      <c r="S8699" s="202"/>
      <c r="T8699"/>
    </row>
    <row r="8700" spans="15:20">
      <c r="O8700" s="247"/>
      <c r="P8700"/>
      <c r="Q8700" s="224"/>
      <c r="S8700" s="202"/>
      <c r="T8700"/>
    </row>
    <row r="8701" spans="15:20">
      <c r="O8701" s="247"/>
      <c r="P8701"/>
      <c r="Q8701" s="224"/>
      <c r="S8701" s="202"/>
      <c r="T8701"/>
    </row>
    <row r="8702" spans="15:20">
      <c r="O8702" s="247"/>
      <c r="P8702"/>
      <c r="Q8702" s="224"/>
      <c r="S8702" s="202"/>
      <c r="T8702"/>
    </row>
    <row r="8703" spans="15:20">
      <c r="O8703" s="247"/>
      <c r="P8703"/>
      <c r="Q8703" s="224"/>
      <c r="S8703" s="202"/>
      <c r="T8703"/>
    </row>
    <row r="8704" spans="15:20">
      <c r="O8704" s="247"/>
      <c r="P8704"/>
      <c r="Q8704" s="224"/>
      <c r="S8704" s="202"/>
      <c r="T8704"/>
    </row>
    <row r="8705" spans="15:20">
      <c r="O8705" s="247"/>
      <c r="P8705"/>
      <c r="Q8705" s="224"/>
      <c r="S8705" s="202"/>
      <c r="T8705"/>
    </row>
    <row r="8706" spans="15:20">
      <c r="O8706" s="247"/>
      <c r="P8706"/>
      <c r="Q8706" s="224"/>
      <c r="S8706" s="202"/>
      <c r="T8706"/>
    </row>
    <row r="8707" spans="15:20">
      <c r="O8707" s="247"/>
      <c r="P8707"/>
      <c r="Q8707" s="224"/>
      <c r="S8707" s="202"/>
      <c r="T8707"/>
    </row>
    <row r="8708" spans="15:20">
      <c r="O8708" s="247"/>
      <c r="P8708"/>
      <c r="Q8708" s="224"/>
      <c r="S8708" s="202"/>
      <c r="T8708"/>
    </row>
    <row r="8709" spans="15:20">
      <c r="O8709" s="247"/>
      <c r="P8709"/>
      <c r="Q8709" s="224"/>
      <c r="S8709" s="202"/>
      <c r="T8709"/>
    </row>
    <row r="8710" spans="15:20">
      <c r="O8710" s="247"/>
      <c r="P8710"/>
      <c r="Q8710" s="224"/>
      <c r="S8710" s="202"/>
      <c r="T8710"/>
    </row>
    <row r="8711" spans="15:20">
      <c r="O8711" s="247"/>
      <c r="P8711"/>
      <c r="Q8711" s="224"/>
      <c r="S8711" s="202"/>
      <c r="T8711"/>
    </row>
    <row r="8712" spans="15:20">
      <c r="O8712" s="247"/>
      <c r="P8712"/>
      <c r="Q8712" s="224"/>
      <c r="S8712" s="202"/>
      <c r="T8712"/>
    </row>
    <row r="8713" spans="15:20">
      <c r="O8713" s="247"/>
      <c r="P8713"/>
      <c r="Q8713" s="224"/>
      <c r="S8713" s="202"/>
      <c r="T8713"/>
    </row>
    <row r="8714" spans="15:20">
      <c r="O8714" s="247"/>
      <c r="P8714"/>
      <c r="Q8714" s="224"/>
      <c r="S8714" s="202"/>
      <c r="T8714"/>
    </row>
    <row r="8715" spans="15:20">
      <c r="O8715" s="247"/>
      <c r="P8715"/>
      <c r="Q8715" s="224"/>
      <c r="S8715" s="202"/>
      <c r="T8715"/>
    </row>
    <row r="8716" spans="15:20">
      <c r="O8716" s="247"/>
      <c r="P8716"/>
      <c r="Q8716" s="224"/>
      <c r="S8716" s="202"/>
      <c r="T8716"/>
    </row>
    <row r="8717" spans="15:20">
      <c r="O8717" s="247"/>
      <c r="P8717"/>
      <c r="Q8717" s="224"/>
      <c r="S8717" s="202"/>
      <c r="T8717"/>
    </row>
    <row r="8718" spans="15:20">
      <c r="O8718" s="247"/>
      <c r="P8718"/>
      <c r="Q8718" s="224"/>
      <c r="S8718" s="202"/>
      <c r="T8718"/>
    </row>
    <row r="8719" spans="15:20">
      <c r="O8719" s="247"/>
      <c r="P8719"/>
      <c r="Q8719" s="224"/>
      <c r="S8719" s="202"/>
      <c r="T8719"/>
    </row>
    <row r="8720" spans="15:20">
      <c r="O8720" s="247"/>
      <c r="P8720"/>
      <c r="Q8720" s="224"/>
      <c r="S8720" s="202"/>
      <c r="T8720"/>
    </row>
    <row r="8721" spans="15:20">
      <c r="O8721" s="247"/>
      <c r="P8721"/>
      <c r="Q8721" s="224"/>
      <c r="S8721" s="202"/>
      <c r="T8721"/>
    </row>
    <row r="8722" spans="15:20">
      <c r="O8722" s="247"/>
      <c r="P8722"/>
      <c r="Q8722" s="224"/>
      <c r="S8722" s="202"/>
      <c r="T8722"/>
    </row>
    <row r="8723" spans="15:20">
      <c r="O8723" s="247"/>
      <c r="P8723"/>
      <c r="Q8723" s="224"/>
      <c r="S8723" s="202"/>
      <c r="T8723"/>
    </row>
    <row r="8724" spans="15:20">
      <c r="O8724" s="247"/>
      <c r="P8724"/>
      <c r="Q8724" s="224"/>
      <c r="S8724" s="202"/>
      <c r="T8724"/>
    </row>
    <row r="8725" spans="15:20">
      <c r="O8725" s="247"/>
      <c r="P8725"/>
      <c r="Q8725" s="224"/>
      <c r="S8725" s="202"/>
      <c r="T8725"/>
    </row>
    <row r="8726" spans="15:20">
      <c r="O8726" s="247"/>
      <c r="P8726"/>
      <c r="Q8726" s="224"/>
      <c r="S8726" s="202"/>
      <c r="T8726"/>
    </row>
    <row r="8727" spans="15:20">
      <c r="O8727" s="247"/>
      <c r="P8727"/>
      <c r="Q8727" s="224"/>
      <c r="S8727" s="202"/>
      <c r="T8727"/>
    </row>
    <row r="8728" spans="15:20">
      <c r="O8728" s="247"/>
      <c r="P8728"/>
      <c r="Q8728" s="224"/>
      <c r="S8728" s="202"/>
      <c r="T8728"/>
    </row>
    <row r="8729" spans="15:20">
      <c r="O8729" s="247"/>
      <c r="P8729"/>
      <c r="Q8729" s="224"/>
      <c r="S8729" s="202"/>
      <c r="T8729"/>
    </row>
    <row r="8730" spans="15:20">
      <c r="O8730" s="247"/>
      <c r="P8730"/>
      <c r="Q8730" s="224"/>
      <c r="S8730" s="202"/>
      <c r="T8730"/>
    </row>
    <row r="8731" spans="15:20">
      <c r="O8731" s="247"/>
      <c r="P8731"/>
      <c r="Q8731" s="224"/>
      <c r="S8731" s="202"/>
      <c r="T8731"/>
    </row>
    <row r="8732" spans="15:20">
      <c r="O8732" s="247"/>
      <c r="P8732"/>
      <c r="Q8732" s="224"/>
      <c r="S8732" s="202"/>
      <c r="T8732"/>
    </row>
    <row r="8733" spans="15:20">
      <c r="O8733" s="247"/>
      <c r="P8733"/>
      <c r="Q8733" s="224"/>
      <c r="S8733" s="202"/>
      <c r="T8733"/>
    </row>
    <row r="8734" spans="15:20">
      <c r="O8734" s="247"/>
      <c r="P8734"/>
      <c r="Q8734" s="224"/>
      <c r="S8734" s="202"/>
      <c r="T8734"/>
    </row>
    <row r="8735" spans="15:20">
      <c r="O8735" s="247"/>
      <c r="P8735"/>
      <c r="Q8735" s="224"/>
      <c r="S8735" s="202"/>
      <c r="T8735"/>
    </row>
    <row r="8736" spans="15:20">
      <c r="O8736" s="247"/>
      <c r="P8736"/>
      <c r="Q8736" s="224"/>
      <c r="S8736" s="202"/>
      <c r="T8736"/>
    </row>
    <row r="8737" spans="15:20">
      <c r="O8737" s="247"/>
      <c r="P8737"/>
      <c r="Q8737" s="224"/>
      <c r="S8737" s="202"/>
      <c r="T8737"/>
    </row>
    <row r="8738" spans="15:20">
      <c r="O8738" s="247"/>
      <c r="P8738"/>
      <c r="Q8738" s="224"/>
      <c r="S8738" s="202"/>
      <c r="T8738"/>
    </row>
    <row r="8739" spans="15:20">
      <c r="O8739" s="247"/>
      <c r="P8739"/>
      <c r="Q8739" s="224"/>
      <c r="S8739" s="202"/>
      <c r="T8739"/>
    </row>
    <row r="8740" spans="15:20">
      <c r="O8740" s="247"/>
      <c r="P8740"/>
      <c r="Q8740" s="224"/>
      <c r="S8740" s="202"/>
      <c r="T8740"/>
    </row>
    <row r="8741" spans="15:20">
      <c r="O8741" s="247"/>
      <c r="P8741"/>
      <c r="Q8741" s="224"/>
      <c r="S8741" s="202"/>
      <c r="T8741"/>
    </row>
    <row r="8742" spans="15:20">
      <c r="O8742" s="247"/>
      <c r="P8742"/>
      <c r="Q8742" s="224"/>
      <c r="S8742" s="202"/>
      <c r="T8742"/>
    </row>
    <row r="8743" spans="15:20">
      <c r="O8743" s="247"/>
      <c r="P8743"/>
      <c r="Q8743" s="224"/>
      <c r="S8743" s="202"/>
      <c r="T8743"/>
    </row>
    <row r="8744" spans="15:20">
      <c r="O8744" s="247"/>
      <c r="P8744"/>
      <c r="Q8744" s="224"/>
      <c r="S8744" s="202"/>
      <c r="T8744"/>
    </row>
    <row r="8745" spans="15:20">
      <c r="O8745" s="247"/>
      <c r="P8745"/>
      <c r="Q8745" s="224"/>
      <c r="S8745" s="202"/>
      <c r="T8745"/>
    </row>
    <row r="8746" spans="15:20">
      <c r="O8746" s="247"/>
      <c r="P8746"/>
      <c r="Q8746" s="224"/>
      <c r="S8746" s="202"/>
      <c r="T8746"/>
    </row>
    <row r="8747" spans="15:20">
      <c r="O8747" s="247"/>
      <c r="P8747"/>
      <c r="Q8747" s="224"/>
      <c r="S8747" s="202"/>
      <c r="T8747"/>
    </row>
    <row r="8748" spans="15:20">
      <c r="O8748" s="247"/>
      <c r="P8748"/>
      <c r="Q8748" s="224"/>
      <c r="S8748" s="202"/>
      <c r="T8748"/>
    </row>
    <row r="8749" spans="15:20">
      <c r="O8749" s="247"/>
      <c r="P8749"/>
      <c r="Q8749" s="224"/>
      <c r="S8749" s="202"/>
      <c r="T8749"/>
    </row>
    <row r="8750" spans="15:20">
      <c r="O8750" s="247"/>
      <c r="P8750"/>
      <c r="Q8750" s="224"/>
      <c r="S8750" s="202"/>
      <c r="T8750"/>
    </row>
    <row r="8751" spans="15:20">
      <c r="O8751" s="247"/>
      <c r="P8751"/>
      <c r="Q8751" s="224"/>
      <c r="S8751" s="202"/>
      <c r="T8751"/>
    </row>
    <row r="8752" spans="15:20">
      <c r="O8752" s="247"/>
      <c r="P8752"/>
      <c r="Q8752" s="224"/>
      <c r="S8752" s="202"/>
      <c r="T8752"/>
    </row>
    <row r="8753" spans="15:20">
      <c r="O8753" s="247"/>
      <c r="P8753"/>
      <c r="Q8753" s="224"/>
      <c r="S8753" s="202"/>
      <c r="T8753"/>
    </row>
    <row r="8754" spans="15:20">
      <c r="O8754" s="247"/>
      <c r="P8754"/>
      <c r="Q8754" s="224"/>
      <c r="S8754" s="202"/>
      <c r="T8754"/>
    </row>
    <row r="8755" spans="15:20">
      <c r="O8755" s="247"/>
      <c r="P8755"/>
      <c r="Q8755" s="224"/>
      <c r="S8755" s="202"/>
      <c r="T8755"/>
    </row>
    <row r="8756" spans="15:20">
      <c r="O8756" s="247"/>
      <c r="P8756"/>
      <c r="Q8756" s="224"/>
      <c r="S8756" s="202"/>
      <c r="T8756"/>
    </row>
    <row r="8757" spans="15:20">
      <c r="O8757" s="247"/>
      <c r="P8757"/>
      <c r="Q8757" s="224"/>
      <c r="S8757" s="202"/>
      <c r="T8757"/>
    </row>
    <row r="8758" spans="15:20">
      <c r="O8758" s="247"/>
      <c r="P8758"/>
      <c r="Q8758" s="224"/>
      <c r="S8758" s="202"/>
      <c r="T8758"/>
    </row>
    <row r="8759" spans="15:20">
      <c r="O8759" s="247"/>
      <c r="P8759"/>
      <c r="Q8759" s="224"/>
      <c r="S8759" s="202"/>
      <c r="T8759"/>
    </row>
    <row r="8760" spans="15:20">
      <c r="O8760" s="247"/>
      <c r="P8760"/>
      <c r="Q8760" s="224"/>
      <c r="S8760" s="202"/>
      <c r="T8760"/>
    </row>
    <row r="8761" spans="15:20">
      <c r="O8761" s="247"/>
      <c r="P8761"/>
      <c r="Q8761" s="224"/>
      <c r="S8761" s="202"/>
      <c r="T8761"/>
    </row>
    <row r="8762" spans="15:20">
      <c r="O8762" s="247"/>
      <c r="P8762"/>
      <c r="Q8762" s="224"/>
      <c r="S8762" s="202"/>
      <c r="T8762"/>
    </row>
    <row r="8763" spans="15:20">
      <c r="O8763" s="247"/>
      <c r="P8763"/>
      <c r="Q8763" s="224"/>
      <c r="S8763" s="202"/>
      <c r="T8763"/>
    </row>
    <row r="8764" spans="15:20">
      <c r="O8764" s="247"/>
      <c r="P8764"/>
      <c r="Q8764" s="224"/>
      <c r="S8764" s="202"/>
      <c r="T8764"/>
    </row>
    <row r="8765" spans="15:20">
      <c r="O8765" s="247"/>
      <c r="P8765"/>
      <c r="Q8765" s="224"/>
      <c r="S8765" s="202"/>
      <c r="T8765"/>
    </row>
    <row r="8766" spans="15:20">
      <c r="O8766" s="247"/>
      <c r="P8766"/>
      <c r="Q8766" s="224"/>
      <c r="S8766" s="202"/>
      <c r="T8766"/>
    </row>
    <row r="8767" spans="15:20">
      <c r="O8767" s="247"/>
      <c r="P8767"/>
      <c r="Q8767" s="224"/>
      <c r="S8767" s="202"/>
      <c r="T8767"/>
    </row>
    <row r="8768" spans="15:20">
      <c r="O8768" s="247"/>
      <c r="P8768"/>
      <c r="Q8768" s="224"/>
      <c r="S8768" s="202"/>
      <c r="T8768"/>
    </row>
    <row r="8769" spans="15:20">
      <c r="O8769" s="247"/>
      <c r="P8769"/>
      <c r="Q8769" s="224"/>
      <c r="S8769" s="202"/>
      <c r="T8769"/>
    </row>
    <row r="8770" spans="15:20">
      <c r="O8770" s="247"/>
      <c r="P8770"/>
      <c r="Q8770" s="224"/>
      <c r="S8770" s="202"/>
      <c r="T8770"/>
    </row>
    <row r="8771" spans="15:20">
      <c r="O8771" s="247"/>
      <c r="P8771"/>
      <c r="Q8771" s="224"/>
      <c r="S8771" s="202"/>
      <c r="T8771"/>
    </row>
    <row r="8772" spans="15:20">
      <c r="O8772" s="247"/>
      <c r="P8772"/>
      <c r="Q8772" s="224"/>
      <c r="S8772" s="202"/>
      <c r="T8772"/>
    </row>
    <row r="8773" spans="15:20">
      <c r="O8773" s="247"/>
      <c r="P8773"/>
      <c r="Q8773" s="224"/>
      <c r="S8773" s="202"/>
      <c r="T8773"/>
    </row>
    <row r="8774" spans="15:20">
      <c r="O8774" s="247"/>
      <c r="P8774"/>
      <c r="Q8774" s="224"/>
      <c r="S8774" s="202"/>
      <c r="T8774"/>
    </row>
    <row r="8775" spans="15:20">
      <c r="O8775" s="247"/>
      <c r="P8775"/>
      <c r="Q8775" s="224"/>
      <c r="S8775" s="202"/>
      <c r="T8775"/>
    </row>
    <row r="8776" spans="15:20">
      <c r="O8776" s="247"/>
      <c r="P8776"/>
      <c r="Q8776" s="224"/>
      <c r="S8776" s="202"/>
      <c r="T8776"/>
    </row>
    <row r="8777" spans="15:20">
      <c r="O8777" s="247"/>
      <c r="P8777"/>
      <c r="Q8777" s="224"/>
      <c r="S8777" s="202"/>
      <c r="T8777"/>
    </row>
    <row r="8778" spans="15:20">
      <c r="O8778" s="247"/>
      <c r="P8778"/>
      <c r="Q8778" s="224"/>
      <c r="S8778" s="202"/>
      <c r="T8778"/>
    </row>
    <row r="8779" spans="15:20">
      <c r="O8779" s="247"/>
      <c r="P8779"/>
      <c r="Q8779" s="224"/>
      <c r="S8779" s="202"/>
      <c r="T8779"/>
    </row>
    <row r="8780" spans="15:20">
      <c r="O8780" s="247"/>
      <c r="P8780"/>
      <c r="Q8780" s="224"/>
      <c r="S8780" s="202"/>
      <c r="T8780"/>
    </row>
    <row r="8781" spans="15:20">
      <c r="O8781" s="247"/>
      <c r="P8781"/>
      <c r="Q8781" s="224"/>
      <c r="S8781" s="202"/>
      <c r="T8781"/>
    </row>
    <row r="8782" spans="15:20">
      <c r="O8782" s="247"/>
      <c r="P8782"/>
      <c r="Q8782" s="224"/>
      <c r="S8782" s="202"/>
      <c r="T8782"/>
    </row>
    <row r="8783" spans="15:20">
      <c r="O8783" s="247"/>
      <c r="P8783"/>
      <c r="Q8783" s="224"/>
      <c r="S8783" s="202"/>
      <c r="T8783"/>
    </row>
    <row r="8784" spans="15:20">
      <c r="O8784" s="247"/>
      <c r="P8784"/>
      <c r="Q8784" s="224"/>
      <c r="S8784" s="202"/>
      <c r="T8784"/>
    </row>
    <row r="8785" spans="15:20">
      <c r="O8785" s="247"/>
      <c r="P8785"/>
      <c r="Q8785" s="224"/>
      <c r="S8785" s="202"/>
      <c r="T8785"/>
    </row>
    <row r="8786" spans="15:20">
      <c r="O8786" s="247"/>
      <c r="P8786"/>
      <c r="Q8786" s="224"/>
      <c r="S8786" s="202"/>
      <c r="T8786"/>
    </row>
    <row r="8787" spans="15:20">
      <c r="O8787" s="247"/>
      <c r="P8787"/>
      <c r="Q8787" s="224"/>
      <c r="S8787" s="202"/>
      <c r="T8787"/>
    </row>
    <row r="8788" spans="15:20">
      <c r="O8788" s="247"/>
      <c r="P8788"/>
      <c r="Q8788" s="224"/>
      <c r="S8788" s="202"/>
      <c r="T8788"/>
    </row>
    <row r="8789" spans="15:20">
      <c r="O8789" s="247"/>
      <c r="P8789"/>
      <c r="Q8789" s="224"/>
      <c r="S8789" s="202"/>
      <c r="T8789"/>
    </row>
    <row r="8790" spans="15:20">
      <c r="O8790" s="247"/>
      <c r="P8790"/>
      <c r="Q8790" s="224"/>
      <c r="S8790" s="202"/>
      <c r="T8790"/>
    </row>
    <row r="8791" spans="15:20">
      <c r="O8791" s="247"/>
      <c r="P8791"/>
      <c r="Q8791" s="224"/>
      <c r="S8791" s="202"/>
      <c r="T8791"/>
    </row>
    <row r="8792" spans="15:20">
      <c r="O8792" s="247"/>
      <c r="P8792"/>
      <c r="Q8792" s="224"/>
      <c r="S8792" s="202"/>
      <c r="T8792"/>
    </row>
    <row r="8793" spans="15:20">
      <c r="O8793" s="247"/>
      <c r="P8793"/>
      <c r="Q8793" s="224"/>
      <c r="S8793" s="202"/>
      <c r="T8793"/>
    </row>
    <row r="8794" spans="15:20">
      <c r="O8794" s="247"/>
      <c r="P8794"/>
      <c r="Q8794" s="224"/>
      <c r="S8794" s="202"/>
      <c r="T8794"/>
    </row>
    <row r="8795" spans="15:20">
      <c r="O8795" s="247"/>
      <c r="P8795"/>
      <c r="Q8795" s="224"/>
      <c r="S8795" s="202"/>
      <c r="T8795"/>
    </row>
    <row r="8796" spans="15:20">
      <c r="O8796" s="247"/>
      <c r="P8796"/>
      <c r="Q8796" s="224"/>
      <c r="S8796" s="202"/>
      <c r="T8796"/>
    </row>
    <row r="8797" spans="15:20">
      <c r="O8797" s="247"/>
      <c r="P8797"/>
      <c r="Q8797" s="224"/>
      <c r="S8797" s="202"/>
      <c r="T8797"/>
    </row>
    <row r="8798" spans="15:20">
      <c r="O8798" s="247"/>
      <c r="P8798"/>
      <c r="Q8798" s="224"/>
      <c r="S8798" s="202"/>
      <c r="T8798"/>
    </row>
    <row r="8799" spans="15:20">
      <c r="O8799" s="247"/>
      <c r="P8799"/>
      <c r="Q8799" s="224"/>
      <c r="S8799" s="202"/>
      <c r="T8799"/>
    </row>
    <row r="8800" spans="15:20">
      <c r="O8800" s="247"/>
      <c r="P8800"/>
      <c r="Q8800" s="224"/>
      <c r="S8800" s="202"/>
      <c r="T8800"/>
    </row>
    <row r="8801" spans="15:20">
      <c r="O8801" s="247"/>
      <c r="P8801"/>
      <c r="Q8801" s="224"/>
      <c r="S8801" s="202"/>
      <c r="T8801"/>
    </row>
    <row r="8802" spans="15:20">
      <c r="O8802" s="247"/>
      <c r="P8802"/>
      <c r="Q8802" s="224"/>
      <c r="S8802" s="202"/>
      <c r="T8802"/>
    </row>
    <row r="8803" spans="15:20">
      <c r="O8803" s="247"/>
      <c r="P8803"/>
      <c r="Q8803" s="224"/>
      <c r="S8803" s="202"/>
      <c r="T8803"/>
    </row>
    <row r="8804" spans="15:20">
      <c r="O8804" s="247"/>
      <c r="P8804"/>
      <c r="Q8804" s="224"/>
      <c r="S8804" s="202"/>
      <c r="T8804"/>
    </row>
    <row r="8805" spans="15:20">
      <c r="O8805" s="247"/>
      <c r="P8805"/>
      <c r="Q8805" s="224"/>
      <c r="S8805" s="202"/>
      <c r="T8805"/>
    </row>
    <row r="8806" spans="15:20">
      <c r="O8806" s="247"/>
      <c r="P8806"/>
      <c r="Q8806" s="224"/>
      <c r="S8806" s="202"/>
      <c r="T8806"/>
    </row>
    <row r="8807" spans="15:20">
      <c r="O8807" s="247"/>
      <c r="P8807"/>
      <c r="Q8807" s="224"/>
      <c r="S8807" s="202"/>
      <c r="T8807"/>
    </row>
    <row r="8808" spans="15:20">
      <c r="O8808" s="247"/>
      <c r="P8808"/>
      <c r="Q8808" s="224"/>
      <c r="S8808" s="202"/>
      <c r="T8808"/>
    </row>
    <row r="8809" spans="15:20">
      <c r="O8809" s="247"/>
      <c r="P8809"/>
      <c r="Q8809" s="224"/>
      <c r="S8809" s="202"/>
      <c r="T8809"/>
    </row>
    <row r="8810" spans="15:20">
      <c r="O8810" s="247"/>
      <c r="P8810"/>
      <c r="Q8810" s="224"/>
      <c r="S8810" s="202"/>
      <c r="T8810"/>
    </row>
    <row r="8811" spans="15:20">
      <c r="O8811" s="247"/>
      <c r="P8811"/>
      <c r="Q8811" s="224"/>
      <c r="S8811" s="202"/>
      <c r="T8811"/>
    </row>
    <row r="8812" spans="15:20">
      <c r="O8812" s="247"/>
      <c r="P8812"/>
      <c r="Q8812" s="224"/>
      <c r="S8812" s="202"/>
      <c r="T8812"/>
    </row>
    <row r="8813" spans="15:20">
      <c r="O8813" s="247"/>
      <c r="P8813"/>
      <c r="Q8813" s="224"/>
      <c r="S8813" s="202"/>
      <c r="T8813"/>
    </row>
    <row r="8814" spans="15:20">
      <c r="O8814" s="247"/>
      <c r="P8814"/>
      <c r="Q8814" s="224"/>
      <c r="S8814" s="202"/>
      <c r="T8814"/>
    </row>
    <row r="8815" spans="15:20">
      <c r="O8815" s="247"/>
      <c r="P8815"/>
      <c r="Q8815" s="224"/>
      <c r="S8815" s="202"/>
      <c r="T8815"/>
    </row>
    <row r="8816" spans="15:20">
      <c r="O8816" s="247"/>
      <c r="P8816"/>
      <c r="Q8816" s="224"/>
      <c r="S8816" s="202"/>
      <c r="T8816"/>
    </row>
    <row r="8817" spans="15:20">
      <c r="O8817" s="247"/>
      <c r="P8817"/>
      <c r="Q8817" s="224"/>
      <c r="S8817" s="202"/>
      <c r="T8817"/>
    </row>
    <row r="8818" spans="15:20">
      <c r="O8818" s="247"/>
      <c r="P8818"/>
      <c r="Q8818" s="224"/>
      <c r="S8818" s="202"/>
      <c r="T8818"/>
    </row>
    <row r="8819" spans="15:20">
      <c r="O8819" s="247"/>
      <c r="P8819"/>
      <c r="Q8819" s="224"/>
      <c r="S8819" s="202"/>
      <c r="T8819"/>
    </row>
    <row r="8820" spans="15:20">
      <c r="O8820" s="247"/>
      <c r="P8820"/>
      <c r="Q8820" s="224"/>
      <c r="S8820" s="202"/>
      <c r="T8820"/>
    </row>
    <row r="8821" spans="15:20">
      <c r="O8821" s="247"/>
      <c r="P8821"/>
      <c r="Q8821" s="224"/>
      <c r="S8821" s="202"/>
      <c r="T8821"/>
    </row>
    <row r="8822" spans="15:20">
      <c r="O8822" s="247"/>
      <c r="P8822"/>
      <c r="Q8822" s="224"/>
      <c r="S8822" s="202"/>
      <c r="T8822"/>
    </row>
    <row r="8823" spans="15:20">
      <c r="O8823" s="247"/>
      <c r="P8823"/>
      <c r="Q8823" s="224"/>
      <c r="S8823" s="202"/>
      <c r="T8823"/>
    </row>
    <row r="8824" spans="15:20">
      <c r="O8824" s="247"/>
      <c r="P8824"/>
      <c r="Q8824" s="224"/>
      <c r="S8824" s="202"/>
      <c r="T8824"/>
    </row>
    <row r="8825" spans="15:20">
      <c r="O8825" s="247"/>
      <c r="P8825"/>
      <c r="Q8825" s="224"/>
      <c r="S8825" s="202"/>
      <c r="T8825"/>
    </row>
    <row r="8826" spans="15:20">
      <c r="O8826" s="247"/>
      <c r="P8826"/>
      <c r="Q8826" s="224"/>
      <c r="S8826" s="202"/>
      <c r="T8826"/>
    </row>
    <row r="8827" spans="15:20">
      <c r="O8827" s="247"/>
      <c r="P8827"/>
      <c r="Q8827" s="224"/>
      <c r="S8827" s="202"/>
      <c r="T8827"/>
    </row>
    <row r="8828" spans="15:20">
      <c r="O8828" s="247"/>
      <c r="P8828"/>
      <c r="Q8828" s="224"/>
      <c r="S8828" s="202"/>
      <c r="T8828"/>
    </row>
    <row r="8829" spans="15:20">
      <c r="O8829" s="247"/>
      <c r="P8829"/>
      <c r="Q8829" s="224"/>
      <c r="S8829" s="202"/>
      <c r="T8829"/>
    </row>
    <row r="8830" spans="15:20">
      <c r="O8830" s="247"/>
      <c r="P8830"/>
      <c r="Q8830" s="224"/>
      <c r="S8830" s="202"/>
      <c r="T8830"/>
    </row>
    <row r="8831" spans="15:20">
      <c r="O8831" s="247"/>
      <c r="P8831"/>
      <c r="Q8831" s="224"/>
      <c r="S8831" s="202"/>
      <c r="T8831"/>
    </row>
    <row r="8832" spans="15:20">
      <c r="O8832" s="247"/>
      <c r="P8832"/>
      <c r="Q8832" s="224"/>
      <c r="S8832" s="202"/>
      <c r="T8832"/>
    </row>
    <row r="8833" spans="15:20">
      <c r="O8833" s="247"/>
      <c r="P8833"/>
      <c r="Q8833" s="224"/>
      <c r="S8833" s="202"/>
      <c r="T8833"/>
    </row>
    <row r="8834" spans="15:20">
      <c r="O8834" s="247"/>
      <c r="P8834"/>
      <c r="Q8834" s="224"/>
      <c r="S8834" s="202"/>
      <c r="T8834"/>
    </row>
    <row r="8835" spans="15:20">
      <c r="O8835" s="247"/>
      <c r="P8835"/>
      <c r="Q8835" s="224"/>
      <c r="S8835" s="202"/>
      <c r="T8835"/>
    </row>
    <row r="8836" spans="15:20">
      <c r="O8836" s="247"/>
      <c r="P8836"/>
      <c r="Q8836" s="224"/>
      <c r="S8836" s="202"/>
      <c r="T8836"/>
    </row>
    <row r="8837" spans="15:20">
      <c r="O8837" s="247"/>
      <c r="P8837"/>
      <c r="Q8837" s="224"/>
      <c r="S8837" s="202"/>
      <c r="T8837"/>
    </row>
    <row r="8838" spans="15:20">
      <c r="O8838" s="247"/>
      <c r="P8838"/>
      <c r="Q8838" s="224"/>
      <c r="S8838" s="202"/>
      <c r="T8838"/>
    </row>
    <row r="8839" spans="15:20">
      <c r="O8839" s="247"/>
      <c r="P8839"/>
      <c r="Q8839" s="224"/>
      <c r="S8839" s="202"/>
      <c r="T8839"/>
    </row>
    <row r="8840" spans="15:20">
      <c r="O8840" s="247"/>
      <c r="P8840"/>
      <c r="Q8840" s="224"/>
      <c r="S8840" s="202"/>
      <c r="T8840"/>
    </row>
    <row r="8841" spans="15:20">
      <c r="O8841" s="247"/>
      <c r="P8841"/>
      <c r="Q8841" s="224"/>
      <c r="S8841" s="202"/>
      <c r="T8841"/>
    </row>
    <row r="8842" spans="15:20">
      <c r="O8842" s="247"/>
      <c r="P8842"/>
      <c r="Q8842" s="224"/>
      <c r="S8842" s="202"/>
      <c r="T8842"/>
    </row>
    <row r="8843" spans="15:20">
      <c r="O8843" s="247"/>
      <c r="P8843"/>
      <c r="Q8843" s="224"/>
      <c r="S8843" s="202"/>
      <c r="T8843"/>
    </row>
    <row r="8844" spans="15:20">
      <c r="O8844" s="247"/>
      <c r="P8844"/>
      <c r="Q8844" s="224"/>
      <c r="S8844" s="202"/>
      <c r="T8844"/>
    </row>
    <row r="8845" spans="15:20">
      <c r="O8845" s="247"/>
      <c r="P8845"/>
      <c r="Q8845" s="224"/>
      <c r="S8845" s="202"/>
      <c r="T8845"/>
    </row>
    <row r="8846" spans="15:20">
      <c r="O8846" s="247"/>
      <c r="P8846"/>
      <c r="Q8846" s="224"/>
      <c r="S8846" s="202"/>
      <c r="T8846"/>
    </row>
    <row r="8847" spans="15:20">
      <c r="O8847" s="247"/>
      <c r="P8847"/>
      <c r="Q8847" s="224"/>
      <c r="S8847" s="202"/>
      <c r="T8847"/>
    </row>
    <row r="8848" spans="15:20">
      <c r="O8848" s="247"/>
      <c r="P8848"/>
      <c r="Q8848" s="224"/>
      <c r="S8848" s="202"/>
      <c r="T8848"/>
    </row>
    <row r="8849" spans="15:20">
      <c r="O8849" s="247"/>
      <c r="P8849"/>
      <c r="Q8849" s="224"/>
      <c r="S8849" s="202"/>
      <c r="T8849"/>
    </row>
    <row r="8850" spans="15:20">
      <c r="O8850" s="247"/>
      <c r="P8850"/>
      <c r="Q8850" s="224"/>
      <c r="S8850" s="202"/>
      <c r="T8850"/>
    </row>
    <row r="8851" spans="15:20">
      <c r="O8851" s="247"/>
      <c r="P8851"/>
      <c r="Q8851" s="224"/>
      <c r="S8851" s="202"/>
      <c r="T8851"/>
    </row>
    <row r="8852" spans="15:20">
      <c r="O8852" s="247"/>
      <c r="P8852"/>
      <c r="Q8852" s="224"/>
      <c r="S8852" s="202"/>
      <c r="T8852"/>
    </row>
    <row r="8853" spans="15:20">
      <c r="O8853" s="247"/>
      <c r="P8853"/>
      <c r="Q8853" s="224"/>
      <c r="S8853" s="202"/>
      <c r="T8853"/>
    </row>
    <row r="8854" spans="15:20">
      <c r="O8854" s="247"/>
      <c r="P8854"/>
      <c r="Q8854" s="224"/>
      <c r="S8854" s="202"/>
      <c r="T8854"/>
    </row>
    <row r="8855" spans="15:20">
      <c r="O8855" s="247"/>
      <c r="P8855"/>
      <c r="Q8855" s="224"/>
      <c r="S8855" s="202"/>
      <c r="T8855"/>
    </row>
    <row r="8856" spans="15:20">
      <c r="O8856" s="247"/>
      <c r="P8856"/>
      <c r="Q8856" s="224"/>
      <c r="S8856" s="202"/>
      <c r="T8856"/>
    </row>
    <row r="8857" spans="15:20">
      <c r="O8857" s="247"/>
      <c r="P8857"/>
      <c r="Q8857" s="224"/>
      <c r="S8857" s="202"/>
      <c r="T8857"/>
    </row>
    <row r="8858" spans="15:20">
      <c r="O8858" s="247"/>
      <c r="P8858"/>
      <c r="Q8858" s="224"/>
      <c r="S8858" s="202"/>
      <c r="T8858"/>
    </row>
    <row r="8859" spans="15:20">
      <c r="O8859" s="247"/>
      <c r="P8859"/>
      <c r="Q8859" s="224"/>
      <c r="S8859" s="202"/>
      <c r="T8859"/>
    </row>
    <row r="8860" spans="15:20">
      <c r="O8860" s="247"/>
      <c r="P8860"/>
      <c r="Q8860" s="224"/>
      <c r="S8860" s="202"/>
      <c r="T8860"/>
    </row>
    <row r="8861" spans="15:20">
      <c r="O8861" s="247"/>
      <c r="P8861"/>
      <c r="Q8861" s="224"/>
      <c r="S8861" s="202"/>
      <c r="T8861"/>
    </row>
    <row r="8862" spans="15:20">
      <c r="O8862" s="247"/>
      <c r="P8862"/>
      <c r="Q8862" s="224"/>
      <c r="S8862" s="202"/>
      <c r="T8862"/>
    </row>
    <row r="8863" spans="15:20">
      <c r="O8863" s="247"/>
      <c r="P8863"/>
      <c r="Q8863" s="224"/>
      <c r="S8863" s="202"/>
      <c r="T8863"/>
    </row>
    <row r="8864" spans="15:20">
      <c r="O8864" s="247"/>
      <c r="P8864"/>
      <c r="Q8864" s="224"/>
      <c r="S8864" s="202"/>
      <c r="T8864"/>
    </row>
    <row r="8865" spans="15:20">
      <c r="O8865" s="247"/>
      <c r="P8865"/>
      <c r="Q8865" s="224"/>
      <c r="S8865" s="202"/>
      <c r="T8865"/>
    </row>
    <row r="8866" spans="15:20">
      <c r="O8866" s="247"/>
      <c r="P8866"/>
      <c r="Q8866" s="224"/>
      <c r="S8866" s="202"/>
      <c r="T8866"/>
    </row>
    <row r="8867" spans="15:20">
      <c r="O8867" s="247"/>
      <c r="P8867"/>
      <c r="Q8867" s="224"/>
      <c r="S8867" s="202"/>
      <c r="T8867"/>
    </row>
    <row r="8868" spans="15:20">
      <c r="O8868" s="247"/>
      <c r="P8868"/>
      <c r="Q8868" s="224"/>
      <c r="S8868" s="202"/>
      <c r="T8868"/>
    </row>
    <row r="8869" spans="15:20">
      <c r="O8869" s="247"/>
      <c r="P8869"/>
      <c r="Q8869" s="224"/>
      <c r="S8869" s="202"/>
      <c r="T8869"/>
    </row>
    <row r="8870" spans="15:20">
      <c r="O8870" s="247"/>
      <c r="P8870"/>
      <c r="Q8870" s="224"/>
      <c r="S8870" s="202"/>
      <c r="T8870"/>
    </row>
    <row r="8871" spans="15:20">
      <c r="O8871" s="247"/>
      <c r="P8871"/>
      <c r="Q8871" s="224"/>
      <c r="S8871" s="202"/>
      <c r="T8871"/>
    </row>
    <row r="8872" spans="15:20">
      <c r="O8872" s="247"/>
      <c r="P8872"/>
      <c r="Q8872" s="224"/>
      <c r="S8872" s="202"/>
      <c r="T8872"/>
    </row>
    <row r="8873" spans="15:20">
      <c r="O8873" s="247"/>
      <c r="P8873"/>
      <c r="Q8873" s="224"/>
      <c r="S8873" s="202"/>
      <c r="T8873"/>
    </row>
    <row r="8874" spans="15:20">
      <c r="O8874" s="247"/>
      <c r="P8874"/>
      <c r="Q8874" s="224"/>
      <c r="S8874" s="202"/>
      <c r="T8874"/>
    </row>
    <row r="8875" spans="15:20">
      <c r="O8875" s="247"/>
      <c r="P8875"/>
      <c r="Q8875" s="224"/>
      <c r="S8875" s="202"/>
      <c r="T8875"/>
    </row>
    <row r="8876" spans="15:20">
      <c r="O8876" s="247"/>
      <c r="P8876"/>
      <c r="Q8876" s="224"/>
      <c r="S8876" s="202"/>
      <c r="T8876"/>
    </row>
    <row r="8877" spans="15:20">
      <c r="O8877" s="247"/>
      <c r="P8877"/>
      <c r="Q8877" s="224"/>
      <c r="S8877" s="202"/>
      <c r="T8877"/>
    </row>
    <row r="8878" spans="15:20">
      <c r="O8878" s="247"/>
      <c r="P8878"/>
      <c r="Q8878" s="224"/>
      <c r="S8878" s="202"/>
      <c r="T8878"/>
    </row>
    <row r="8879" spans="15:20">
      <c r="O8879" s="247"/>
      <c r="P8879"/>
      <c r="Q8879" s="224"/>
      <c r="S8879" s="202"/>
      <c r="T8879"/>
    </row>
    <row r="8880" spans="15:20">
      <c r="O8880" s="247"/>
      <c r="P8880"/>
      <c r="Q8880" s="224"/>
      <c r="S8880" s="202"/>
      <c r="T8880"/>
    </row>
    <row r="8881" spans="15:20">
      <c r="O8881" s="247"/>
      <c r="P8881"/>
      <c r="Q8881" s="224"/>
      <c r="S8881" s="202"/>
      <c r="T8881"/>
    </row>
    <row r="8882" spans="15:20">
      <c r="O8882" s="247"/>
      <c r="P8882"/>
      <c r="Q8882" s="224"/>
      <c r="S8882" s="202"/>
      <c r="T8882"/>
    </row>
    <row r="8883" spans="15:20">
      <c r="O8883" s="247"/>
      <c r="P8883"/>
      <c r="Q8883" s="224"/>
      <c r="S8883" s="202"/>
      <c r="T8883"/>
    </row>
    <row r="8884" spans="15:20">
      <c r="O8884" s="247"/>
      <c r="P8884"/>
      <c r="Q8884" s="224"/>
      <c r="S8884" s="202"/>
      <c r="T8884"/>
    </row>
    <row r="8885" spans="15:20">
      <c r="O8885" s="247"/>
      <c r="P8885"/>
      <c r="Q8885" s="224"/>
      <c r="S8885" s="202"/>
      <c r="T8885"/>
    </row>
    <row r="8886" spans="15:20">
      <c r="O8886" s="247"/>
      <c r="P8886"/>
      <c r="Q8886" s="224"/>
      <c r="S8886" s="202"/>
      <c r="T8886"/>
    </row>
    <row r="8887" spans="15:20">
      <c r="O8887" s="247"/>
      <c r="P8887"/>
      <c r="Q8887" s="224"/>
      <c r="S8887" s="202"/>
      <c r="T8887"/>
    </row>
    <row r="8888" spans="15:20">
      <c r="O8888" s="247"/>
      <c r="P8888"/>
      <c r="Q8888" s="224"/>
      <c r="S8888" s="202"/>
      <c r="T8888"/>
    </row>
    <row r="8889" spans="15:20">
      <c r="O8889" s="247"/>
      <c r="P8889"/>
      <c r="Q8889" s="224"/>
      <c r="S8889" s="202"/>
      <c r="T8889"/>
    </row>
    <row r="8890" spans="15:20">
      <c r="O8890" s="247"/>
      <c r="P8890"/>
      <c r="Q8890" s="224"/>
      <c r="S8890" s="202"/>
      <c r="T8890"/>
    </row>
    <row r="8891" spans="15:20">
      <c r="O8891" s="247"/>
      <c r="P8891"/>
      <c r="Q8891" s="224"/>
      <c r="S8891" s="202"/>
      <c r="T8891"/>
    </row>
    <row r="8892" spans="15:20">
      <c r="O8892" s="247"/>
      <c r="P8892"/>
      <c r="Q8892" s="224"/>
      <c r="S8892" s="202"/>
      <c r="T8892"/>
    </row>
    <row r="8893" spans="15:20">
      <c r="O8893" s="247"/>
      <c r="P8893"/>
      <c r="Q8893" s="224"/>
      <c r="S8893" s="202"/>
      <c r="T8893"/>
    </row>
    <row r="8894" spans="15:20">
      <c r="O8894" s="247"/>
      <c r="P8894"/>
      <c r="Q8894" s="224"/>
      <c r="S8894" s="202"/>
      <c r="T8894"/>
    </row>
    <row r="8895" spans="15:20">
      <c r="O8895" s="247"/>
      <c r="P8895"/>
      <c r="Q8895" s="224"/>
      <c r="S8895" s="202"/>
      <c r="T8895"/>
    </row>
    <row r="8896" spans="15:20">
      <c r="O8896" s="247"/>
      <c r="P8896"/>
      <c r="Q8896" s="224"/>
      <c r="S8896" s="202"/>
      <c r="T8896"/>
    </row>
    <row r="8897" spans="15:20">
      <c r="O8897" s="247"/>
      <c r="P8897"/>
      <c r="Q8897" s="224"/>
      <c r="S8897" s="202"/>
      <c r="T8897"/>
    </row>
    <row r="8898" spans="15:20">
      <c r="O8898" s="247"/>
      <c r="P8898"/>
      <c r="Q8898" s="224"/>
      <c r="S8898" s="202"/>
      <c r="T8898"/>
    </row>
    <row r="8899" spans="15:20">
      <c r="O8899" s="247"/>
      <c r="P8899"/>
      <c r="Q8899" s="224"/>
      <c r="S8899" s="202"/>
      <c r="T8899"/>
    </row>
    <row r="8900" spans="15:20">
      <c r="O8900" s="247"/>
      <c r="P8900"/>
      <c r="Q8900" s="224"/>
      <c r="S8900" s="202"/>
      <c r="T8900"/>
    </row>
    <row r="8901" spans="15:20">
      <c r="O8901" s="247"/>
      <c r="P8901"/>
      <c r="Q8901" s="224"/>
      <c r="S8901" s="202"/>
      <c r="T8901"/>
    </row>
    <row r="8902" spans="15:20">
      <c r="O8902" s="247"/>
      <c r="P8902"/>
      <c r="Q8902" s="224"/>
      <c r="S8902" s="202"/>
      <c r="T8902"/>
    </row>
    <row r="8903" spans="15:20">
      <c r="O8903" s="247"/>
      <c r="P8903"/>
      <c r="Q8903" s="224"/>
      <c r="S8903" s="202"/>
      <c r="T8903"/>
    </row>
    <row r="8904" spans="15:20">
      <c r="O8904" s="247"/>
      <c r="P8904"/>
      <c r="Q8904" s="224"/>
      <c r="S8904" s="202"/>
      <c r="T8904"/>
    </row>
    <row r="8905" spans="15:20">
      <c r="O8905" s="247"/>
      <c r="P8905"/>
      <c r="Q8905" s="224"/>
      <c r="S8905" s="202"/>
      <c r="T8905"/>
    </row>
    <row r="8906" spans="15:20">
      <c r="O8906" s="247"/>
      <c r="P8906"/>
      <c r="Q8906" s="224"/>
      <c r="S8906" s="202"/>
      <c r="T8906"/>
    </row>
    <row r="8907" spans="15:20">
      <c r="O8907" s="247"/>
      <c r="P8907"/>
      <c r="Q8907" s="224"/>
      <c r="S8907" s="202"/>
      <c r="T8907"/>
    </row>
    <row r="8908" spans="15:20">
      <c r="O8908" s="247"/>
      <c r="P8908"/>
      <c r="Q8908" s="224"/>
      <c r="S8908" s="202"/>
      <c r="T8908"/>
    </row>
    <row r="8909" spans="15:20">
      <c r="O8909" s="247"/>
      <c r="P8909"/>
      <c r="Q8909" s="224"/>
      <c r="S8909" s="202"/>
      <c r="T8909"/>
    </row>
    <row r="8910" spans="15:20">
      <c r="O8910" s="247"/>
      <c r="P8910"/>
      <c r="Q8910" s="224"/>
      <c r="S8910" s="202"/>
      <c r="T8910"/>
    </row>
    <row r="8911" spans="15:20">
      <c r="O8911" s="247"/>
      <c r="P8911"/>
      <c r="Q8911" s="224"/>
      <c r="S8911" s="202"/>
      <c r="T8911"/>
    </row>
    <row r="8912" spans="15:20">
      <c r="O8912" s="247"/>
      <c r="P8912"/>
      <c r="Q8912" s="224"/>
      <c r="S8912" s="202"/>
      <c r="T8912"/>
    </row>
    <row r="8913" spans="15:20">
      <c r="O8913" s="247"/>
      <c r="P8913"/>
      <c r="Q8913" s="224"/>
      <c r="S8913" s="202"/>
      <c r="T8913"/>
    </row>
    <row r="8914" spans="15:20">
      <c r="O8914" s="247"/>
      <c r="P8914"/>
      <c r="Q8914" s="224"/>
      <c r="S8914" s="202"/>
      <c r="T8914"/>
    </row>
    <row r="8915" spans="15:20">
      <c r="O8915" s="247"/>
      <c r="P8915"/>
      <c r="Q8915" s="224"/>
      <c r="S8915" s="202"/>
      <c r="T8915"/>
    </row>
    <row r="8916" spans="15:20">
      <c r="O8916" s="247"/>
      <c r="P8916"/>
      <c r="Q8916" s="224"/>
      <c r="S8916" s="202"/>
      <c r="T8916"/>
    </row>
    <row r="8917" spans="15:20">
      <c r="O8917" s="247"/>
      <c r="P8917"/>
      <c r="Q8917" s="224"/>
      <c r="S8917" s="202"/>
      <c r="T8917"/>
    </row>
    <row r="8918" spans="15:20">
      <c r="O8918" s="247"/>
      <c r="P8918"/>
      <c r="Q8918" s="224"/>
      <c r="S8918" s="202"/>
      <c r="T8918"/>
    </row>
    <row r="8919" spans="15:20">
      <c r="O8919" s="247"/>
      <c r="P8919"/>
      <c r="Q8919" s="224"/>
      <c r="S8919" s="202"/>
      <c r="T8919"/>
    </row>
    <row r="8920" spans="15:20">
      <c r="O8920" s="247"/>
      <c r="P8920"/>
      <c r="Q8920" s="224"/>
      <c r="S8920" s="202"/>
      <c r="T8920"/>
    </row>
    <row r="8921" spans="15:20">
      <c r="O8921" s="247"/>
      <c r="P8921"/>
      <c r="Q8921" s="224"/>
      <c r="S8921" s="202"/>
      <c r="T8921"/>
    </row>
    <row r="8922" spans="15:20">
      <c r="O8922" s="247"/>
      <c r="P8922"/>
      <c r="Q8922" s="224"/>
      <c r="S8922" s="202"/>
      <c r="T8922"/>
    </row>
    <row r="8923" spans="15:20">
      <c r="O8923" s="247"/>
      <c r="P8923"/>
      <c r="Q8923" s="224"/>
      <c r="S8923" s="202"/>
      <c r="T8923"/>
    </row>
    <row r="8924" spans="15:20">
      <c r="O8924" s="247"/>
      <c r="P8924"/>
      <c r="Q8924" s="224"/>
      <c r="S8924" s="202"/>
      <c r="T8924"/>
    </row>
    <row r="8925" spans="15:20">
      <c r="O8925" s="247"/>
      <c r="P8925"/>
      <c r="Q8925" s="224"/>
      <c r="S8925" s="202"/>
      <c r="T8925"/>
    </row>
    <row r="8926" spans="15:20">
      <c r="O8926" s="247"/>
      <c r="P8926"/>
      <c r="Q8926" s="224"/>
      <c r="S8926" s="202"/>
      <c r="T8926"/>
    </row>
    <row r="8927" spans="15:20">
      <c r="O8927" s="247"/>
      <c r="P8927"/>
      <c r="Q8927" s="224"/>
      <c r="S8927" s="202"/>
      <c r="T8927"/>
    </row>
    <row r="8928" spans="15:20">
      <c r="O8928" s="247"/>
      <c r="P8928"/>
      <c r="Q8928" s="224"/>
      <c r="S8928" s="202"/>
      <c r="T8928"/>
    </row>
    <row r="8929" spans="15:20">
      <c r="O8929" s="247"/>
      <c r="P8929"/>
      <c r="Q8929" s="224"/>
      <c r="S8929" s="202"/>
      <c r="T8929"/>
    </row>
    <row r="8930" spans="15:20">
      <c r="O8930" s="247"/>
      <c r="P8930"/>
      <c r="Q8930" s="224"/>
      <c r="S8930" s="202"/>
      <c r="T8930"/>
    </row>
    <row r="8931" spans="15:20">
      <c r="O8931" s="247"/>
      <c r="P8931"/>
      <c r="Q8931" s="224"/>
      <c r="S8931" s="202"/>
      <c r="T8931"/>
    </row>
    <row r="8932" spans="15:20">
      <c r="O8932" s="247"/>
      <c r="P8932"/>
      <c r="Q8932" s="224"/>
      <c r="S8932" s="202"/>
      <c r="T8932"/>
    </row>
    <row r="8933" spans="15:20">
      <c r="O8933" s="247"/>
      <c r="P8933"/>
      <c r="Q8933" s="224"/>
      <c r="S8933" s="202"/>
      <c r="T8933"/>
    </row>
    <row r="8934" spans="15:20">
      <c r="O8934" s="247"/>
      <c r="P8934"/>
      <c r="Q8934" s="224"/>
      <c r="S8934" s="202"/>
      <c r="T8934"/>
    </row>
    <row r="8935" spans="15:20">
      <c r="O8935" s="247"/>
      <c r="P8935"/>
      <c r="Q8935" s="224"/>
      <c r="S8935" s="202"/>
      <c r="T8935"/>
    </row>
    <row r="8936" spans="15:20">
      <c r="O8936" s="247"/>
      <c r="P8936"/>
      <c r="Q8936" s="224"/>
      <c r="S8936" s="202"/>
      <c r="T8936"/>
    </row>
    <row r="8937" spans="15:20">
      <c r="O8937" s="247"/>
      <c r="P8937"/>
      <c r="Q8937" s="224"/>
      <c r="S8937" s="202"/>
      <c r="T8937"/>
    </row>
    <row r="8938" spans="15:20">
      <c r="O8938" s="247"/>
      <c r="P8938"/>
      <c r="Q8938" s="224"/>
      <c r="S8938" s="202"/>
      <c r="T8938"/>
    </row>
    <row r="8939" spans="15:20">
      <c r="O8939" s="247"/>
      <c r="P8939"/>
      <c r="Q8939" s="224"/>
      <c r="S8939" s="202"/>
      <c r="T8939"/>
    </row>
    <row r="8940" spans="15:20">
      <c r="O8940" s="247"/>
      <c r="P8940"/>
      <c r="Q8940" s="224"/>
      <c r="S8940" s="202"/>
      <c r="T8940"/>
    </row>
    <row r="8941" spans="15:20">
      <c r="O8941" s="247"/>
      <c r="P8941"/>
      <c r="Q8941" s="224"/>
      <c r="S8941" s="202"/>
      <c r="T8941"/>
    </row>
    <row r="8942" spans="15:20">
      <c r="O8942" s="247"/>
      <c r="P8942"/>
      <c r="Q8942" s="224"/>
      <c r="S8942" s="202"/>
      <c r="T8942"/>
    </row>
    <row r="8943" spans="15:20">
      <c r="O8943" s="247"/>
      <c r="P8943"/>
      <c r="Q8943" s="224"/>
      <c r="S8943" s="202"/>
      <c r="T8943"/>
    </row>
    <row r="8944" spans="15:20">
      <c r="O8944" s="247"/>
      <c r="P8944"/>
      <c r="Q8944" s="224"/>
      <c r="S8944" s="202"/>
      <c r="T8944"/>
    </row>
    <row r="8945" spans="15:20">
      <c r="O8945" s="247"/>
      <c r="P8945"/>
      <c r="Q8945" s="224"/>
      <c r="S8945" s="202"/>
      <c r="T8945"/>
    </row>
    <row r="8946" spans="15:20">
      <c r="O8946" s="247"/>
      <c r="P8946"/>
      <c r="Q8946" s="224"/>
      <c r="S8946" s="202"/>
      <c r="T8946"/>
    </row>
    <row r="8947" spans="15:20">
      <c r="O8947" s="247"/>
      <c r="P8947"/>
      <c r="Q8947" s="224"/>
      <c r="S8947" s="202"/>
      <c r="T8947"/>
    </row>
    <row r="8948" spans="15:20">
      <c r="O8948" s="247"/>
      <c r="P8948"/>
      <c r="Q8948" s="224"/>
      <c r="S8948" s="202"/>
      <c r="T8948"/>
    </row>
    <row r="8949" spans="15:20">
      <c r="O8949" s="247"/>
      <c r="P8949"/>
      <c r="Q8949" s="224"/>
      <c r="S8949" s="202"/>
      <c r="T8949"/>
    </row>
    <row r="8950" spans="15:20">
      <c r="O8950" s="247"/>
      <c r="P8950"/>
      <c r="Q8950" s="224"/>
      <c r="S8950" s="202"/>
      <c r="T8950"/>
    </row>
    <row r="8951" spans="15:20">
      <c r="O8951" s="247"/>
      <c r="P8951"/>
      <c r="Q8951" s="224"/>
      <c r="S8951" s="202"/>
      <c r="T8951"/>
    </row>
    <row r="8952" spans="15:20">
      <c r="O8952" s="247"/>
      <c r="P8952"/>
      <c r="Q8952" s="224"/>
      <c r="S8952" s="202"/>
      <c r="T8952"/>
    </row>
    <row r="8953" spans="15:20">
      <c r="O8953" s="247"/>
      <c r="P8953"/>
      <c r="Q8953" s="224"/>
      <c r="S8953" s="202"/>
      <c r="T8953"/>
    </row>
    <row r="8954" spans="15:20">
      <c r="O8954" s="247"/>
      <c r="P8954"/>
      <c r="Q8954" s="224"/>
      <c r="S8954" s="202"/>
      <c r="T8954"/>
    </row>
    <row r="8955" spans="15:20">
      <c r="O8955" s="247"/>
      <c r="P8955"/>
      <c r="Q8955" s="224"/>
      <c r="S8955" s="202"/>
      <c r="T8955"/>
    </row>
    <row r="8956" spans="15:20">
      <c r="O8956" s="247"/>
      <c r="P8956"/>
      <c r="Q8956" s="224"/>
      <c r="S8956" s="202"/>
      <c r="T8956"/>
    </row>
    <row r="8957" spans="15:20">
      <c r="O8957" s="247"/>
      <c r="P8957"/>
      <c r="Q8957" s="224"/>
      <c r="S8957" s="202"/>
      <c r="T8957"/>
    </row>
    <row r="8958" spans="15:20">
      <c r="O8958" s="247"/>
      <c r="P8958"/>
      <c r="Q8958" s="224"/>
      <c r="S8958" s="202"/>
      <c r="T8958"/>
    </row>
    <row r="8959" spans="15:20">
      <c r="O8959" s="247"/>
      <c r="P8959"/>
      <c r="Q8959" s="224"/>
      <c r="S8959" s="202"/>
      <c r="T8959"/>
    </row>
    <row r="8960" spans="15:20">
      <c r="O8960" s="247"/>
      <c r="P8960"/>
      <c r="Q8960" s="224"/>
      <c r="S8960" s="202"/>
      <c r="T8960"/>
    </row>
    <row r="8961" spans="15:20">
      <c r="O8961" s="247"/>
      <c r="P8961"/>
      <c r="Q8961" s="224"/>
      <c r="S8961" s="202"/>
      <c r="T8961"/>
    </row>
    <row r="8962" spans="15:20">
      <c r="O8962" s="247"/>
      <c r="P8962"/>
      <c r="Q8962" s="224"/>
      <c r="S8962" s="202"/>
      <c r="T8962"/>
    </row>
    <row r="8963" spans="15:20">
      <c r="O8963" s="247"/>
      <c r="P8963"/>
      <c r="Q8963" s="224"/>
      <c r="S8963" s="202"/>
      <c r="T8963"/>
    </row>
    <row r="8964" spans="15:20">
      <c r="O8964" s="247"/>
      <c r="P8964"/>
      <c r="Q8964" s="224"/>
      <c r="S8964" s="202"/>
      <c r="T8964"/>
    </row>
    <row r="8965" spans="15:20">
      <c r="O8965" s="247"/>
      <c r="P8965"/>
      <c r="Q8965" s="224"/>
      <c r="S8965" s="202"/>
      <c r="T8965"/>
    </row>
    <row r="8966" spans="15:20">
      <c r="O8966" s="247"/>
      <c r="P8966"/>
      <c r="Q8966" s="224"/>
      <c r="S8966" s="202"/>
      <c r="T8966"/>
    </row>
    <row r="8967" spans="15:20">
      <c r="O8967" s="247"/>
      <c r="P8967"/>
      <c r="Q8967" s="224"/>
      <c r="S8967" s="202"/>
      <c r="T8967"/>
    </row>
    <row r="8968" spans="15:20">
      <c r="O8968" s="247"/>
      <c r="P8968"/>
      <c r="Q8968" s="224"/>
      <c r="S8968" s="202"/>
      <c r="T8968"/>
    </row>
    <row r="8969" spans="15:20">
      <c r="O8969" s="247"/>
      <c r="P8969"/>
      <c r="Q8969" s="224"/>
      <c r="S8969" s="202"/>
      <c r="T8969"/>
    </row>
    <row r="8970" spans="15:20">
      <c r="O8970" s="247"/>
      <c r="P8970"/>
      <c r="Q8970" s="224"/>
      <c r="S8970" s="202"/>
      <c r="T8970"/>
    </row>
    <row r="8971" spans="15:20">
      <c r="O8971" s="247"/>
      <c r="P8971"/>
      <c r="Q8971" s="224"/>
      <c r="S8971" s="202"/>
      <c r="T8971"/>
    </row>
    <row r="8972" spans="15:20">
      <c r="O8972" s="247"/>
      <c r="P8972"/>
      <c r="Q8972" s="224"/>
      <c r="S8972" s="202"/>
      <c r="T8972"/>
    </row>
    <row r="8973" spans="15:20">
      <c r="O8973" s="247"/>
      <c r="P8973"/>
      <c r="Q8973" s="224"/>
      <c r="S8973" s="202"/>
      <c r="T8973"/>
    </row>
    <row r="8974" spans="15:20">
      <c r="O8974" s="247"/>
      <c r="P8974"/>
      <c r="Q8974" s="224"/>
      <c r="S8974" s="202"/>
      <c r="T8974"/>
    </row>
    <row r="8975" spans="15:20">
      <c r="O8975" s="247"/>
      <c r="P8975"/>
      <c r="Q8975" s="224"/>
      <c r="S8975" s="202"/>
      <c r="T8975"/>
    </row>
    <row r="8976" spans="15:20">
      <c r="O8976" s="247"/>
      <c r="P8976"/>
      <c r="Q8976" s="224"/>
      <c r="S8976" s="202"/>
      <c r="T8976"/>
    </row>
    <row r="8977" spans="15:20">
      <c r="O8977" s="247"/>
      <c r="P8977"/>
      <c r="Q8977" s="224"/>
      <c r="S8977" s="202"/>
      <c r="T8977"/>
    </row>
    <row r="8978" spans="15:20">
      <c r="O8978" s="247"/>
      <c r="P8978"/>
      <c r="Q8978" s="224"/>
      <c r="S8978" s="202"/>
      <c r="T8978"/>
    </row>
    <row r="8979" spans="15:20">
      <c r="O8979" s="247"/>
      <c r="P8979"/>
      <c r="Q8979" s="224"/>
      <c r="S8979" s="202"/>
      <c r="T8979"/>
    </row>
    <row r="8980" spans="15:20">
      <c r="O8980" s="247"/>
      <c r="P8980"/>
      <c r="Q8980" s="224"/>
      <c r="S8980" s="202"/>
      <c r="T8980"/>
    </row>
    <row r="8981" spans="15:20">
      <c r="O8981" s="247"/>
      <c r="P8981"/>
      <c r="Q8981" s="224"/>
      <c r="S8981" s="202"/>
      <c r="T8981"/>
    </row>
    <row r="8982" spans="15:20">
      <c r="O8982" s="247"/>
      <c r="P8982"/>
      <c r="Q8982" s="224"/>
      <c r="S8982" s="202"/>
      <c r="T8982"/>
    </row>
    <row r="8983" spans="15:20">
      <c r="O8983" s="247"/>
      <c r="P8983"/>
      <c r="Q8983" s="224"/>
      <c r="S8983" s="202"/>
      <c r="T8983"/>
    </row>
    <row r="8984" spans="15:20">
      <c r="O8984" s="247"/>
      <c r="P8984"/>
      <c r="Q8984" s="224"/>
      <c r="S8984" s="202"/>
      <c r="T8984"/>
    </row>
    <row r="8985" spans="15:20">
      <c r="O8985" s="247"/>
      <c r="P8985"/>
      <c r="Q8985" s="224"/>
      <c r="S8985" s="202"/>
      <c r="T8985"/>
    </row>
    <row r="8986" spans="15:20">
      <c r="O8986" s="247"/>
      <c r="P8986"/>
      <c r="Q8986" s="224"/>
      <c r="S8986" s="202"/>
      <c r="T8986"/>
    </row>
    <row r="8987" spans="15:20">
      <c r="O8987" s="247"/>
      <c r="P8987"/>
      <c r="Q8987" s="224"/>
      <c r="S8987" s="202"/>
      <c r="T8987"/>
    </row>
    <row r="8988" spans="15:20">
      <c r="O8988" s="247"/>
      <c r="P8988"/>
      <c r="Q8988" s="224"/>
      <c r="S8988" s="202"/>
      <c r="T8988"/>
    </row>
    <row r="8989" spans="15:20">
      <c r="O8989" s="247"/>
      <c r="P8989"/>
      <c r="Q8989" s="224"/>
      <c r="S8989" s="202"/>
      <c r="T8989"/>
    </row>
    <row r="8990" spans="15:20">
      <c r="O8990" s="247"/>
      <c r="P8990"/>
      <c r="Q8990" s="224"/>
      <c r="S8990" s="202"/>
      <c r="T8990"/>
    </row>
    <row r="8991" spans="15:20">
      <c r="O8991" s="247"/>
      <c r="P8991"/>
      <c r="Q8991" s="224"/>
      <c r="S8991" s="202"/>
      <c r="T8991"/>
    </row>
    <row r="8992" spans="15:20">
      <c r="O8992" s="247"/>
      <c r="P8992"/>
      <c r="Q8992" s="224"/>
      <c r="S8992" s="202"/>
      <c r="T8992"/>
    </row>
    <row r="8993" spans="15:20">
      <c r="O8993" s="247"/>
      <c r="P8993"/>
      <c r="Q8993" s="224"/>
      <c r="S8993" s="202"/>
      <c r="T8993"/>
    </row>
    <row r="8994" spans="15:20">
      <c r="O8994" s="247"/>
      <c r="P8994"/>
      <c r="Q8994" s="224"/>
      <c r="S8994" s="202"/>
      <c r="T8994"/>
    </row>
    <row r="8995" spans="15:20">
      <c r="O8995" s="247"/>
      <c r="P8995"/>
      <c r="Q8995" s="224"/>
      <c r="S8995" s="202"/>
      <c r="T8995"/>
    </row>
    <row r="8996" spans="15:20">
      <c r="O8996" s="247"/>
      <c r="P8996"/>
      <c r="Q8996" s="224"/>
      <c r="S8996" s="202"/>
      <c r="T8996"/>
    </row>
    <row r="8997" spans="15:20">
      <c r="O8997" s="247"/>
      <c r="P8997"/>
      <c r="Q8997" s="224"/>
      <c r="S8997" s="202"/>
      <c r="T8997"/>
    </row>
    <row r="8998" spans="15:20">
      <c r="O8998" s="247"/>
      <c r="P8998"/>
      <c r="Q8998" s="224"/>
      <c r="S8998" s="202"/>
      <c r="T8998"/>
    </row>
    <row r="8999" spans="15:20">
      <c r="O8999" s="247"/>
      <c r="P8999"/>
      <c r="Q8999" s="224"/>
      <c r="S8999" s="202"/>
      <c r="T8999"/>
    </row>
    <row r="9000" spans="15:20">
      <c r="O9000" s="247"/>
      <c r="P9000"/>
      <c r="Q9000" s="224"/>
      <c r="S9000" s="202"/>
      <c r="T9000"/>
    </row>
    <row r="9001" spans="15:20">
      <c r="O9001" s="247"/>
      <c r="P9001"/>
      <c r="Q9001" s="224"/>
      <c r="S9001" s="202"/>
      <c r="T9001"/>
    </row>
    <row r="9002" spans="15:20">
      <c r="O9002" s="247"/>
      <c r="P9002"/>
      <c r="Q9002" s="224"/>
      <c r="S9002" s="202"/>
      <c r="T9002"/>
    </row>
    <row r="9003" spans="15:20">
      <c r="O9003" s="247"/>
      <c r="P9003"/>
      <c r="Q9003" s="224"/>
      <c r="S9003" s="202"/>
      <c r="T9003"/>
    </row>
    <row r="9004" spans="15:20">
      <c r="O9004" s="247"/>
      <c r="P9004"/>
      <c r="Q9004" s="224"/>
      <c r="S9004" s="202"/>
      <c r="T9004"/>
    </row>
    <row r="9005" spans="15:20">
      <c r="O9005" s="247"/>
      <c r="P9005"/>
      <c r="Q9005" s="224"/>
      <c r="S9005" s="202"/>
      <c r="T9005"/>
    </row>
    <row r="9006" spans="15:20">
      <c r="O9006" s="247"/>
      <c r="P9006"/>
      <c r="Q9006" s="224"/>
      <c r="S9006" s="202"/>
      <c r="T9006"/>
    </row>
    <row r="9007" spans="15:20">
      <c r="O9007" s="247"/>
      <c r="P9007"/>
      <c r="Q9007" s="224"/>
      <c r="S9007" s="202"/>
      <c r="T9007"/>
    </row>
    <row r="9008" spans="15:20">
      <c r="O9008" s="247"/>
      <c r="P9008"/>
      <c r="Q9008" s="224"/>
      <c r="S9008" s="202"/>
      <c r="T9008"/>
    </row>
    <row r="9009" spans="15:20">
      <c r="O9009" s="247"/>
      <c r="P9009"/>
      <c r="Q9009" s="224"/>
      <c r="S9009" s="202"/>
      <c r="T9009"/>
    </row>
    <row r="9010" spans="15:20">
      <c r="O9010" s="247"/>
      <c r="P9010"/>
      <c r="Q9010" s="224"/>
      <c r="S9010" s="202"/>
      <c r="T9010"/>
    </row>
    <row r="9011" spans="15:20">
      <c r="O9011" s="247"/>
      <c r="P9011"/>
      <c r="Q9011" s="224"/>
      <c r="S9011" s="202"/>
      <c r="T9011"/>
    </row>
    <row r="9012" spans="15:20">
      <c r="O9012" s="247"/>
      <c r="P9012"/>
      <c r="Q9012" s="224"/>
      <c r="S9012" s="202"/>
      <c r="T9012"/>
    </row>
    <row r="9013" spans="15:20">
      <c r="O9013" s="247"/>
      <c r="P9013"/>
      <c r="Q9013" s="224"/>
      <c r="S9013" s="202"/>
      <c r="T9013"/>
    </row>
    <row r="9014" spans="15:20">
      <c r="O9014" s="247"/>
      <c r="P9014"/>
      <c r="Q9014" s="224"/>
      <c r="S9014" s="202"/>
      <c r="T9014"/>
    </row>
    <row r="9015" spans="15:20">
      <c r="O9015" s="247"/>
      <c r="P9015"/>
      <c r="Q9015" s="224"/>
      <c r="S9015" s="202"/>
      <c r="T9015"/>
    </row>
    <row r="9016" spans="15:20">
      <c r="O9016" s="247"/>
      <c r="P9016"/>
      <c r="Q9016" s="224"/>
      <c r="S9016" s="202"/>
      <c r="T9016"/>
    </row>
    <row r="9017" spans="15:20">
      <c r="O9017" s="247"/>
      <c r="P9017"/>
      <c r="Q9017" s="224"/>
      <c r="S9017" s="202"/>
      <c r="T9017"/>
    </row>
    <row r="9018" spans="15:20">
      <c r="O9018" s="247"/>
      <c r="P9018"/>
      <c r="Q9018" s="224"/>
      <c r="S9018" s="202"/>
      <c r="T9018"/>
    </row>
    <row r="9019" spans="15:20">
      <c r="O9019" s="247"/>
      <c r="P9019"/>
      <c r="Q9019" s="224"/>
      <c r="S9019" s="202"/>
      <c r="T9019"/>
    </row>
    <row r="9020" spans="15:20">
      <c r="O9020" s="247"/>
      <c r="P9020"/>
      <c r="Q9020" s="224"/>
      <c r="S9020" s="202"/>
      <c r="T9020"/>
    </row>
    <row r="9021" spans="15:20">
      <c r="O9021" s="247"/>
      <c r="P9021"/>
      <c r="Q9021" s="224"/>
      <c r="S9021" s="202"/>
      <c r="T9021"/>
    </row>
    <row r="9022" spans="15:20">
      <c r="O9022" s="247"/>
      <c r="P9022"/>
      <c r="Q9022" s="224"/>
      <c r="S9022" s="202"/>
      <c r="T9022"/>
    </row>
    <row r="9023" spans="15:20">
      <c r="O9023" s="247"/>
      <c r="P9023"/>
      <c r="Q9023" s="224"/>
      <c r="S9023" s="202"/>
      <c r="T9023"/>
    </row>
    <row r="9024" spans="15:20">
      <c r="O9024" s="247"/>
      <c r="P9024"/>
      <c r="Q9024" s="224"/>
      <c r="S9024" s="202"/>
      <c r="T9024"/>
    </row>
    <row r="9025" spans="15:20">
      <c r="O9025" s="247"/>
      <c r="P9025"/>
      <c r="Q9025" s="224"/>
      <c r="S9025" s="202"/>
      <c r="T9025"/>
    </row>
    <row r="9026" spans="15:20">
      <c r="O9026" s="247"/>
      <c r="P9026"/>
      <c r="Q9026" s="224"/>
      <c r="S9026" s="202"/>
      <c r="T9026"/>
    </row>
    <row r="9027" spans="15:20">
      <c r="O9027" s="247"/>
      <c r="P9027"/>
      <c r="Q9027" s="224"/>
      <c r="S9027" s="202"/>
      <c r="T9027"/>
    </row>
    <row r="9028" spans="15:20">
      <c r="O9028" s="247"/>
      <c r="P9028"/>
      <c r="Q9028" s="224"/>
      <c r="S9028" s="202"/>
      <c r="T9028"/>
    </row>
    <row r="9029" spans="15:20">
      <c r="O9029" s="247"/>
      <c r="P9029"/>
      <c r="Q9029" s="224"/>
      <c r="S9029" s="202"/>
      <c r="T9029"/>
    </row>
    <row r="9030" spans="15:20">
      <c r="O9030" s="247"/>
      <c r="P9030"/>
      <c r="Q9030" s="224"/>
      <c r="S9030" s="202"/>
      <c r="T9030"/>
    </row>
    <row r="9031" spans="15:20">
      <c r="O9031" s="247"/>
      <c r="P9031"/>
      <c r="Q9031" s="224"/>
      <c r="S9031" s="202"/>
      <c r="T9031"/>
    </row>
    <row r="9032" spans="15:20">
      <c r="O9032" s="247"/>
      <c r="P9032"/>
      <c r="Q9032" s="224"/>
      <c r="S9032" s="202"/>
      <c r="T9032"/>
    </row>
    <row r="9033" spans="15:20">
      <c r="O9033" s="247"/>
      <c r="P9033"/>
      <c r="Q9033" s="224"/>
      <c r="S9033" s="202"/>
      <c r="T9033"/>
    </row>
    <row r="9034" spans="15:20">
      <c r="O9034" s="247"/>
      <c r="P9034"/>
      <c r="Q9034" s="224"/>
      <c r="S9034" s="202"/>
      <c r="T9034"/>
    </row>
    <row r="9035" spans="15:20">
      <c r="O9035" s="247"/>
      <c r="P9035"/>
      <c r="Q9035" s="224"/>
      <c r="S9035" s="202"/>
      <c r="T9035"/>
    </row>
    <row r="9036" spans="15:20">
      <c r="O9036" s="247"/>
      <c r="P9036"/>
      <c r="Q9036" s="224"/>
      <c r="S9036" s="202"/>
      <c r="T9036"/>
    </row>
    <row r="9037" spans="15:20">
      <c r="O9037" s="247"/>
      <c r="P9037"/>
      <c r="Q9037" s="224"/>
      <c r="S9037" s="202"/>
      <c r="T9037"/>
    </row>
    <row r="9038" spans="15:20">
      <c r="O9038" s="247"/>
      <c r="P9038"/>
      <c r="Q9038" s="224"/>
      <c r="S9038" s="202"/>
      <c r="T9038"/>
    </row>
    <row r="9039" spans="15:20">
      <c r="O9039" s="247"/>
      <c r="P9039"/>
      <c r="Q9039" s="224"/>
      <c r="S9039" s="202"/>
      <c r="T9039"/>
    </row>
    <row r="9040" spans="15:20">
      <c r="O9040" s="247"/>
      <c r="P9040"/>
      <c r="Q9040" s="224"/>
      <c r="S9040" s="202"/>
      <c r="T9040"/>
    </row>
    <row r="9041" spans="15:20">
      <c r="O9041" s="247"/>
      <c r="P9041"/>
      <c r="Q9041" s="224"/>
      <c r="S9041" s="202"/>
      <c r="T9041"/>
    </row>
    <row r="9042" spans="15:20">
      <c r="O9042" s="247"/>
      <c r="P9042"/>
      <c r="Q9042" s="224"/>
      <c r="S9042" s="202"/>
      <c r="T9042"/>
    </row>
    <row r="9043" spans="15:20">
      <c r="O9043" s="247"/>
      <c r="P9043"/>
      <c r="Q9043" s="224"/>
      <c r="S9043" s="202"/>
      <c r="T9043"/>
    </row>
    <row r="9044" spans="15:20">
      <c r="O9044" s="247"/>
      <c r="P9044"/>
      <c r="Q9044" s="224"/>
      <c r="S9044" s="202"/>
      <c r="T9044"/>
    </row>
    <row r="9045" spans="15:20">
      <c r="O9045" s="247"/>
      <c r="P9045"/>
      <c r="Q9045" s="224"/>
      <c r="S9045" s="202"/>
      <c r="T9045"/>
    </row>
    <row r="9046" spans="15:20">
      <c r="O9046" s="247"/>
      <c r="P9046"/>
      <c r="Q9046" s="224"/>
      <c r="S9046" s="202"/>
      <c r="T9046"/>
    </row>
    <row r="9047" spans="15:20">
      <c r="O9047" s="247"/>
      <c r="P9047"/>
      <c r="Q9047" s="224"/>
      <c r="S9047" s="202"/>
      <c r="T9047"/>
    </row>
    <row r="9048" spans="15:20">
      <c r="O9048" s="247"/>
      <c r="P9048"/>
      <c r="Q9048" s="224"/>
      <c r="S9048" s="202"/>
      <c r="T9048"/>
    </row>
    <row r="9049" spans="15:20">
      <c r="O9049" s="247"/>
      <c r="P9049"/>
      <c r="Q9049" s="224"/>
      <c r="S9049" s="202"/>
      <c r="T9049"/>
    </row>
    <row r="9050" spans="15:20">
      <c r="O9050" s="247"/>
      <c r="P9050"/>
      <c r="Q9050" s="224"/>
      <c r="S9050" s="202"/>
      <c r="T9050"/>
    </row>
    <row r="9051" spans="15:20">
      <c r="O9051" s="247"/>
      <c r="P9051"/>
      <c r="Q9051" s="224"/>
      <c r="S9051" s="202"/>
      <c r="T9051"/>
    </row>
    <row r="9052" spans="15:20">
      <c r="O9052" s="247"/>
      <c r="P9052"/>
      <c r="Q9052" s="224"/>
      <c r="S9052" s="202"/>
      <c r="T9052"/>
    </row>
    <row r="9053" spans="15:20">
      <c r="O9053" s="247"/>
      <c r="P9053"/>
      <c r="Q9053" s="224"/>
      <c r="S9053" s="202"/>
      <c r="T9053"/>
    </row>
    <row r="9054" spans="15:20">
      <c r="O9054" s="247"/>
      <c r="P9054"/>
      <c r="Q9054" s="224"/>
      <c r="S9054" s="202"/>
      <c r="T9054"/>
    </row>
    <row r="9055" spans="15:20">
      <c r="O9055" s="247"/>
      <c r="P9055"/>
      <c r="Q9055" s="224"/>
      <c r="S9055" s="202"/>
      <c r="T9055"/>
    </row>
    <row r="9056" spans="15:20">
      <c r="O9056" s="247"/>
      <c r="P9056"/>
      <c r="Q9056" s="224"/>
      <c r="S9056" s="202"/>
      <c r="T9056"/>
    </row>
    <row r="9057" spans="15:20">
      <c r="O9057" s="247"/>
      <c r="P9057"/>
      <c r="Q9057" s="224"/>
      <c r="S9057" s="202"/>
      <c r="T9057"/>
    </row>
    <row r="9058" spans="15:20">
      <c r="O9058" s="247"/>
      <c r="P9058"/>
      <c r="Q9058" s="224"/>
      <c r="S9058" s="202"/>
      <c r="T9058"/>
    </row>
    <row r="9059" spans="15:20">
      <c r="O9059" s="247"/>
      <c r="P9059"/>
      <c r="Q9059" s="224"/>
      <c r="S9059" s="202"/>
      <c r="T9059"/>
    </row>
    <row r="9060" spans="15:20">
      <c r="O9060" s="247"/>
      <c r="P9060"/>
      <c r="Q9060" s="224"/>
      <c r="S9060" s="202"/>
      <c r="T9060"/>
    </row>
    <row r="9061" spans="15:20">
      <c r="O9061" s="247"/>
      <c r="P9061"/>
      <c r="Q9061" s="224"/>
      <c r="S9061" s="202"/>
      <c r="T9061"/>
    </row>
    <row r="9062" spans="15:20">
      <c r="O9062" s="247"/>
      <c r="P9062"/>
      <c r="Q9062" s="224"/>
      <c r="S9062" s="202"/>
      <c r="T9062"/>
    </row>
    <row r="9063" spans="15:20">
      <c r="O9063" s="247"/>
      <c r="P9063"/>
      <c r="Q9063" s="224"/>
      <c r="S9063" s="202"/>
      <c r="T9063"/>
    </row>
    <row r="9064" spans="15:20">
      <c r="O9064" s="247"/>
      <c r="P9064"/>
      <c r="Q9064" s="224"/>
      <c r="S9064" s="202"/>
      <c r="T9064"/>
    </row>
    <row r="9065" spans="15:20">
      <c r="O9065" s="247"/>
      <c r="P9065"/>
      <c r="Q9065" s="224"/>
      <c r="S9065" s="202"/>
      <c r="T9065"/>
    </row>
    <row r="9066" spans="15:20">
      <c r="O9066" s="247"/>
      <c r="P9066"/>
      <c r="Q9066" s="224"/>
      <c r="S9066" s="202"/>
      <c r="T9066"/>
    </row>
    <row r="9067" spans="15:20">
      <c r="O9067" s="247"/>
      <c r="P9067"/>
      <c r="Q9067" s="224"/>
      <c r="S9067" s="202"/>
      <c r="T9067"/>
    </row>
    <row r="9068" spans="15:20">
      <c r="O9068" s="247"/>
      <c r="P9068"/>
      <c r="Q9068" s="224"/>
      <c r="S9068" s="202"/>
      <c r="T9068"/>
    </row>
    <row r="9069" spans="15:20">
      <c r="O9069" s="247"/>
      <c r="P9069"/>
      <c r="Q9069" s="224"/>
      <c r="S9069" s="202"/>
      <c r="T9069"/>
    </row>
    <row r="9070" spans="15:20">
      <c r="O9070" s="247"/>
      <c r="P9070"/>
      <c r="Q9070" s="224"/>
      <c r="S9070" s="202"/>
      <c r="T9070"/>
    </row>
    <row r="9071" spans="15:20">
      <c r="O9071" s="247"/>
      <c r="P9071"/>
      <c r="Q9071" s="224"/>
      <c r="S9071" s="202"/>
      <c r="T9071"/>
    </row>
    <row r="9072" spans="15:20">
      <c r="O9072" s="247"/>
      <c r="P9072"/>
      <c r="Q9072" s="224"/>
      <c r="S9072" s="202"/>
      <c r="T9072"/>
    </row>
    <row r="9073" spans="15:20">
      <c r="O9073" s="247"/>
      <c r="P9073"/>
      <c r="Q9073" s="224"/>
      <c r="S9073" s="202"/>
      <c r="T9073"/>
    </row>
    <row r="9074" spans="15:20">
      <c r="O9074" s="247"/>
      <c r="P9074"/>
      <c r="Q9074" s="224"/>
      <c r="S9074" s="202"/>
      <c r="T9074"/>
    </row>
    <row r="9075" spans="15:20">
      <c r="O9075" s="247"/>
      <c r="P9075"/>
      <c r="Q9075" s="224"/>
      <c r="S9075" s="202"/>
      <c r="T9075"/>
    </row>
    <row r="9076" spans="15:20">
      <c r="O9076" s="247"/>
      <c r="P9076"/>
      <c r="Q9076" s="224"/>
      <c r="S9076" s="202"/>
      <c r="T9076"/>
    </row>
    <row r="9077" spans="15:20">
      <c r="O9077" s="247"/>
      <c r="P9077"/>
      <c r="Q9077" s="224"/>
      <c r="S9077" s="202"/>
      <c r="T9077"/>
    </row>
    <row r="9078" spans="15:20">
      <c r="O9078" s="247"/>
      <c r="P9078"/>
      <c r="Q9078" s="224"/>
      <c r="S9078" s="202"/>
      <c r="T9078"/>
    </row>
    <row r="9079" spans="15:20">
      <c r="O9079" s="247"/>
      <c r="P9079"/>
      <c r="Q9079" s="224"/>
      <c r="S9079" s="202"/>
      <c r="T9079"/>
    </row>
    <row r="9080" spans="15:20">
      <c r="O9080" s="247"/>
      <c r="P9080"/>
      <c r="Q9080" s="224"/>
      <c r="S9080" s="202"/>
      <c r="T9080"/>
    </row>
    <row r="9081" spans="15:20">
      <c r="O9081" s="247"/>
      <c r="P9081"/>
      <c r="Q9081" s="224"/>
      <c r="S9081" s="202"/>
      <c r="T9081"/>
    </row>
    <row r="9082" spans="15:20">
      <c r="O9082" s="247"/>
      <c r="P9082"/>
      <c r="Q9082" s="224"/>
      <c r="S9082" s="202"/>
      <c r="T9082"/>
    </row>
    <row r="9083" spans="15:20">
      <c r="O9083" s="247"/>
      <c r="P9083"/>
      <c r="Q9083" s="224"/>
      <c r="S9083" s="202"/>
      <c r="T9083"/>
    </row>
    <row r="9084" spans="15:20">
      <c r="O9084" s="247"/>
      <c r="P9084"/>
      <c r="Q9084" s="224"/>
      <c r="S9084" s="202"/>
      <c r="T9084"/>
    </row>
    <row r="9085" spans="15:20">
      <c r="O9085" s="247"/>
      <c r="P9085"/>
      <c r="Q9085" s="224"/>
      <c r="S9085" s="202"/>
      <c r="T9085"/>
    </row>
    <row r="9086" spans="15:20">
      <c r="O9086" s="247"/>
      <c r="P9086"/>
      <c r="Q9086" s="224"/>
      <c r="S9086" s="202"/>
      <c r="T9086"/>
    </row>
    <row r="9087" spans="15:20">
      <c r="O9087" s="247"/>
      <c r="P9087"/>
      <c r="Q9087" s="224"/>
      <c r="S9087" s="202"/>
      <c r="T9087"/>
    </row>
    <row r="9088" spans="15:20">
      <c r="O9088" s="247"/>
      <c r="P9088"/>
      <c r="Q9088" s="224"/>
      <c r="S9088" s="202"/>
      <c r="T9088"/>
    </row>
    <row r="9089" spans="15:20">
      <c r="O9089" s="247"/>
      <c r="P9089"/>
      <c r="Q9089" s="224"/>
      <c r="S9089" s="202"/>
      <c r="T9089"/>
    </row>
    <row r="9090" spans="15:20">
      <c r="O9090" s="247"/>
      <c r="P9090"/>
      <c r="Q9090" s="224"/>
      <c r="S9090" s="202"/>
      <c r="T9090"/>
    </row>
    <row r="9091" spans="15:20">
      <c r="O9091" s="247"/>
      <c r="P9091"/>
      <c r="Q9091" s="224"/>
      <c r="S9091" s="202"/>
      <c r="T9091"/>
    </row>
    <row r="9092" spans="15:20">
      <c r="O9092" s="247"/>
      <c r="P9092"/>
      <c r="Q9092" s="224"/>
      <c r="S9092" s="202"/>
      <c r="T9092"/>
    </row>
    <row r="9093" spans="15:20">
      <c r="O9093" s="247"/>
      <c r="P9093"/>
      <c r="Q9093" s="224"/>
      <c r="S9093" s="202"/>
      <c r="T9093"/>
    </row>
    <row r="9094" spans="15:20">
      <c r="O9094" s="247"/>
      <c r="P9094"/>
      <c r="Q9094" s="224"/>
      <c r="S9094" s="202"/>
      <c r="T9094"/>
    </row>
    <row r="9095" spans="15:20">
      <c r="O9095" s="247"/>
      <c r="P9095"/>
      <c r="Q9095" s="224"/>
      <c r="S9095" s="202"/>
      <c r="T9095"/>
    </row>
    <row r="9096" spans="15:20">
      <c r="O9096" s="247"/>
      <c r="P9096"/>
      <c r="Q9096" s="224"/>
      <c r="S9096" s="202"/>
      <c r="T9096"/>
    </row>
    <row r="9097" spans="15:20">
      <c r="O9097" s="247"/>
      <c r="P9097"/>
      <c r="Q9097" s="224"/>
      <c r="S9097" s="202"/>
      <c r="T9097"/>
    </row>
    <row r="9098" spans="15:20">
      <c r="O9098" s="247"/>
      <c r="P9098"/>
      <c r="Q9098" s="224"/>
      <c r="S9098" s="202"/>
      <c r="T9098"/>
    </row>
    <row r="9099" spans="15:20">
      <c r="O9099" s="247"/>
      <c r="P9099"/>
      <c r="Q9099" s="224"/>
      <c r="S9099" s="202"/>
      <c r="T9099"/>
    </row>
    <row r="9100" spans="15:20">
      <c r="O9100" s="247"/>
      <c r="P9100"/>
      <c r="Q9100" s="224"/>
      <c r="S9100" s="202"/>
      <c r="T9100"/>
    </row>
    <row r="9101" spans="15:20">
      <c r="O9101" s="247"/>
      <c r="P9101"/>
      <c r="Q9101" s="224"/>
      <c r="S9101" s="202"/>
      <c r="T9101"/>
    </row>
    <row r="9102" spans="15:20">
      <c r="O9102" s="247"/>
      <c r="P9102"/>
      <c r="Q9102" s="224"/>
      <c r="S9102" s="202"/>
      <c r="T9102"/>
    </row>
    <row r="9103" spans="15:20">
      <c r="O9103" s="247"/>
      <c r="P9103"/>
      <c r="Q9103" s="224"/>
      <c r="S9103" s="202"/>
      <c r="T9103"/>
    </row>
    <row r="9104" spans="15:20">
      <c r="O9104" s="247"/>
      <c r="P9104"/>
      <c r="Q9104" s="224"/>
      <c r="S9104" s="202"/>
      <c r="T9104"/>
    </row>
    <row r="9105" spans="15:20">
      <c r="O9105" s="247"/>
      <c r="P9105"/>
      <c r="Q9105" s="224"/>
      <c r="S9105" s="202"/>
      <c r="T9105"/>
    </row>
    <row r="9106" spans="15:20">
      <c r="O9106" s="247"/>
      <c r="P9106"/>
      <c r="Q9106" s="224"/>
      <c r="S9106" s="202"/>
      <c r="T9106"/>
    </row>
    <row r="9107" spans="15:20">
      <c r="O9107" s="247"/>
      <c r="P9107"/>
      <c r="Q9107" s="224"/>
      <c r="S9107" s="202"/>
      <c r="T9107"/>
    </row>
    <row r="9108" spans="15:20">
      <c r="O9108" s="247"/>
      <c r="P9108"/>
      <c r="Q9108" s="224"/>
      <c r="S9108" s="202"/>
      <c r="T9108"/>
    </row>
    <row r="9109" spans="15:20">
      <c r="O9109" s="247"/>
      <c r="P9109"/>
      <c r="Q9109" s="224"/>
      <c r="S9109" s="202"/>
      <c r="T9109"/>
    </row>
    <row r="9110" spans="15:20">
      <c r="O9110" s="247"/>
      <c r="P9110"/>
      <c r="Q9110" s="224"/>
      <c r="S9110" s="202"/>
      <c r="T9110"/>
    </row>
    <row r="9111" spans="15:20">
      <c r="O9111" s="247"/>
      <c r="P9111"/>
      <c r="Q9111" s="224"/>
      <c r="S9111" s="202"/>
      <c r="T9111"/>
    </row>
    <row r="9112" spans="15:20">
      <c r="O9112" s="247"/>
      <c r="P9112"/>
      <c r="Q9112" s="224"/>
      <c r="S9112" s="202"/>
      <c r="T9112"/>
    </row>
    <row r="9113" spans="15:20">
      <c r="O9113" s="247"/>
      <c r="P9113"/>
      <c r="Q9113" s="224"/>
      <c r="S9113" s="202"/>
      <c r="T9113"/>
    </row>
    <row r="9114" spans="15:20">
      <c r="O9114" s="247"/>
      <c r="P9114"/>
      <c r="Q9114" s="224"/>
      <c r="S9114" s="202"/>
      <c r="T9114"/>
    </row>
    <row r="9115" spans="15:20">
      <c r="O9115" s="247"/>
      <c r="P9115"/>
      <c r="Q9115" s="224"/>
      <c r="S9115" s="202"/>
      <c r="T9115"/>
    </row>
    <row r="9116" spans="15:20">
      <c r="O9116" s="247"/>
      <c r="P9116"/>
      <c r="Q9116" s="224"/>
      <c r="S9116" s="202"/>
      <c r="T9116"/>
    </row>
    <row r="9117" spans="15:20">
      <c r="O9117" s="247"/>
      <c r="P9117"/>
      <c r="Q9117" s="224"/>
      <c r="S9117" s="202"/>
      <c r="T9117"/>
    </row>
    <row r="9118" spans="15:20">
      <c r="O9118" s="247"/>
      <c r="P9118"/>
      <c r="Q9118" s="224"/>
      <c r="S9118" s="202"/>
      <c r="T9118"/>
    </row>
    <row r="9119" spans="15:20">
      <c r="O9119" s="247"/>
      <c r="P9119"/>
      <c r="Q9119" s="224"/>
      <c r="S9119" s="202"/>
      <c r="T9119"/>
    </row>
    <row r="9120" spans="15:20">
      <c r="O9120" s="247"/>
      <c r="P9120"/>
      <c r="Q9120" s="224"/>
      <c r="S9120" s="202"/>
      <c r="T9120"/>
    </row>
    <row r="9121" spans="15:20">
      <c r="O9121" s="247"/>
      <c r="P9121"/>
      <c r="Q9121" s="224"/>
      <c r="S9121" s="202"/>
      <c r="T9121"/>
    </row>
    <row r="9122" spans="15:20">
      <c r="O9122" s="247"/>
      <c r="P9122"/>
      <c r="Q9122" s="224"/>
      <c r="S9122" s="202"/>
      <c r="T9122"/>
    </row>
    <row r="9123" spans="15:20">
      <c r="O9123" s="247"/>
      <c r="P9123"/>
      <c r="Q9123" s="224"/>
      <c r="S9123" s="202"/>
      <c r="T9123"/>
    </row>
    <row r="9124" spans="15:20">
      <c r="O9124" s="247"/>
      <c r="P9124"/>
      <c r="Q9124" s="224"/>
      <c r="S9124" s="202"/>
      <c r="T9124"/>
    </row>
    <row r="9125" spans="15:20">
      <c r="O9125" s="247"/>
      <c r="P9125"/>
      <c r="Q9125" s="224"/>
      <c r="S9125" s="202"/>
      <c r="T9125"/>
    </row>
    <row r="9126" spans="15:20">
      <c r="O9126" s="247"/>
      <c r="P9126"/>
      <c r="Q9126" s="224"/>
      <c r="S9126" s="202"/>
      <c r="T9126"/>
    </row>
    <row r="9127" spans="15:20">
      <c r="O9127" s="247"/>
      <c r="P9127"/>
      <c r="Q9127" s="224"/>
      <c r="S9127" s="202"/>
      <c r="T9127"/>
    </row>
    <row r="9128" spans="15:20">
      <c r="O9128" s="247"/>
      <c r="P9128"/>
      <c r="Q9128" s="224"/>
      <c r="S9128" s="202"/>
      <c r="T9128"/>
    </row>
    <row r="9129" spans="15:20">
      <c r="O9129" s="247"/>
      <c r="P9129"/>
      <c r="Q9129" s="224"/>
      <c r="S9129" s="202"/>
      <c r="T9129"/>
    </row>
    <row r="9130" spans="15:20">
      <c r="O9130" s="247"/>
      <c r="P9130"/>
      <c r="Q9130" s="224"/>
      <c r="S9130" s="202"/>
      <c r="T9130"/>
    </row>
    <row r="9131" spans="15:20">
      <c r="O9131" s="247"/>
      <c r="P9131"/>
      <c r="Q9131" s="224"/>
      <c r="S9131" s="202"/>
      <c r="T9131"/>
    </row>
    <row r="9132" spans="15:20">
      <c r="O9132" s="247"/>
      <c r="P9132"/>
      <c r="Q9132" s="224"/>
      <c r="S9132" s="202"/>
      <c r="T9132"/>
    </row>
    <row r="9133" spans="15:20">
      <c r="O9133" s="247"/>
      <c r="P9133"/>
      <c r="Q9133" s="224"/>
      <c r="S9133" s="202"/>
      <c r="T9133"/>
    </row>
    <row r="9134" spans="15:20">
      <c r="O9134" s="247"/>
      <c r="P9134"/>
      <c r="Q9134" s="224"/>
      <c r="S9134" s="202"/>
      <c r="T9134"/>
    </row>
    <row r="9135" spans="15:20">
      <c r="O9135" s="247"/>
      <c r="P9135"/>
      <c r="Q9135" s="224"/>
      <c r="S9135" s="202"/>
      <c r="T9135"/>
    </row>
    <row r="9136" spans="15:20">
      <c r="O9136" s="247"/>
      <c r="P9136"/>
      <c r="Q9136" s="224"/>
      <c r="S9136" s="202"/>
      <c r="T9136"/>
    </row>
    <row r="9137" spans="15:20">
      <c r="O9137" s="247"/>
      <c r="P9137"/>
      <c r="Q9137" s="224"/>
      <c r="S9137" s="202"/>
      <c r="T9137"/>
    </row>
    <row r="9138" spans="15:20">
      <c r="O9138" s="247"/>
      <c r="P9138"/>
      <c r="Q9138" s="224"/>
      <c r="S9138" s="202"/>
      <c r="T9138"/>
    </row>
    <row r="9139" spans="15:20">
      <c r="O9139" s="247"/>
      <c r="P9139"/>
      <c r="Q9139" s="224"/>
      <c r="S9139" s="202"/>
      <c r="T9139"/>
    </row>
    <row r="9140" spans="15:20">
      <c r="O9140" s="247"/>
      <c r="P9140"/>
      <c r="Q9140" s="224"/>
      <c r="S9140" s="202"/>
      <c r="T9140"/>
    </row>
    <row r="9141" spans="15:20">
      <c r="O9141" s="247"/>
      <c r="P9141"/>
      <c r="Q9141" s="224"/>
      <c r="S9141" s="202"/>
      <c r="T9141"/>
    </row>
    <row r="9142" spans="15:20">
      <c r="O9142" s="247"/>
      <c r="P9142"/>
      <c r="Q9142" s="224"/>
      <c r="S9142" s="202"/>
      <c r="T9142"/>
    </row>
    <row r="9143" spans="15:20">
      <c r="O9143" s="247"/>
      <c r="P9143"/>
      <c r="Q9143" s="224"/>
      <c r="S9143" s="202"/>
      <c r="T9143"/>
    </row>
    <row r="9144" spans="15:20">
      <c r="O9144" s="247"/>
      <c r="P9144"/>
      <c r="Q9144" s="224"/>
      <c r="S9144" s="202"/>
      <c r="T9144"/>
    </row>
    <row r="9145" spans="15:20">
      <c r="O9145" s="247"/>
      <c r="P9145"/>
      <c r="Q9145" s="224"/>
      <c r="S9145" s="202"/>
      <c r="T9145"/>
    </row>
    <row r="9146" spans="15:20">
      <c r="O9146" s="247"/>
      <c r="P9146"/>
      <c r="Q9146" s="224"/>
      <c r="S9146" s="202"/>
      <c r="T9146"/>
    </row>
    <row r="9147" spans="15:20">
      <c r="O9147" s="247"/>
      <c r="P9147"/>
      <c r="Q9147" s="224"/>
      <c r="S9147" s="202"/>
      <c r="T9147"/>
    </row>
    <row r="9148" spans="15:20">
      <c r="O9148" s="247"/>
      <c r="P9148"/>
      <c r="Q9148" s="224"/>
      <c r="S9148" s="202"/>
      <c r="T9148"/>
    </row>
    <row r="9149" spans="15:20">
      <c r="O9149" s="247"/>
      <c r="P9149"/>
      <c r="Q9149" s="224"/>
      <c r="S9149" s="202"/>
      <c r="T9149"/>
    </row>
    <row r="9150" spans="15:20">
      <c r="O9150" s="247"/>
      <c r="P9150"/>
      <c r="Q9150" s="224"/>
      <c r="S9150" s="202"/>
      <c r="T9150"/>
    </row>
    <row r="9151" spans="15:20">
      <c r="O9151" s="247"/>
      <c r="P9151"/>
      <c r="Q9151" s="224"/>
      <c r="S9151" s="202"/>
      <c r="T9151"/>
    </row>
    <row r="9152" spans="15:20">
      <c r="O9152" s="247"/>
      <c r="P9152"/>
      <c r="Q9152" s="224"/>
      <c r="S9152" s="202"/>
      <c r="T9152"/>
    </row>
    <row r="9153" spans="15:20">
      <c r="O9153" s="247"/>
      <c r="P9153"/>
      <c r="Q9153" s="224"/>
      <c r="S9153" s="202"/>
      <c r="T9153"/>
    </row>
    <row r="9154" spans="15:20">
      <c r="O9154" s="247"/>
      <c r="P9154"/>
      <c r="Q9154" s="224"/>
      <c r="S9154" s="202"/>
      <c r="T9154"/>
    </row>
    <row r="9155" spans="15:20">
      <c r="O9155" s="247"/>
      <c r="P9155"/>
      <c r="Q9155" s="224"/>
      <c r="S9155" s="202"/>
      <c r="T9155"/>
    </row>
    <row r="9156" spans="15:20">
      <c r="O9156" s="247"/>
      <c r="P9156"/>
      <c r="Q9156" s="224"/>
      <c r="S9156" s="202"/>
      <c r="T9156"/>
    </row>
    <row r="9157" spans="15:20">
      <c r="O9157" s="247"/>
      <c r="P9157"/>
      <c r="Q9157" s="224"/>
      <c r="S9157" s="202"/>
      <c r="T9157"/>
    </row>
    <row r="9158" spans="15:20">
      <c r="O9158" s="247"/>
      <c r="P9158"/>
      <c r="Q9158" s="224"/>
      <c r="S9158" s="202"/>
      <c r="T9158"/>
    </row>
    <row r="9159" spans="15:20">
      <c r="O9159" s="247"/>
      <c r="P9159"/>
      <c r="Q9159" s="224"/>
      <c r="S9159" s="202"/>
      <c r="T9159"/>
    </row>
    <row r="9160" spans="15:20">
      <c r="O9160" s="247"/>
      <c r="P9160"/>
      <c r="Q9160" s="224"/>
      <c r="S9160" s="202"/>
      <c r="T9160"/>
    </row>
    <row r="9161" spans="15:20">
      <c r="O9161" s="247"/>
      <c r="P9161"/>
      <c r="Q9161" s="224"/>
      <c r="S9161" s="202"/>
      <c r="T9161"/>
    </row>
    <row r="9162" spans="15:20">
      <c r="O9162" s="247"/>
      <c r="P9162"/>
      <c r="Q9162" s="224"/>
      <c r="S9162" s="202"/>
      <c r="T9162"/>
    </row>
    <row r="9163" spans="15:20">
      <c r="O9163" s="247"/>
      <c r="P9163"/>
      <c r="Q9163" s="224"/>
      <c r="S9163" s="202"/>
      <c r="T9163"/>
    </row>
    <row r="9164" spans="15:20">
      <c r="O9164" s="247"/>
      <c r="P9164"/>
      <c r="Q9164" s="224"/>
      <c r="S9164" s="202"/>
      <c r="T9164"/>
    </row>
    <row r="9165" spans="15:20">
      <c r="O9165" s="247"/>
      <c r="P9165"/>
      <c r="Q9165" s="224"/>
      <c r="S9165" s="202"/>
      <c r="T9165"/>
    </row>
    <row r="9166" spans="15:20">
      <c r="O9166" s="247"/>
      <c r="P9166"/>
      <c r="Q9166" s="224"/>
      <c r="S9166" s="202"/>
      <c r="T9166"/>
    </row>
    <row r="9167" spans="15:20">
      <c r="O9167" s="247"/>
      <c r="P9167"/>
      <c r="Q9167" s="224"/>
      <c r="S9167" s="202"/>
      <c r="T9167"/>
    </row>
    <row r="9168" spans="15:20">
      <c r="O9168" s="247"/>
      <c r="P9168"/>
      <c r="Q9168" s="224"/>
      <c r="S9168" s="202"/>
      <c r="T9168"/>
    </row>
    <row r="9169" spans="15:20">
      <c r="O9169" s="247"/>
      <c r="P9169"/>
      <c r="Q9169" s="224"/>
      <c r="S9169" s="202"/>
      <c r="T9169"/>
    </row>
    <row r="9170" spans="15:20">
      <c r="O9170" s="247"/>
      <c r="P9170"/>
      <c r="Q9170" s="224"/>
      <c r="S9170" s="202"/>
      <c r="T9170"/>
    </row>
    <row r="9171" spans="15:20">
      <c r="O9171" s="247"/>
      <c r="P9171"/>
      <c r="Q9171" s="224"/>
      <c r="S9171" s="202"/>
      <c r="T9171"/>
    </row>
    <row r="9172" spans="15:20">
      <c r="O9172" s="247"/>
      <c r="P9172"/>
      <c r="Q9172" s="224"/>
      <c r="S9172" s="202"/>
      <c r="T9172"/>
    </row>
    <row r="9173" spans="15:20">
      <c r="O9173" s="247"/>
      <c r="P9173"/>
      <c r="Q9173" s="224"/>
      <c r="S9173" s="202"/>
      <c r="T9173"/>
    </row>
    <row r="9174" spans="15:20">
      <c r="O9174" s="247"/>
      <c r="P9174"/>
      <c r="Q9174" s="224"/>
      <c r="S9174" s="202"/>
      <c r="T9174"/>
    </row>
    <row r="9175" spans="15:20">
      <c r="O9175" s="247"/>
      <c r="P9175"/>
      <c r="Q9175" s="224"/>
      <c r="S9175" s="202"/>
      <c r="T9175"/>
    </row>
    <row r="9176" spans="15:20">
      <c r="O9176" s="247"/>
      <c r="P9176"/>
      <c r="Q9176" s="224"/>
      <c r="S9176" s="202"/>
      <c r="T9176"/>
    </row>
    <row r="9177" spans="15:20">
      <c r="O9177" s="247"/>
      <c r="P9177"/>
      <c r="Q9177" s="224"/>
      <c r="S9177" s="202"/>
      <c r="T9177"/>
    </row>
    <row r="9178" spans="15:20">
      <c r="O9178" s="247"/>
      <c r="P9178"/>
      <c r="Q9178" s="224"/>
      <c r="S9178" s="202"/>
      <c r="T9178"/>
    </row>
    <row r="9179" spans="15:20">
      <c r="O9179" s="247"/>
      <c r="P9179"/>
      <c r="Q9179" s="224"/>
      <c r="S9179" s="202"/>
      <c r="T9179"/>
    </row>
    <row r="9180" spans="15:20">
      <c r="O9180" s="247"/>
      <c r="P9180"/>
      <c r="Q9180" s="224"/>
      <c r="S9180" s="202"/>
      <c r="T9180"/>
    </row>
    <row r="9181" spans="15:20">
      <c r="O9181" s="247"/>
      <c r="P9181"/>
      <c r="Q9181" s="224"/>
      <c r="S9181" s="202"/>
      <c r="T9181"/>
    </row>
    <row r="9182" spans="15:20">
      <c r="O9182" s="247"/>
      <c r="P9182"/>
      <c r="Q9182" s="224"/>
      <c r="S9182" s="202"/>
      <c r="T9182"/>
    </row>
    <row r="9183" spans="15:20">
      <c r="O9183" s="247"/>
      <c r="P9183"/>
      <c r="Q9183" s="224"/>
      <c r="S9183" s="202"/>
      <c r="T9183"/>
    </row>
    <row r="9184" spans="15:20">
      <c r="O9184" s="247"/>
      <c r="P9184"/>
      <c r="Q9184" s="224"/>
      <c r="S9184" s="202"/>
      <c r="T9184"/>
    </row>
    <row r="9185" spans="15:20">
      <c r="O9185" s="247"/>
      <c r="P9185"/>
      <c r="Q9185" s="224"/>
      <c r="S9185" s="202"/>
      <c r="T9185"/>
    </row>
    <row r="9186" spans="15:20">
      <c r="O9186" s="247"/>
      <c r="P9186"/>
      <c r="Q9186" s="224"/>
      <c r="S9186" s="202"/>
      <c r="T9186"/>
    </row>
    <row r="9187" spans="15:20">
      <c r="O9187" s="247"/>
      <c r="P9187"/>
      <c r="Q9187" s="224"/>
      <c r="S9187" s="202"/>
      <c r="T9187"/>
    </row>
    <row r="9188" spans="15:20">
      <c r="O9188" s="247"/>
      <c r="P9188"/>
      <c r="Q9188" s="224"/>
      <c r="S9188" s="202"/>
      <c r="T9188"/>
    </row>
    <row r="9189" spans="15:20">
      <c r="O9189" s="247"/>
      <c r="P9189"/>
      <c r="Q9189" s="224"/>
      <c r="S9189" s="202"/>
      <c r="T9189"/>
    </row>
    <row r="9190" spans="15:20">
      <c r="O9190" s="247"/>
      <c r="P9190"/>
      <c r="Q9190" s="224"/>
      <c r="S9190" s="202"/>
      <c r="T9190"/>
    </row>
    <row r="9191" spans="15:20">
      <c r="O9191" s="247"/>
      <c r="P9191"/>
      <c r="Q9191" s="224"/>
      <c r="S9191" s="202"/>
      <c r="T9191"/>
    </row>
    <row r="9192" spans="15:20">
      <c r="O9192" s="247"/>
      <c r="P9192"/>
      <c r="Q9192" s="224"/>
      <c r="S9192" s="202"/>
      <c r="T9192"/>
    </row>
    <row r="9193" spans="15:20">
      <c r="O9193" s="247"/>
      <c r="P9193"/>
      <c r="Q9193" s="224"/>
      <c r="S9193" s="202"/>
      <c r="T9193"/>
    </row>
    <row r="9194" spans="15:20">
      <c r="O9194" s="247"/>
      <c r="P9194"/>
      <c r="Q9194" s="224"/>
      <c r="S9194" s="202"/>
      <c r="T9194"/>
    </row>
    <row r="9195" spans="15:20">
      <c r="O9195" s="247"/>
      <c r="P9195"/>
      <c r="Q9195" s="224"/>
      <c r="S9195" s="202"/>
      <c r="T9195"/>
    </row>
    <row r="9196" spans="15:20">
      <c r="O9196" s="247"/>
      <c r="P9196"/>
      <c r="Q9196" s="224"/>
      <c r="S9196" s="202"/>
      <c r="T9196"/>
    </row>
    <row r="9197" spans="15:20">
      <c r="O9197" s="247"/>
      <c r="P9197"/>
      <c r="Q9197" s="224"/>
      <c r="S9197" s="202"/>
      <c r="T9197"/>
    </row>
    <row r="9198" spans="15:20">
      <c r="O9198" s="247"/>
      <c r="P9198"/>
      <c r="Q9198" s="224"/>
      <c r="S9198" s="202"/>
      <c r="T9198"/>
    </row>
    <row r="9199" spans="15:20">
      <c r="O9199" s="247"/>
      <c r="P9199"/>
      <c r="Q9199" s="224"/>
      <c r="S9199" s="202"/>
      <c r="T9199"/>
    </row>
    <row r="9200" spans="15:20">
      <c r="O9200" s="247"/>
      <c r="P9200"/>
      <c r="Q9200" s="224"/>
      <c r="S9200" s="202"/>
      <c r="T9200"/>
    </row>
    <row r="9201" spans="15:20">
      <c r="O9201" s="247"/>
      <c r="P9201"/>
      <c r="Q9201" s="224"/>
      <c r="S9201" s="202"/>
      <c r="T9201"/>
    </row>
    <row r="9202" spans="15:20">
      <c r="O9202" s="247"/>
      <c r="P9202"/>
      <c r="Q9202" s="224"/>
      <c r="S9202" s="202"/>
      <c r="T9202"/>
    </row>
    <row r="9203" spans="15:20">
      <c r="O9203" s="247"/>
      <c r="P9203"/>
      <c r="Q9203" s="224"/>
      <c r="S9203" s="202"/>
      <c r="T9203"/>
    </row>
    <row r="9204" spans="15:20">
      <c r="O9204" s="247"/>
      <c r="P9204"/>
      <c r="Q9204" s="224"/>
      <c r="S9204" s="202"/>
      <c r="T9204"/>
    </row>
    <row r="9205" spans="15:20">
      <c r="O9205" s="247"/>
      <c r="P9205"/>
      <c r="Q9205" s="224"/>
      <c r="S9205" s="202"/>
      <c r="T9205"/>
    </row>
    <row r="9206" spans="15:20">
      <c r="O9206" s="247"/>
      <c r="P9206"/>
      <c r="Q9206" s="224"/>
      <c r="S9206" s="202"/>
      <c r="T9206"/>
    </row>
    <row r="9207" spans="15:20">
      <c r="O9207" s="247"/>
      <c r="P9207"/>
      <c r="Q9207" s="224"/>
      <c r="S9207" s="202"/>
      <c r="T9207"/>
    </row>
    <row r="9208" spans="15:20">
      <c r="O9208" s="247"/>
      <c r="P9208"/>
      <c r="Q9208" s="224"/>
      <c r="S9208" s="202"/>
      <c r="T9208"/>
    </row>
    <row r="9209" spans="15:20">
      <c r="O9209" s="247"/>
      <c r="P9209"/>
      <c r="Q9209" s="224"/>
      <c r="S9209" s="202"/>
      <c r="T9209"/>
    </row>
    <row r="9210" spans="15:20">
      <c r="O9210" s="247"/>
      <c r="P9210"/>
      <c r="Q9210" s="224"/>
      <c r="S9210" s="202"/>
      <c r="T9210"/>
    </row>
    <row r="9211" spans="15:20">
      <c r="O9211" s="247"/>
      <c r="P9211"/>
      <c r="Q9211" s="224"/>
      <c r="S9211" s="202"/>
      <c r="T9211"/>
    </row>
    <row r="9212" spans="15:20">
      <c r="O9212" s="247"/>
      <c r="P9212"/>
      <c r="Q9212" s="224"/>
      <c r="S9212" s="202"/>
      <c r="T9212"/>
    </row>
    <row r="9213" spans="15:20">
      <c r="O9213" s="247"/>
      <c r="P9213"/>
      <c r="Q9213" s="224"/>
      <c r="S9213" s="202"/>
      <c r="T9213"/>
    </row>
    <row r="9214" spans="15:20">
      <c r="O9214" s="247"/>
      <c r="P9214"/>
      <c r="Q9214" s="224"/>
      <c r="S9214" s="202"/>
      <c r="T9214"/>
    </row>
    <row r="9215" spans="15:20">
      <c r="O9215" s="247"/>
      <c r="P9215"/>
      <c r="Q9215" s="224"/>
      <c r="S9215" s="202"/>
      <c r="T9215"/>
    </row>
    <row r="9216" spans="15:20">
      <c r="O9216" s="247"/>
      <c r="P9216"/>
      <c r="Q9216" s="224"/>
      <c r="S9216" s="202"/>
      <c r="T9216"/>
    </row>
    <row r="9217" spans="15:20">
      <c r="O9217" s="247"/>
      <c r="P9217"/>
      <c r="Q9217" s="224"/>
      <c r="S9217" s="202"/>
      <c r="T9217"/>
    </row>
    <row r="9218" spans="15:20">
      <c r="O9218" s="247"/>
      <c r="P9218"/>
      <c r="Q9218" s="224"/>
      <c r="S9218" s="202"/>
      <c r="T9218"/>
    </row>
    <row r="9219" spans="15:20">
      <c r="O9219" s="247"/>
      <c r="P9219"/>
      <c r="Q9219" s="224"/>
      <c r="S9219" s="202"/>
      <c r="T9219"/>
    </row>
    <row r="9220" spans="15:20">
      <c r="O9220" s="247"/>
      <c r="P9220"/>
      <c r="Q9220" s="224"/>
      <c r="S9220" s="202"/>
      <c r="T9220"/>
    </row>
    <row r="9221" spans="15:20">
      <c r="O9221" s="247"/>
      <c r="P9221"/>
      <c r="Q9221" s="224"/>
      <c r="S9221" s="202"/>
      <c r="T9221"/>
    </row>
    <row r="9222" spans="15:20">
      <c r="O9222" s="247"/>
      <c r="P9222"/>
      <c r="Q9222" s="224"/>
      <c r="S9222" s="202"/>
      <c r="T9222"/>
    </row>
    <row r="9223" spans="15:20">
      <c r="O9223" s="247"/>
      <c r="P9223"/>
      <c r="Q9223" s="224"/>
      <c r="S9223" s="202"/>
      <c r="T9223"/>
    </row>
    <row r="9224" spans="15:20">
      <c r="O9224" s="247"/>
      <c r="P9224"/>
      <c r="Q9224" s="224"/>
      <c r="S9224" s="202"/>
      <c r="T9224"/>
    </row>
    <row r="9225" spans="15:20">
      <c r="O9225" s="247"/>
      <c r="P9225"/>
      <c r="Q9225" s="224"/>
      <c r="S9225" s="202"/>
      <c r="T9225"/>
    </row>
    <row r="9226" spans="15:20">
      <c r="O9226" s="247"/>
      <c r="P9226"/>
      <c r="Q9226" s="224"/>
      <c r="S9226" s="202"/>
      <c r="T9226"/>
    </row>
    <row r="9227" spans="15:20">
      <c r="O9227" s="247"/>
      <c r="P9227"/>
      <c r="Q9227" s="224"/>
      <c r="S9227" s="202"/>
      <c r="T9227"/>
    </row>
    <row r="9228" spans="15:20">
      <c r="O9228" s="247"/>
      <c r="P9228"/>
      <c r="Q9228" s="224"/>
      <c r="S9228" s="202"/>
      <c r="T9228"/>
    </row>
    <row r="9229" spans="15:20">
      <c r="O9229" s="247"/>
      <c r="P9229"/>
      <c r="Q9229" s="224"/>
      <c r="S9229" s="202"/>
      <c r="T9229"/>
    </row>
    <row r="9230" spans="15:20">
      <c r="O9230" s="247"/>
      <c r="P9230"/>
      <c r="Q9230" s="224"/>
      <c r="S9230" s="202"/>
      <c r="T9230"/>
    </row>
    <row r="9231" spans="15:20">
      <c r="O9231" s="247"/>
      <c r="P9231"/>
      <c r="Q9231" s="224"/>
      <c r="S9231" s="202"/>
      <c r="T9231"/>
    </row>
    <row r="9232" spans="15:20">
      <c r="O9232" s="247"/>
      <c r="P9232"/>
      <c r="Q9232" s="224"/>
      <c r="S9232" s="202"/>
      <c r="T9232"/>
    </row>
    <row r="9233" spans="15:20">
      <c r="O9233" s="247"/>
      <c r="P9233"/>
      <c r="Q9233" s="224"/>
      <c r="S9233" s="202"/>
      <c r="T9233"/>
    </row>
    <row r="9234" spans="15:20">
      <c r="O9234" s="247"/>
      <c r="P9234"/>
      <c r="Q9234" s="224"/>
      <c r="S9234" s="202"/>
      <c r="T9234"/>
    </row>
    <row r="9235" spans="15:20">
      <c r="O9235" s="247"/>
      <c r="P9235"/>
      <c r="Q9235" s="224"/>
      <c r="S9235" s="202"/>
      <c r="T9235"/>
    </row>
    <row r="9236" spans="15:20">
      <c r="O9236" s="247"/>
      <c r="P9236"/>
      <c r="Q9236" s="224"/>
      <c r="S9236" s="202"/>
      <c r="T9236"/>
    </row>
    <row r="9237" spans="15:20">
      <c r="O9237" s="247"/>
      <c r="P9237"/>
      <c r="Q9237" s="224"/>
      <c r="S9237" s="202"/>
      <c r="T9237"/>
    </row>
    <row r="9238" spans="15:20">
      <c r="O9238" s="247"/>
      <c r="P9238"/>
      <c r="Q9238" s="224"/>
      <c r="S9238" s="202"/>
      <c r="T9238"/>
    </row>
    <row r="9239" spans="15:20">
      <c r="O9239" s="247"/>
      <c r="P9239"/>
      <c r="Q9239" s="224"/>
      <c r="S9239" s="202"/>
      <c r="T9239"/>
    </row>
    <row r="9240" spans="15:20">
      <c r="O9240" s="247"/>
      <c r="P9240"/>
      <c r="Q9240" s="224"/>
      <c r="S9240" s="202"/>
      <c r="T9240"/>
    </row>
    <row r="9241" spans="15:20">
      <c r="O9241" s="247"/>
      <c r="P9241"/>
      <c r="Q9241" s="224"/>
      <c r="S9241" s="202"/>
      <c r="T9241"/>
    </row>
    <row r="9242" spans="15:20">
      <c r="O9242" s="247"/>
      <c r="P9242"/>
      <c r="Q9242" s="224"/>
      <c r="S9242" s="202"/>
      <c r="T9242"/>
    </row>
    <row r="9243" spans="15:20">
      <c r="O9243" s="247"/>
      <c r="P9243"/>
      <c r="Q9243" s="224"/>
      <c r="S9243" s="202"/>
      <c r="T9243"/>
    </row>
    <row r="9244" spans="15:20">
      <c r="O9244" s="247"/>
      <c r="P9244"/>
      <c r="Q9244" s="224"/>
      <c r="S9244" s="202"/>
      <c r="T9244"/>
    </row>
    <row r="9245" spans="15:20">
      <c r="O9245" s="247"/>
      <c r="P9245"/>
      <c r="Q9245" s="224"/>
      <c r="S9245" s="202"/>
      <c r="T9245"/>
    </row>
    <row r="9246" spans="15:20">
      <c r="O9246" s="247"/>
      <c r="P9246"/>
      <c r="Q9246" s="224"/>
      <c r="S9246" s="202"/>
      <c r="T9246"/>
    </row>
    <row r="9247" spans="15:20">
      <c r="O9247" s="247"/>
      <c r="P9247"/>
      <c r="Q9247" s="224"/>
      <c r="S9247" s="202"/>
      <c r="T9247"/>
    </row>
    <row r="9248" spans="15:20">
      <c r="O9248" s="247"/>
      <c r="P9248"/>
      <c r="Q9248" s="224"/>
      <c r="S9248" s="202"/>
      <c r="T9248"/>
    </row>
    <row r="9249" spans="15:20">
      <c r="O9249" s="247"/>
      <c r="P9249"/>
      <c r="Q9249" s="224"/>
      <c r="S9249" s="202"/>
      <c r="T9249"/>
    </row>
    <row r="9250" spans="15:20">
      <c r="O9250" s="247"/>
      <c r="P9250"/>
      <c r="Q9250" s="224"/>
      <c r="S9250" s="202"/>
      <c r="T9250"/>
    </row>
    <row r="9251" spans="15:20">
      <c r="O9251" s="247"/>
      <c r="P9251"/>
      <c r="Q9251" s="224"/>
      <c r="S9251" s="202"/>
      <c r="T9251"/>
    </row>
    <row r="9252" spans="15:20">
      <c r="O9252" s="247"/>
      <c r="P9252"/>
      <c r="Q9252" s="224"/>
      <c r="S9252" s="202"/>
      <c r="T9252"/>
    </row>
    <row r="9253" spans="15:20">
      <c r="O9253" s="247"/>
      <c r="P9253"/>
      <c r="Q9253" s="224"/>
      <c r="S9253" s="202"/>
      <c r="T9253"/>
    </row>
    <row r="9254" spans="15:20">
      <c r="O9254" s="247"/>
      <c r="P9254"/>
      <c r="Q9254" s="224"/>
      <c r="S9254" s="202"/>
      <c r="T9254"/>
    </row>
    <row r="9255" spans="15:20">
      <c r="O9255" s="247"/>
      <c r="P9255"/>
      <c r="Q9255" s="224"/>
      <c r="S9255" s="202"/>
      <c r="T9255"/>
    </row>
    <row r="9256" spans="15:20">
      <c r="O9256" s="247"/>
      <c r="P9256"/>
      <c r="Q9256" s="224"/>
      <c r="S9256" s="202"/>
      <c r="T9256"/>
    </row>
    <row r="9257" spans="15:20">
      <c r="O9257" s="247"/>
      <c r="P9257"/>
      <c r="Q9257" s="224"/>
      <c r="S9257" s="202"/>
      <c r="T9257"/>
    </row>
    <row r="9258" spans="15:20">
      <c r="O9258" s="247"/>
      <c r="P9258"/>
      <c r="Q9258" s="224"/>
      <c r="S9258" s="202"/>
      <c r="T9258"/>
    </row>
    <row r="9259" spans="15:20">
      <c r="O9259" s="247"/>
      <c r="P9259"/>
      <c r="Q9259" s="224"/>
      <c r="S9259" s="202"/>
      <c r="T9259"/>
    </row>
    <row r="9260" spans="15:20">
      <c r="O9260" s="247"/>
      <c r="P9260"/>
      <c r="Q9260" s="224"/>
      <c r="S9260" s="202"/>
      <c r="T9260"/>
    </row>
    <row r="9261" spans="15:20">
      <c r="O9261" s="247"/>
      <c r="P9261"/>
      <c r="Q9261" s="224"/>
      <c r="S9261" s="202"/>
      <c r="T9261"/>
    </row>
    <row r="9262" spans="15:20">
      <c r="O9262" s="247"/>
      <c r="P9262"/>
      <c r="Q9262" s="224"/>
      <c r="S9262" s="202"/>
      <c r="T9262"/>
    </row>
    <row r="9263" spans="15:20">
      <c r="O9263" s="247"/>
      <c r="P9263"/>
      <c r="Q9263" s="224"/>
      <c r="S9263" s="202"/>
      <c r="T9263"/>
    </row>
    <row r="9264" spans="15:20">
      <c r="O9264" s="247"/>
      <c r="P9264"/>
      <c r="Q9264" s="224"/>
      <c r="S9264" s="202"/>
      <c r="T9264"/>
    </row>
    <row r="9265" spans="15:20">
      <c r="O9265" s="247"/>
      <c r="P9265"/>
      <c r="Q9265" s="224"/>
      <c r="S9265" s="202"/>
      <c r="T9265"/>
    </row>
    <row r="9266" spans="15:20">
      <c r="O9266" s="247"/>
      <c r="P9266"/>
      <c r="Q9266" s="224"/>
      <c r="S9266" s="202"/>
      <c r="T9266"/>
    </row>
    <row r="9267" spans="15:20">
      <c r="O9267" s="247"/>
      <c r="P9267"/>
      <c r="Q9267" s="224"/>
      <c r="S9267" s="202"/>
      <c r="T9267"/>
    </row>
    <row r="9268" spans="15:20">
      <c r="O9268" s="247"/>
      <c r="P9268"/>
      <c r="Q9268" s="224"/>
      <c r="S9268" s="202"/>
      <c r="T9268"/>
    </row>
    <row r="9269" spans="15:20">
      <c r="O9269" s="247"/>
      <c r="P9269"/>
      <c r="Q9269" s="224"/>
      <c r="S9269" s="202"/>
      <c r="T9269"/>
    </row>
    <row r="9270" spans="15:20">
      <c r="O9270" s="247"/>
      <c r="P9270"/>
      <c r="Q9270" s="224"/>
      <c r="S9270" s="202"/>
      <c r="T9270"/>
    </row>
    <row r="9271" spans="15:20">
      <c r="O9271" s="247"/>
      <c r="P9271"/>
      <c r="Q9271" s="224"/>
      <c r="S9271" s="202"/>
      <c r="T9271"/>
    </row>
    <row r="9272" spans="15:20">
      <c r="O9272" s="247"/>
      <c r="P9272"/>
      <c r="Q9272" s="224"/>
      <c r="S9272" s="202"/>
      <c r="T9272"/>
    </row>
    <row r="9273" spans="15:20">
      <c r="O9273" s="247"/>
      <c r="P9273"/>
      <c r="Q9273" s="224"/>
      <c r="S9273" s="202"/>
      <c r="T9273"/>
    </row>
    <row r="9274" spans="15:20">
      <c r="O9274" s="247"/>
      <c r="P9274"/>
      <c r="Q9274" s="224"/>
      <c r="S9274" s="202"/>
      <c r="T9274"/>
    </row>
    <row r="9275" spans="15:20">
      <c r="O9275" s="247"/>
      <c r="P9275"/>
      <c r="Q9275" s="224"/>
      <c r="S9275" s="202"/>
      <c r="T9275"/>
    </row>
    <row r="9276" spans="15:20">
      <c r="O9276" s="247"/>
      <c r="P9276"/>
      <c r="Q9276" s="224"/>
      <c r="S9276" s="202"/>
      <c r="T9276"/>
    </row>
    <row r="9277" spans="15:20">
      <c r="O9277" s="247"/>
      <c r="P9277"/>
      <c r="Q9277" s="224"/>
      <c r="S9277" s="202"/>
      <c r="T9277"/>
    </row>
    <row r="9278" spans="15:20">
      <c r="O9278" s="247"/>
      <c r="P9278"/>
      <c r="Q9278" s="224"/>
      <c r="S9278" s="202"/>
      <c r="T9278"/>
    </row>
    <row r="9279" spans="15:20">
      <c r="O9279" s="247"/>
      <c r="P9279"/>
      <c r="Q9279" s="224"/>
      <c r="S9279" s="202"/>
      <c r="T9279"/>
    </row>
    <row r="9280" spans="15:20">
      <c r="O9280" s="247"/>
      <c r="P9280"/>
      <c r="Q9280" s="224"/>
      <c r="S9280" s="202"/>
      <c r="T9280"/>
    </row>
    <row r="9281" spans="15:20">
      <c r="O9281" s="247"/>
      <c r="P9281"/>
      <c r="Q9281" s="224"/>
      <c r="S9281" s="202"/>
      <c r="T9281"/>
    </row>
    <row r="9282" spans="15:20">
      <c r="O9282" s="247"/>
      <c r="P9282"/>
      <c r="Q9282" s="224"/>
      <c r="S9282" s="202"/>
      <c r="T9282"/>
    </row>
    <row r="9283" spans="15:20">
      <c r="O9283" s="247"/>
      <c r="P9283"/>
      <c r="Q9283" s="224"/>
      <c r="S9283" s="202"/>
      <c r="T9283"/>
    </row>
    <row r="9284" spans="15:20">
      <c r="O9284" s="247"/>
      <c r="P9284"/>
      <c r="Q9284" s="224"/>
      <c r="S9284" s="202"/>
      <c r="T9284"/>
    </row>
    <row r="9285" spans="15:20">
      <c r="O9285" s="247"/>
      <c r="P9285"/>
      <c r="Q9285" s="224"/>
      <c r="S9285" s="202"/>
      <c r="T9285"/>
    </row>
    <row r="9286" spans="15:20">
      <c r="O9286" s="247"/>
      <c r="P9286"/>
      <c r="Q9286" s="224"/>
      <c r="S9286" s="202"/>
      <c r="T9286"/>
    </row>
    <row r="9287" spans="15:20">
      <c r="O9287" s="247"/>
      <c r="P9287"/>
      <c r="Q9287" s="224"/>
      <c r="S9287" s="202"/>
      <c r="T9287"/>
    </row>
    <row r="9288" spans="15:20">
      <c r="O9288" s="247"/>
      <c r="P9288"/>
      <c r="Q9288" s="224"/>
      <c r="S9288" s="202"/>
      <c r="T9288"/>
    </row>
    <row r="9289" spans="15:20">
      <c r="O9289" s="247"/>
      <c r="P9289"/>
      <c r="Q9289" s="224"/>
      <c r="S9289" s="202"/>
      <c r="T9289"/>
    </row>
    <row r="9290" spans="15:20">
      <c r="O9290" s="247"/>
      <c r="P9290"/>
      <c r="Q9290" s="224"/>
      <c r="S9290" s="202"/>
      <c r="T9290"/>
    </row>
    <row r="9291" spans="15:20">
      <c r="O9291" s="247"/>
      <c r="P9291"/>
      <c r="Q9291" s="224"/>
      <c r="S9291" s="202"/>
      <c r="T9291"/>
    </row>
    <row r="9292" spans="15:20">
      <c r="O9292" s="247"/>
      <c r="P9292"/>
      <c r="Q9292" s="224"/>
      <c r="S9292" s="202"/>
      <c r="T9292"/>
    </row>
    <row r="9293" spans="15:20">
      <c r="O9293" s="247"/>
      <c r="P9293"/>
      <c r="Q9293" s="224"/>
      <c r="S9293" s="202"/>
      <c r="T9293"/>
    </row>
    <row r="9294" spans="15:20">
      <c r="O9294" s="247"/>
      <c r="P9294"/>
      <c r="Q9294" s="224"/>
      <c r="S9294" s="202"/>
      <c r="T9294"/>
    </row>
    <row r="9295" spans="15:20">
      <c r="O9295" s="247"/>
      <c r="P9295"/>
      <c r="Q9295" s="224"/>
      <c r="S9295" s="202"/>
      <c r="T9295"/>
    </row>
    <row r="9296" spans="15:20">
      <c r="O9296" s="247"/>
      <c r="P9296"/>
      <c r="Q9296" s="224"/>
      <c r="S9296" s="202"/>
      <c r="T9296"/>
    </row>
    <row r="9297" spans="15:20">
      <c r="O9297" s="247"/>
      <c r="P9297"/>
      <c r="Q9297" s="224"/>
      <c r="S9297" s="202"/>
      <c r="T9297"/>
    </row>
    <row r="9298" spans="15:20">
      <c r="O9298" s="247"/>
      <c r="P9298"/>
      <c r="Q9298" s="224"/>
      <c r="S9298" s="202"/>
      <c r="T9298"/>
    </row>
    <row r="9299" spans="15:20">
      <c r="O9299" s="247"/>
      <c r="P9299"/>
      <c r="Q9299" s="224"/>
      <c r="S9299" s="202"/>
      <c r="T9299"/>
    </row>
    <row r="9300" spans="15:20">
      <c r="O9300" s="247"/>
      <c r="P9300"/>
      <c r="Q9300" s="224"/>
      <c r="S9300" s="202"/>
      <c r="T9300"/>
    </row>
    <row r="9301" spans="15:20">
      <c r="O9301" s="247"/>
      <c r="P9301"/>
      <c r="Q9301" s="224"/>
      <c r="S9301" s="202"/>
      <c r="T9301"/>
    </row>
    <row r="9302" spans="15:20">
      <c r="O9302" s="247"/>
      <c r="P9302"/>
      <c r="Q9302" s="224"/>
      <c r="S9302" s="202"/>
      <c r="T9302"/>
    </row>
    <row r="9303" spans="15:20">
      <c r="O9303" s="247"/>
      <c r="P9303"/>
      <c r="Q9303" s="224"/>
      <c r="S9303" s="202"/>
      <c r="T9303"/>
    </row>
    <row r="9304" spans="15:20">
      <c r="O9304" s="247"/>
      <c r="P9304"/>
      <c r="Q9304" s="224"/>
      <c r="S9304" s="202"/>
      <c r="T9304"/>
    </row>
    <row r="9305" spans="15:20">
      <c r="O9305" s="247"/>
      <c r="P9305"/>
      <c r="Q9305" s="224"/>
      <c r="S9305" s="202"/>
      <c r="T9305"/>
    </row>
    <row r="9306" spans="15:20">
      <c r="O9306" s="247"/>
      <c r="P9306"/>
      <c r="Q9306" s="224"/>
      <c r="S9306" s="202"/>
      <c r="T9306"/>
    </row>
    <row r="9307" spans="15:20">
      <c r="O9307" s="247"/>
      <c r="P9307"/>
      <c r="Q9307" s="224"/>
      <c r="S9307" s="202"/>
      <c r="T9307"/>
    </row>
    <row r="9308" spans="15:20">
      <c r="O9308" s="247"/>
      <c r="P9308"/>
      <c r="Q9308" s="224"/>
      <c r="S9308" s="202"/>
      <c r="T9308"/>
    </row>
    <row r="9309" spans="15:20">
      <c r="O9309" s="247"/>
      <c r="P9309"/>
      <c r="Q9309" s="224"/>
      <c r="S9309" s="202"/>
      <c r="T9309"/>
    </row>
    <row r="9310" spans="15:20">
      <c r="O9310" s="247"/>
      <c r="P9310"/>
      <c r="Q9310" s="224"/>
      <c r="S9310" s="202"/>
      <c r="T9310"/>
    </row>
    <row r="9311" spans="15:20">
      <c r="O9311" s="247"/>
      <c r="P9311"/>
      <c r="Q9311" s="224"/>
      <c r="S9311" s="202"/>
      <c r="T9311"/>
    </row>
    <row r="9312" spans="15:20">
      <c r="O9312" s="247"/>
      <c r="P9312"/>
      <c r="Q9312" s="224"/>
      <c r="S9312" s="202"/>
      <c r="T9312"/>
    </row>
    <row r="9313" spans="15:20">
      <c r="O9313" s="247"/>
      <c r="P9313"/>
      <c r="Q9313" s="224"/>
      <c r="S9313" s="202"/>
      <c r="T9313"/>
    </row>
    <row r="9314" spans="15:20">
      <c r="O9314" s="247"/>
      <c r="P9314"/>
      <c r="Q9314" s="224"/>
      <c r="S9314" s="202"/>
      <c r="T9314"/>
    </row>
    <row r="9315" spans="15:20">
      <c r="O9315" s="247"/>
      <c r="P9315"/>
      <c r="Q9315" s="224"/>
      <c r="S9315" s="202"/>
      <c r="T9315"/>
    </row>
    <row r="9316" spans="15:20">
      <c r="O9316" s="247"/>
      <c r="P9316"/>
      <c r="Q9316" s="224"/>
      <c r="S9316" s="202"/>
      <c r="T9316"/>
    </row>
    <row r="9317" spans="15:20">
      <c r="O9317" s="247"/>
      <c r="P9317"/>
      <c r="Q9317" s="224"/>
      <c r="S9317" s="202"/>
      <c r="T9317"/>
    </row>
    <row r="9318" spans="15:20">
      <c r="O9318" s="247"/>
      <c r="P9318"/>
      <c r="Q9318" s="224"/>
      <c r="S9318" s="202"/>
      <c r="T9318"/>
    </row>
    <row r="9319" spans="15:20">
      <c r="O9319" s="247"/>
      <c r="P9319"/>
      <c r="Q9319" s="224"/>
      <c r="S9319" s="202"/>
      <c r="T9319"/>
    </row>
    <row r="9320" spans="15:20">
      <c r="O9320" s="247"/>
      <c r="P9320"/>
      <c r="Q9320" s="224"/>
      <c r="S9320" s="202"/>
      <c r="T9320"/>
    </row>
    <row r="9321" spans="15:20">
      <c r="O9321" s="247"/>
      <c r="P9321"/>
      <c r="Q9321" s="224"/>
      <c r="S9321" s="202"/>
      <c r="T9321"/>
    </row>
    <row r="9322" spans="15:20">
      <c r="O9322" s="247"/>
      <c r="P9322"/>
      <c r="Q9322" s="224"/>
      <c r="S9322" s="202"/>
      <c r="T9322"/>
    </row>
    <row r="9323" spans="15:20">
      <c r="O9323" s="247"/>
      <c r="P9323"/>
      <c r="Q9323" s="224"/>
      <c r="S9323" s="202"/>
      <c r="T9323"/>
    </row>
    <row r="9324" spans="15:20">
      <c r="O9324" s="247"/>
      <c r="P9324"/>
      <c r="Q9324" s="224"/>
      <c r="S9324" s="202"/>
      <c r="T9324"/>
    </row>
    <row r="9325" spans="15:20">
      <c r="O9325" s="247"/>
      <c r="P9325"/>
      <c r="Q9325" s="224"/>
      <c r="S9325" s="202"/>
      <c r="T9325"/>
    </row>
    <row r="9326" spans="15:20">
      <c r="O9326" s="247"/>
      <c r="P9326"/>
      <c r="Q9326" s="224"/>
      <c r="S9326" s="202"/>
      <c r="T9326"/>
    </row>
    <row r="9327" spans="15:20">
      <c r="O9327" s="247"/>
      <c r="P9327"/>
      <c r="Q9327" s="224"/>
      <c r="S9327" s="202"/>
      <c r="T9327"/>
    </row>
    <row r="9328" spans="15:20">
      <c r="O9328" s="247"/>
      <c r="P9328"/>
      <c r="Q9328" s="224"/>
      <c r="S9328" s="202"/>
      <c r="T9328"/>
    </row>
    <row r="9329" spans="15:20">
      <c r="O9329" s="247"/>
      <c r="P9329"/>
      <c r="Q9329" s="224"/>
      <c r="S9329" s="202"/>
      <c r="T9329"/>
    </row>
    <row r="9330" spans="15:20">
      <c r="O9330" s="247"/>
      <c r="P9330"/>
      <c r="Q9330" s="224"/>
      <c r="S9330" s="202"/>
      <c r="T9330"/>
    </row>
    <row r="9331" spans="15:20">
      <c r="O9331" s="247"/>
      <c r="P9331"/>
      <c r="Q9331" s="224"/>
      <c r="S9331" s="202"/>
      <c r="T9331"/>
    </row>
    <row r="9332" spans="15:20">
      <c r="O9332" s="247"/>
      <c r="P9332"/>
      <c r="Q9332" s="224"/>
      <c r="S9332" s="202"/>
      <c r="T9332"/>
    </row>
    <row r="9333" spans="15:20">
      <c r="O9333" s="247"/>
      <c r="P9333"/>
      <c r="Q9333" s="224"/>
      <c r="S9333" s="202"/>
      <c r="T9333"/>
    </row>
    <row r="9334" spans="15:20">
      <c r="O9334" s="247"/>
      <c r="P9334"/>
      <c r="Q9334" s="224"/>
      <c r="S9334" s="202"/>
      <c r="T9334"/>
    </row>
    <row r="9335" spans="15:20">
      <c r="O9335" s="247"/>
      <c r="P9335"/>
      <c r="Q9335" s="224"/>
      <c r="S9335" s="202"/>
      <c r="T9335"/>
    </row>
    <row r="9336" spans="15:20">
      <c r="O9336" s="247"/>
      <c r="P9336"/>
      <c r="Q9336" s="224"/>
      <c r="S9336" s="202"/>
      <c r="T9336"/>
    </row>
    <row r="9337" spans="15:20">
      <c r="O9337" s="247"/>
      <c r="P9337"/>
      <c r="Q9337" s="224"/>
      <c r="S9337" s="202"/>
      <c r="T9337"/>
    </row>
    <row r="9338" spans="15:20">
      <c r="O9338" s="247"/>
      <c r="P9338"/>
      <c r="Q9338" s="224"/>
      <c r="S9338" s="202"/>
      <c r="T9338"/>
    </row>
    <row r="9339" spans="15:20">
      <c r="O9339" s="247"/>
      <c r="P9339"/>
      <c r="Q9339" s="224"/>
      <c r="S9339" s="202"/>
      <c r="T9339"/>
    </row>
    <row r="9340" spans="15:20">
      <c r="O9340" s="247"/>
      <c r="P9340"/>
      <c r="Q9340" s="224"/>
      <c r="S9340" s="202"/>
      <c r="T9340"/>
    </row>
    <row r="9341" spans="15:20">
      <c r="O9341" s="247"/>
      <c r="P9341"/>
      <c r="Q9341" s="224"/>
      <c r="S9341" s="202"/>
      <c r="T9341"/>
    </row>
    <row r="9342" spans="15:20">
      <c r="O9342" s="247"/>
      <c r="P9342"/>
      <c r="Q9342" s="224"/>
      <c r="S9342" s="202"/>
      <c r="T9342"/>
    </row>
    <row r="9343" spans="15:20">
      <c r="O9343" s="247"/>
      <c r="P9343"/>
      <c r="Q9343" s="224"/>
      <c r="S9343" s="202"/>
      <c r="T9343"/>
    </row>
    <row r="9344" spans="15:20">
      <c r="O9344" s="247"/>
      <c r="P9344"/>
      <c r="Q9344" s="224"/>
      <c r="S9344" s="202"/>
      <c r="T9344"/>
    </row>
    <row r="9345" spans="15:20">
      <c r="O9345" s="247"/>
      <c r="P9345"/>
      <c r="Q9345" s="224"/>
      <c r="S9345" s="202"/>
      <c r="T9345"/>
    </row>
    <row r="9346" spans="15:20">
      <c r="O9346" s="247"/>
      <c r="P9346"/>
      <c r="Q9346" s="224"/>
      <c r="S9346" s="202"/>
      <c r="T9346"/>
    </row>
    <row r="9347" spans="15:20">
      <c r="O9347" s="247"/>
      <c r="P9347"/>
      <c r="Q9347" s="224"/>
      <c r="S9347" s="202"/>
      <c r="T9347"/>
    </row>
    <row r="9348" spans="15:20">
      <c r="O9348" s="247"/>
      <c r="P9348"/>
      <c r="Q9348" s="224"/>
      <c r="S9348" s="202"/>
      <c r="T9348"/>
    </row>
    <row r="9349" spans="15:20">
      <c r="O9349" s="247"/>
      <c r="P9349"/>
      <c r="Q9349" s="224"/>
      <c r="S9349" s="202"/>
      <c r="T9349"/>
    </row>
    <row r="9350" spans="15:20">
      <c r="O9350" s="247"/>
      <c r="P9350"/>
      <c r="Q9350" s="224"/>
      <c r="S9350" s="202"/>
      <c r="T9350"/>
    </row>
    <row r="9351" spans="15:20">
      <c r="O9351" s="247"/>
      <c r="P9351"/>
      <c r="Q9351" s="224"/>
      <c r="S9351" s="202"/>
      <c r="T9351"/>
    </row>
    <row r="9352" spans="15:20">
      <c r="O9352" s="247"/>
      <c r="P9352"/>
      <c r="Q9352" s="224"/>
      <c r="S9352" s="202"/>
      <c r="T9352"/>
    </row>
    <row r="9353" spans="15:20">
      <c r="O9353" s="247"/>
      <c r="P9353"/>
      <c r="Q9353" s="224"/>
      <c r="S9353" s="202"/>
      <c r="T9353"/>
    </row>
    <row r="9354" spans="15:20">
      <c r="O9354" s="247"/>
      <c r="P9354"/>
      <c r="Q9354" s="224"/>
      <c r="S9354" s="202"/>
      <c r="T9354"/>
    </row>
    <row r="9355" spans="15:20">
      <c r="O9355" s="247"/>
      <c r="P9355"/>
      <c r="Q9355" s="224"/>
      <c r="S9355" s="202"/>
      <c r="T9355"/>
    </row>
    <row r="9356" spans="15:20">
      <c r="O9356" s="247"/>
      <c r="P9356"/>
      <c r="Q9356" s="224"/>
      <c r="S9356" s="202"/>
      <c r="T9356"/>
    </row>
    <row r="9357" spans="15:20">
      <c r="O9357" s="247"/>
      <c r="P9357"/>
      <c r="Q9357" s="224"/>
      <c r="S9357" s="202"/>
      <c r="T9357"/>
    </row>
    <row r="9358" spans="15:20">
      <c r="O9358" s="247"/>
      <c r="P9358"/>
      <c r="Q9358" s="224"/>
      <c r="S9358" s="202"/>
      <c r="T9358"/>
    </row>
    <row r="9359" spans="15:20">
      <c r="O9359" s="247"/>
      <c r="P9359"/>
      <c r="Q9359" s="224"/>
      <c r="S9359" s="202"/>
      <c r="T9359"/>
    </row>
    <row r="9360" spans="15:20">
      <c r="O9360" s="247"/>
      <c r="P9360"/>
      <c r="Q9360" s="224"/>
      <c r="S9360" s="202"/>
      <c r="T9360"/>
    </row>
    <row r="9361" spans="15:20">
      <c r="O9361" s="247"/>
      <c r="P9361"/>
      <c r="Q9361" s="224"/>
      <c r="S9361" s="202"/>
      <c r="T9361"/>
    </row>
    <row r="9362" spans="15:20">
      <c r="O9362" s="247"/>
      <c r="P9362"/>
      <c r="Q9362" s="224"/>
      <c r="S9362" s="202"/>
      <c r="T9362"/>
    </row>
    <row r="9363" spans="15:20">
      <c r="O9363" s="247"/>
      <c r="P9363"/>
      <c r="Q9363" s="224"/>
      <c r="S9363" s="202"/>
      <c r="T9363"/>
    </row>
    <row r="9364" spans="15:20">
      <c r="O9364" s="247"/>
      <c r="P9364"/>
      <c r="Q9364" s="224"/>
      <c r="S9364" s="202"/>
      <c r="T9364"/>
    </row>
    <row r="9365" spans="15:20">
      <c r="O9365" s="247"/>
      <c r="P9365"/>
      <c r="Q9365" s="224"/>
      <c r="S9365" s="202"/>
      <c r="T9365"/>
    </row>
    <row r="9366" spans="15:20">
      <c r="O9366" s="247"/>
      <c r="P9366"/>
      <c r="Q9366" s="224"/>
      <c r="S9366" s="202"/>
      <c r="T9366"/>
    </row>
    <row r="9367" spans="15:20">
      <c r="O9367" s="247"/>
      <c r="P9367"/>
      <c r="Q9367" s="224"/>
      <c r="S9367" s="202"/>
      <c r="T9367"/>
    </row>
    <row r="9368" spans="15:20">
      <c r="O9368" s="247"/>
      <c r="P9368"/>
      <c r="Q9368" s="224"/>
      <c r="S9368" s="202"/>
      <c r="T9368"/>
    </row>
    <row r="9369" spans="15:20">
      <c r="O9369" s="247"/>
      <c r="P9369"/>
      <c r="Q9369" s="224"/>
      <c r="S9369" s="202"/>
      <c r="T9369"/>
    </row>
    <row r="9370" spans="15:20">
      <c r="O9370" s="247"/>
      <c r="P9370"/>
      <c r="Q9370" s="224"/>
      <c r="S9370" s="202"/>
      <c r="T9370"/>
    </row>
    <row r="9371" spans="15:20">
      <c r="O9371" s="247"/>
      <c r="P9371"/>
      <c r="Q9371" s="224"/>
      <c r="S9371" s="202"/>
      <c r="T9371"/>
    </row>
    <row r="9372" spans="15:20">
      <c r="O9372" s="247"/>
      <c r="P9372"/>
      <c r="Q9372" s="224"/>
      <c r="S9372" s="202"/>
      <c r="T9372"/>
    </row>
    <row r="9373" spans="15:20">
      <c r="O9373" s="247"/>
      <c r="P9373"/>
      <c r="Q9373" s="224"/>
      <c r="S9373" s="202"/>
      <c r="T9373"/>
    </row>
    <row r="9374" spans="15:20">
      <c r="O9374" s="247"/>
      <c r="P9374"/>
      <c r="Q9374" s="224"/>
      <c r="S9374" s="202"/>
      <c r="T9374"/>
    </row>
    <row r="9375" spans="15:20">
      <c r="O9375" s="247"/>
      <c r="P9375"/>
      <c r="Q9375" s="224"/>
      <c r="S9375" s="202"/>
      <c r="T9375"/>
    </row>
    <row r="9376" spans="15:20">
      <c r="O9376" s="247"/>
      <c r="P9376"/>
      <c r="Q9376" s="224"/>
      <c r="S9376" s="202"/>
      <c r="T9376"/>
    </row>
    <row r="9377" spans="15:20">
      <c r="O9377" s="247"/>
      <c r="P9377"/>
      <c r="Q9377" s="224"/>
      <c r="S9377" s="202"/>
      <c r="T9377"/>
    </row>
    <row r="9378" spans="15:20">
      <c r="O9378" s="247"/>
      <c r="P9378"/>
      <c r="Q9378" s="224"/>
      <c r="S9378" s="202"/>
      <c r="T9378"/>
    </row>
    <row r="9379" spans="15:20">
      <c r="O9379" s="247"/>
      <c r="P9379"/>
      <c r="Q9379" s="224"/>
      <c r="S9379" s="202"/>
      <c r="T9379"/>
    </row>
    <row r="9380" spans="15:20">
      <c r="O9380" s="247"/>
      <c r="P9380"/>
      <c r="Q9380" s="224"/>
      <c r="S9380" s="202"/>
      <c r="T9380"/>
    </row>
    <row r="9381" spans="15:20">
      <c r="O9381" s="247"/>
      <c r="P9381"/>
      <c r="Q9381" s="224"/>
      <c r="S9381" s="202"/>
      <c r="T9381"/>
    </row>
    <row r="9382" spans="15:20">
      <c r="O9382" s="247"/>
      <c r="P9382"/>
      <c r="Q9382" s="224"/>
      <c r="S9382" s="202"/>
      <c r="T9382"/>
    </row>
    <row r="9383" spans="15:20">
      <c r="O9383" s="247"/>
      <c r="P9383"/>
      <c r="Q9383" s="224"/>
      <c r="S9383" s="202"/>
      <c r="T9383"/>
    </row>
    <row r="9384" spans="15:20">
      <c r="O9384" s="247"/>
      <c r="P9384"/>
      <c r="Q9384" s="224"/>
      <c r="S9384" s="202"/>
      <c r="T9384"/>
    </row>
    <row r="9385" spans="15:20">
      <c r="O9385" s="247"/>
      <c r="P9385"/>
      <c r="Q9385" s="224"/>
      <c r="S9385" s="202"/>
      <c r="T9385"/>
    </row>
    <row r="9386" spans="15:20">
      <c r="O9386" s="247"/>
      <c r="P9386"/>
      <c r="Q9386" s="224"/>
      <c r="S9386" s="202"/>
      <c r="T9386"/>
    </row>
    <row r="9387" spans="15:20">
      <c r="O9387" s="247"/>
      <c r="P9387"/>
      <c r="Q9387" s="224"/>
      <c r="S9387" s="202"/>
      <c r="T9387"/>
    </row>
    <row r="9388" spans="15:20">
      <c r="O9388" s="247"/>
      <c r="P9388"/>
      <c r="Q9388" s="224"/>
      <c r="S9388" s="202"/>
      <c r="T9388"/>
    </row>
    <row r="9389" spans="15:20">
      <c r="O9389" s="247"/>
      <c r="P9389"/>
      <c r="Q9389" s="224"/>
      <c r="S9389" s="202"/>
      <c r="T9389"/>
    </row>
    <row r="9390" spans="15:20">
      <c r="O9390" s="247"/>
      <c r="P9390"/>
      <c r="Q9390" s="224"/>
      <c r="S9390" s="202"/>
      <c r="T9390"/>
    </row>
    <row r="9391" spans="15:20">
      <c r="O9391" s="247"/>
      <c r="P9391"/>
      <c r="Q9391" s="224"/>
      <c r="S9391" s="202"/>
      <c r="T9391"/>
    </row>
    <row r="9392" spans="15:20">
      <c r="O9392" s="247"/>
      <c r="P9392"/>
      <c r="Q9392" s="224"/>
      <c r="S9392" s="202"/>
      <c r="T9392"/>
    </row>
    <row r="9393" spans="15:20">
      <c r="O9393" s="247"/>
      <c r="P9393"/>
      <c r="Q9393" s="224"/>
      <c r="S9393" s="202"/>
      <c r="T9393"/>
    </row>
    <row r="9394" spans="15:20">
      <c r="O9394" s="247"/>
      <c r="P9394"/>
      <c r="Q9394" s="224"/>
      <c r="S9394" s="202"/>
      <c r="T9394"/>
    </row>
    <row r="9395" spans="15:20">
      <c r="O9395" s="247"/>
      <c r="P9395"/>
      <c r="Q9395" s="224"/>
      <c r="S9395" s="202"/>
      <c r="T9395"/>
    </row>
    <row r="9396" spans="15:20">
      <c r="O9396" s="247"/>
      <c r="P9396"/>
      <c r="Q9396" s="224"/>
      <c r="S9396" s="202"/>
      <c r="T9396"/>
    </row>
    <row r="9397" spans="15:20">
      <c r="O9397" s="247"/>
      <c r="P9397"/>
      <c r="Q9397" s="224"/>
      <c r="S9397" s="202"/>
      <c r="T9397"/>
    </row>
    <row r="9398" spans="15:20">
      <c r="O9398" s="247"/>
      <c r="P9398"/>
      <c r="Q9398" s="224"/>
      <c r="S9398" s="202"/>
      <c r="T9398"/>
    </row>
    <row r="9399" spans="15:20">
      <c r="O9399" s="247"/>
      <c r="P9399"/>
      <c r="Q9399" s="224"/>
      <c r="S9399" s="202"/>
      <c r="T9399"/>
    </row>
    <row r="9400" spans="15:20">
      <c r="O9400" s="247"/>
      <c r="P9400"/>
      <c r="Q9400" s="224"/>
      <c r="S9400" s="202"/>
      <c r="T9400"/>
    </row>
    <row r="9401" spans="15:20">
      <c r="O9401" s="247"/>
      <c r="P9401"/>
      <c r="Q9401" s="224"/>
      <c r="S9401" s="202"/>
      <c r="T9401"/>
    </row>
    <row r="9402" spans="15:20">
      <c r="O9402" s="247"/>
      <c r="P9402"/>
      <c r="Q9402" s="224"/>
      <c r="S9402" s="202"/>
      <c r="T9402"/>
    </row>
    <row r="9403" spans="15:20">
      <c r="O9403" s="247"/>
      <c r="P9403"/>
      <c r="Q9403" s="224"/>
      <c r="S9403" s="202"/>
      <c r="T9403"/>
    </row>
    <row r="9404" spans="15:20">
      <c r="O9404" s="247"/>
      <c r="P9404"/>
      <c r="Q9404" s="224"/>
      <c r="S9404" s="202"/>
      <c r="T9404"/>
    </row>
    <row r="9405" spans="15:20">
      <c r="O9405" s="247"/>
      <c r="P9405"/>
      <c r="Q9405" s="224"/>
      <c r="S9405" s="202"/>
      <c r="T9405"/>
    </row>
    <row r="9406" spans="15:20">
      <c r="O9406" s="247"/>
      <c r="P9406"/>
      <c r="Q9406" s="224"/>
      <c r="S9406" s="202"/>
      <c r="T9406"/>
    </row>
    <row r="9407" spans="15:20">
      <c r="O9407" s="247"/>
      <c r="P9407"/>
      <c r="Q9407" s="224"/>
      <c r="S9407" s="202"/>
      <c r="T9407"/>
    </row>
    <row r="9408" spans="15:20">
      <c r="O9408" s="247"/>
      <c r="P9408"/>
      <c r="Q9408" s="224"/>
      <c r="S9408" s="202"/>
      <c r="T9408"/>
    </row>
    <row r="9409" spans="15:20">
      <c r="O9409" s="247"/>
      <c r="P9409"/>
      <c r="Q9409" s="224"/>
      <c r="S9409" s="202"/>
      <c r="T9409"/>
    </row>
    <row r="9410" spans="15:20">
      <c r="O9410" s="247"/>
      <c r="P9410"/>
      <c r="Q9410" s="224"/>
      <c r="S9410" s="202"/>
      <c r="T9410"/>
    </row>
    <row r="9411" spans="15:20">
      <c r="O9411" s="247"/>
      <c r="P9411"/>
      <c r="Q9411" s="224"/>
      <c r="S9411" s="202"/>
      <c r="T9411"/>
    </row>
    <row r="9412" spans="15:20">
      <c r="O9412" s="247"/>
      <c r="P9412"/>
      <c r="Q9412" s="224"/>
      <c r="S9412" s="202"/>
      <c r="T9412"/>
    </row>
    <row r="9413" spans="15:20">
      <c r="O9413" s="247"/>
      <c r="P9413"/>
      <c r="Q9413" s="224"/>
      <c r="S9413" s="202"/>
      <c r="T9413"/>
    </row>
    <row r="9414" spans="15:20">
      <c r="O9414" s="247"/>
      <c r="P9414"/>
      <c r="Q9414" s="224"/>
      <c r="S9414" s="202"/>
      <c r="T9414"/>
    </row>
    <row r="9415" spans="15:20">
      <c r="O9415" s="247"/>
      <c r="P9415"/>
      <c r="Q9415" s="224"/>
      <c r="S9415" s="202"/>
      <c r="T9415"/>
    </row>
    <row r="9416" spans="15:20">
      <c r="O9416" s="247"/>
      <c r="P9416"/>
      <c r="Q9416" s="224"/>
      <c r="S9416" s="202"/>
      <c r="T9416"/>
    </row>
    <row r="9417" spans="15:20">
      <c r="O9417" s="247"/>
      <c r="P9417"/>
      <c r="Q9417" s="224"/>
      <c r="S9417" s="202"/>
      <c r="T9417"/>
    </row>
    <row r="9418" spans="15:20">
      <c r="O9418" s="247"/>
      <c r="P9418"/>
      <c r="Q9418" s="224"/>
      <c r="S9418" s="202"/>
      <c r="T9418"/>
    </row>
    <row r="9419" spans="15:20">
      <c r="O9419" s="247"/>
      <c r="P9419"/>
      <c r="Q9419" s="224"/>
      <c r="S9419" s="202"/>
      <c r="T9419"/>
    </row>
    <row r="9420" spans="15:20">
      <c r="O9420" s="247"/>
      <c r="P9420"/>
      <c r="Q9420" s="224"/>
      <c r="S9420" s="202"/>
      <c r="T9420"/>
    </row>
    <row r="9421" spans="15:20">
      <c r="O9421" s="247"/>
      <c r="P9421"/>
      <c r="Q9421" s="224"/>
      <c r="S9421" s="202"/>
      <c r="T9421"/>
    </row>
    <row r="9422" spans="15:20">
      <c r="O9422" s="247"/>
      <c r="P9422"/>
      <c r="Q9422" s="224"/>
      <c r="S9422" s="202"/>
      <c r="T9422"/>
    </row>
    <row r="9423" spans="15:20">
      <c r="O9423" s="247"/>
      <c r="P9423"/>
      <c r="Q9423" s="224"/>
      <c r="S9423" s="202"/>
      <c r="T9423"/>
    </row>
    <row r="9424" spans="15:20">
      <c r="O9424" s="247"/>
      <c r="P9424"/>
      <c r="Q9424" s="224"/>
      <c r="S9424" s="202"/>
      <c r="T9424"/>
    </row>
    <row r="9425" spans="15:20">
      <c r="O9425" s="247"/>
      <c r="P9425"/>
      <c r="Q9425" s="224"/>
      <c r="S9425" s="202"/>
      <c r="T9425"/>
    </row>
    <row r="9426" spans="15:20">
      <c r="O9426" s="247"/>
      <c r="P9426"/>
      <c r="Q9426" s="224"/>
      <c r="S9426" s="202"/>
      <c r="T9426"/>
    </row>
    <row r="9427" spans="15:20">
      <c r="O9427" s="247"/>
      <c r="P9427"/>
      <c r="Q9427" s="224"/>
      <c r="S9427" s="202"/>
      <c r="T9427"/>
    </row>
    <row r="9428" spans="15:20">
      <c r="O9428" s="247"/>
      <c r="P9428"/>
      <c r="Q9428" s="224"/>
      <c r="S9428" s="202"/>
      <c r="T9428"/>
    </row>
    <row r="9429" spans="15:20">
      <c r="O9429" s="247"/>
      <c r="P9429"/>
      <c r="Q9429" s="224"/>
      <c r="S9429" s="202"/>
      <c r="T9429"/>
    </row>
    <row r="9430" spans="15:20">
      <c r="O9430" s="247"/>
      <c r="P9430"/>
      <c r="Q9430" s="224"/>
      <c r="S9430" s="202"/>
      <c r="T9430"/>
    </row>
    <row r="9431" spans="15:20">
      <c r="O9431" s="247"/>
      <c r="P9431"/>
      <c r="Q9431" s="224"/>
      <c r="S9431" s="202"/>
      <c r="T9431"/>
    </row>
    <row r="9432" spans="15:20">
      <c r="O9432" s="247"/>
      <c r="P9432"/>
      <c r="Q9432" s="224"/>
      <c r="S9432" s="202"/>
      <c r="T9432"/>
    </row>
    <row r="9433" spans="15:20">
      <c r="O9433" s="247"/>
      <c r="P9433"/>
      <c r="Q9433" s="224"/>
      <c r="S9433" s="202"/>
      <c r="T9433"/>
    </row>
    <row r="9434" spans="15:20">
      <c r="O9434" s="247"/>
      <c r="P9434"/>
      <c r="Q9434" s="224"/>
      <c r="S9434" s="202"/>
      <c r="T9434"/>
    </row>
    <row r="9435" spans="15:20">
      <c r="O9435" s="247"/>
      <c r="P9435"/>
      <c r="Q9435" s="224"/>
      <c r="S9435" s="202"/>
      <c r="T9435"/>
    </row>
    <row r="9436" spans="15:20">
      <c r="O9436" s="247"/>
      <c r="P9436"/>
      <c r="Q9436" s="224"/>
      <c r="S9436" s="202"/>
      <c r="T9436"/>
    </row>
    <row r="9437" spans="15:20">
      <c r="O9437" s="247"/>
      <c r="P9437"/>
      <c r="Q9437" s="224"/>
      <c r="S9437" s="202"/>
      <c r="T9437"/>
    </row>
    <row r="9438" spans="15:20">
      <c r="O9438" s="247"/>
      <c r="P9438"/>
      <c r="Q9438" s="224"/>
      <c r="S9438" s="202"/>
      <c r="T9438"/>
    </row>
    <row r="9439" spans="15:20">
      <c r="O9439" s="247"/>
      <c r="P9439"/>
      <c r="Q9439" s="224"/>
      <c r="S9439" s="202"/>
      <c r="T9439"/>
    </row>
    <row r="9440" spans="15:20">
      <c r="O9440" s="247"/>
      <c r="P9440"/>
      <c r="Q9440" s="224"/>
      <c r="S9440" s="202"/>
      <c r="T9440"/>
    </row>
    <row r="9441" spans="15:20">
      <c r="O9441" s="247"/>
      <c r="P9441"/>
      <c r="Q9441" s="224"/>
      <c r="S9441" s="202"/>
      <c r="T9441"/>
    </row>
    <row r="9442" spans="15:20">
      <c r="O9442" s="247"/>
      <c r="P9442"/>
      <c r="Q9442" s="224"/>
      <c r="S9442" s="202"/>
      <c r="T9442"/>
    </row>
    <row r="9443" spans="15:20">
      <c r="O9443" s="247"/>
      <c r="P9443"/>
      <c r="Q9443" s="224"/>
      <c r="S9443" s="202"/>
      <c r="T9443"/>
    </row>
    <row r="9444" spans="15:20">
      <c r="O9444" s="247"/>
      <c r="P9444"/>
      <c r="Q9444" s="224"/>
      <c r="S9444" s="202"/>
      <c r="T9444"/>
    </row>
    <row r="9445" spans="15:20">
      <c r="O9445" s="247"/>
      <c r="P9445"/>
      <c r="Q9445" s="224"/>
      <c r="S9445" s="202"/>
      <c r="T9445"/>
    </row>
    <row r="9446" spans="15:20">
      <c r="O9446" s="247"/>
      <c r="P9446"/>
      <c r="Q9446" s="224"/>
      <c r="S9446" s="202"/>
      <c r="T9446"/>
    </row>
    <row r="9447" spans="15:20">
      <c r="O9447" s="247"/>
      <c r="P9447"/>
      <c r="Q9447" s="224"/>
      <c r="S9447" s="202"/>
      <c r="T9447"/>
    </row>
    <row r="9448" spans="15:20">
      <c r="O9448" s="247"/>
      <c r="P9448"/>
      <c r="Q9448" s="224"/>
      <c r="S9448" s="202"/>
      <c r="T9448"/>
    </row>
    <row r="9449" spans="15:20">
      <c r="O9449" s="247"/>
      <c r="P9449"/>
      <c r="Q9449" s="224"/>
      <c r="S9449" s="202"/>
      <c r="T9449"/>
    </row>
    <row r="9450" spans="15:20">
      <c r="O9450" s="247"/>
      <c r="P9450"/>
      <c r="Q9450" s="224"/>
      <c r="S9450" s="202"/>
      <c r="T9450"/>
    </row>
    <row r="9451" spans="15:20">
      <c r="O9451" s="247"/>
      <c r="P9451"/>
      <c r="Q9451" s="224"/>
      <c r="S9451" s="202"/>
      <c r="T9451"/>
    </row>
    <row r="9452" spans="15:20">
      <c r="O9452" s="247"/>
      <c r="P9452"/>
      <c r="Q9452" s="224"/>
      <c r="S9452" s="202"/>
      <c r="T9452"/>
    </row>
    <row r="9453" spans="15:20">
      <c r="O9453" s="247"/>
      <c r="P9453"/>
      <c r="Q9453" s="224"/>
      <c r="S9453" s="202"/>
      <c r="T9453"/>
    </row>
    <row r="9454" spans="15:20">
      <c r="O9454" s="247"/>
      <c r="P9454"/>
      <c r="Q9454" s="224"/>
      <c r="S9454" s="202"/>
      <c r="T9454"/>
    </row>
    <row r="9455" spans="15:20">
      <c r="O9455" s="247"/>
      <c r="P9455"/>
      <c r="Q9455" s="224"/>
      <c r="S9455" s="202"/>
      <c r="T9455"/>
    </row>
    <row r="9456" spans="15:20">
      <c r="O9456" s="247"/>
      <c r="P9456"/>
      <c r="Q9456" s="224"/>
      <c r="S9456" s="202"/>
      <c r="T9456"/>
    </row>
    <row r="9457" spans="15:20">
      <c r="O9457" s="247"/>
      <c r="P9457"/>
      <c r="Q9457" s="224"/>
      <c r="S9457" s="202"/>
      <c r="T9457"/>
    </row>
    <row r="9458" spans="15:20">
      <c r="O9458" s="247"/>
      <c r="P9458"/>
      <c r="Q9458" s="224"/>
      <c r="S9458" s="202"/>
      <c r="T9458"/>
    </row>
    <row r="9459" spans="15:20">
      <c r="O9459" s="247"/>
      <c r="P9459"/>
      <c r="Q9459" s="224"/>
      <c r="S9459" s="202"/>
      <c r="T9459"/>
    </row>
    <row r="9460" spans="15:20">
      <c r="O9460" s="247"/>
      <c r="P9460"/>
      <c r="Q9460" s="224"/>
      <c r="S9460" s="202"/>
      <c r="T9460"/>
    </row>
    <row r="9461" spans="15:20">
      <c r="O9461" s="247"/>
      <c r="P9461"/>
      <c r="Q9461" s="224"/>
      <c r="S9461" s="202"/>
      <c r="T9461"/>
    </row>
    <row r="9462" spans="15:20">
      <c r="O9462" s="247"/>
      <c r="P9462"/>
      <c r="Q9462" s="224"/>
      <c r="S9462" s="202"/>
      <c r="T9462"/>
    </row>
    <row r="9463" spans="15:20">
      <c r="O9463" s="247"/>
      <c r="P9463"/>
      <c r="Q9463" s="224"/>
      <c r="S9463" s="202"/>
      <c r="T9463"/>
    </row>
    <row r="9464" spans="15:20">
      <c r="O9464" s="247"/>
      <c r="P9464"/>
      <c r="Q9464" s="224"/>
      <c r="S9464" s="202"/>
      <c r="T9464"/>
    </row>
    <row r="9465" spans="15:20">
      <c r="O9465" s="247"/>
      <c r="P9465"/>
      <c r="Q9465" s="224"/>
      <c r="S9465" s="202"/>
      <c r="T9465"/>
    </row>
    <row r="9466" spans="15:20">
      <c r="O9466" s="247"/>
      <c r="P9466"/>
      <c r="Q9466" s="224"/>
      <c r="S9466" s="202"/>
      <c r="T9466"/>
    </row>
    <row r="9467" spans="15:20">
      <c r="O9467" s="247"/>
      <c r="P9467"/>
      <c r="Q9467" s="224"/>
      <c r="S9467" s="202"/>
      <c r="T9467"/>
    </row>
    <row r="9468" spans="15:20">
      <c r="O9468" s="247"/>
      <c r="P9468"/>
      <c r="Q9468" s="224"/>
      <c r="S9468" s="202"/>
      <c r="T9468"/>
    </row>
    <row r="9469" spans="15:20">
      <c r="O9469" s="247"/>
      <c r="P9469"/>
      <c r="Q9469" s="224"/>
      <c r="S9469" s="202"/>
      <c r="T9469"/>
    </row>
    <row r="9470" spans="15:20">
      <c r="O9470" s="247"/>
      <c r="P9470"/>
      <c r="Q9470" s="224"/>
      <c r="S9470" s="202"/>
      <c r="T9470"/>
    </row>
    <row r="9471" spans="15:20">
      <c r="O9471" s="247"/>
      <c r="P9471"/>
      <c r="Q9471" s="224"/>
      <c r="S9471" s="202"/>
      <c r="T9471"/>
    </row>
    <row r="9472" spans="15:20">
      <c r="O9472" s="247"/>
      <c r="P9472"/>
      <c r="Q9472" s="224"/>
      <c r="S9472" s="202"/>
      <c r="T9472"/>
    </row>
    <row r="9473" spans="15:20">
      <c r="O9473" s="247"/>
      <c r="P9473"/>
      <c r="Q9473" s="224"/>
      <c r="S9473" s="202"/>
      <c r="T9473"/>
    </row>
    <row r="9474" spans="15:20">
      <c r="O9474" s="247"/>
      <c r="P9474"/>
      <c r="Q9474" s="224"/>
      <c r="S9474" s="202"/>
      <c r="T9474"/>
    </row>
    <row r="9475" spans="15:20">
      <c r="O9475" s="247"/>
      <c r="P9475"/>
      <c r="Q9475" s="224"/>
      <c r="S9475" s="202"/>
      <c r="T9475"/>
    </row>
    <row r="9476" spans="15:20">
      <c r="O9476" s="247"/>
      <c r="P9476"/>
      <c r="Q9476" s="224"/>
      <c r="S9476" s="202"/>
      <c r="T9476"/>
    </row>
    <row r="9477" spans="15:20">
      <c r="O9477" s="247"/>
      <c r="P9477"/>
      <c r="Q9477" s="224"/>
      <c r="S9477" s="202"/>
      <c r="T9477"/>
    </row>
    <row r="9478" spans="15:20">
      <c r="O9478" s="247"/>
      <c r="P9478"/>
      <c r="Q9478" s="224"/>
      <c r="S9478" s="202"/>
      <c r="T9478"/>
    </row>
    <row r="9479" spans="15:20">
      <c r="O9479" s="247"/>
      <c r="P9479"/>
      <c r="Q9479" s="224"/>
      <c r="S9479" s="202"/>
      <c r="T9479"/>
    </row>
    <row r="9480" spans="15:20">
      <c r="O9480" s="247"/>
      <c r="P9480"/>
      <c r="Q9480" s="224"/>
      <c r="S9480" s="202"/>
      <c r="T9480"/>
    </row>
    <row r="9481" spans="15:20">
      <c r="O9481" s="247"/>
      <c r="P9481"/>
      <c r="Q9481" s="224"/>
      <c r="S9481" s="202"/>
      <c r="T9481"/>
    </row>
    <row r="9482" spans="15:20">
      <c r="O9482" s="247"/>
      <c r="P9482"/>
      <c r="Q9482" s="224"/>
      <c r="S9482" s="202"/>
      <c r="T9482"/>
    </row>
    <row r="9483" spans="15:20">
      <c r="O9483" s="247"/>
      <c r="P9483"/>
      <c r="Q9483" s="224"/>
      <c r="S9483" s="202"/>
      <c r="T9483"/>
    </row>
    <row r="9484" spans="15:20">
      <c r="O9484" s="247"/>
      <c r="P9484"/>
      <c r="Q9484" s="224"/>
      <c r="S9484" s="202"/>
      <c r="T9484"/>
    </row>
    <row r="9485" spans="15:20">
      <c r="O9485" s="247"/>
      <c r="P9485"/>
      <c r="Q9485" s="224"/>
      <c r="S9485" s="202"/>
      <c r="T9485"/>
    </row>
    <row r="9486" spans="15:20">
      <c r="O9486" s="247"/>
      <c r="P9486"/>
      <c r="Q9486" s="224"/>
      <c r="S9486" s="202"/>
      <c r="T9486"/>
    </row>
    <row r="9487" spans="15:20">
      <c r="O9487" s="247"/>
      <c r="P9487"/>
      <c r="Q9487" s="224"/>
      <c r="S9487" s="202"/>
      <c r="T9487"/>
    </row>
    <row r="9488" spans="15:20">
      <c r="O9488" s="247"/>
      <c r="P9488"/>
      <c r="Q9488" s="224"/>
      <c r="S9488" s="202"/>
      <c r="T9488"/>
    </row>
    <row r="9489" spans="15:20">
      <c r="O9489" s="247"/>
      <c r="P9489"/>
      <c r="Q9489" s="224"/>
      <c r="S9489" s="202"/>
      <c r="T9489"/>
    </row>
    <row r="9490" spans="15:20">
      <c r="O9490" s="247"/>
      <c r="P9490"/>
      <c r="Q9490" s="224"/>
      <c r="S9490" s="202"/>
      <c r="T9490"/>
    </row>
    <row r="9491" spans="15:20">
      <c r="O9491" s="247"/>
      <c r="P9491"/>
      <c r="Q9491" s="224"/>
      <c r="S9491" s="202"/>
      <c r="T9491"/>
    </row>
    <row r="9492" spans="15:20">
      <c r="O9492" s="247"/>
      <c r="P9492"/>
      <c r="Q9492" s="224"/>
      <c r="S9492" s="202"/>
      <c r="T9492"/>
    </row>
    <row r="9493" spans="15:20">
      <c r="O9493" s="247"/>
      <c r="P9493"/>
      <c r="Q9493" s="224"/>
      <c r="S9493" s="202"/>
      <c r="T9493"/>
    </row>
    <row r="9494" spans="15:20">
      <c r="O9494" s="247"/>
      <c r="P9494"/>
      <c r="Q9494" s="224"/>
      <c r="S9494" s="202"/>
      <c r="T9494"/>
    </row>
    <row r="9495" spans="15:20">
      <c r="O9495" s="247"/>
      <c r="P9495"/>
      <c r="Q9495" s="224"/>
      <c r="S9495" s="202"/>
      <c r="T9495"/>
    </row>
    <row r="9496" spans="15:20">
      <c r="O9496" s="247"/>
      <c r="P9496"/>
      <c r="Q9496" s="224"/>
      <c r="S9496" s="202"/>
      <c r="T9496"/>
    </row>
    <row r="9497" spans="15:20">
      <c r="O9497" s="247"/>
      <c r="P9497"/>
      <c r="Q9497" s="224"/>
      <c r="S9497" s="202"/>
      <c r="T9497"/>
    </row>
    <row r="9498" spans="15:20">
      <c r="O9498" s="247"/>
      <c r="P9498"/>
      <c r="Q9498" s="224"/>
      <c r="S9498" s="202"/>
      <c r="T9498"/>
    </row>
    <row r="9499" spans="15:20">
      <c r="O9499" s="247"/>
      <c r="P9499"/>
      <c r="Q9499" s="224"/>
      <c r="S9499" s="202"/>
      <c r="T9499"/>
    </row>
    <row r="9500" spans="15:20">
      <c r="O9500" s="247"/>
      <c r="P9500"/>
      <c r="Q9500" s="224"/>
      <c r="S9500" s="202"/>
      <c r="T9500"/>
    </row>
    <row r="9501" spans="15:20">
      <c r="O9501" s="247"/>
      <c r="P9501"/>
      <c r="Q9501" s="224"/>
      <c r="S9501" s="202"/>
      <c r="T9501"/>
    </row>
    <row r="9502" spans="15:20">
      <c r="O9502" s="247"/>
      <c r="P9502"/>
      <c r="Q9502" s="224"/>
      <c r="S9502" s="202"/>
      <c r="T9502"/>
    </row>
    <row r="9503" spans="15:20">
      <c r="O9503" s="247"/>
      <c r="P9503"/>
      <c r="Q9503" s="224"/>
      <c r="S9503" s="202"/>
      <c r="T9503"/>
    </row>
    <row r="9504" spans="15:20">
      <c r="O9504" s="247"/>
      <c r="P9504"/>
      <c r="Q9504" s="224"/>
      <c r="S9504" s="202"/>
      <c r="T9504"/>
    </row>
    <row r="9505" spans="15:20">
      <c r="O9505" s="247"/>
      <c r="P9505"/>
      <c r="Q9505" s="224"/>
      <c r="S9505" s="202"/>
      <c r="T9505"/>
    </row>
    <row r="9506" spans="15:20">
      <c r="O9506" s="247"/>
      <c r="P9506"/>
      <c r="Q9506" s="224"/>
      <c r="S9506" s="202"/>
      <c r="T9506"/>
    </row>
    <row r="9507" spans="15:20">
      <c r="O9507" s="247"/>
      <c r="P9507"/>
      <c r="Q9507" s="224"/>
      <c r="S9507" s="202"/>
      <c r="T9507"/>
    </row>
    <row r="9508" spans="15:20">
      <c r="O9508" s="247"/>
      <c r="P9508"/>
      <c r="Q9508" s="224"/>
      <c r="S9508" s="202"/>
      <c r="T9508"/>
    </row>
    <row r="9509" spans="15:20">
      <c r="O9509" s="247"/>
      <c r="P9509"/>
      <c r="Q9509" s="224"/>
      <c r="S9509" s="202"/>
      <c r="T9509"/>
    </row>
    <row r="9510" spans="15:20">
      <c r="O9510" s="247"/>
      <c r="P9510"/>
      <c r="Q9510" s="224"/>
      <c r="S9510" s="202"/>
      <c r="T9510"/>
    </row>
    <row r="9511" spans="15:20">
      <c r="O9511" s="247"/>
      <c r="P9511"/>
      <c r="Q9511" s="224"/>
      <c r="S9511" s="202"/>
      <c r="T9511"/>
    </row>
    <row r="9512" spans="15:20">
      <c r="O9512" s="247"/>
      <c r="P9512"/>
      <c r="Q9512" s="224"/>
      <c r="S9512" s="202"/>
      <c r="T9512"/>
    </row>
    <row r="9513" spans="15:20">
      <c r="O9513" s="247"/>
      <c r="P9513"/>
      <c r="Q9513" s="224"/>
      <c r="S9513" s="202"/>
      <c r="T9513"/>
    </row>
    <row r="9514" spans="15:20">
      <c r="O9514" s="247"/>
      <c r="P9514"/>
      <c r="Q9514" s="224"/>
      <c r="S9514" s="202"/>
      <c r="T9514"/>
    </row>
    <row r="9515" spans="15:20">
      <c r="O9515" s="247"/>
      <c r="P9515"/>
      <c r="Q9515" s="224"/>
      <c r="S9515" s="202"/>
      <c r="T9515"/>
    </row>
    <row r="9516" spans="15:20">
      <c r="O9516" s="247"/>
      <c r="P9516"/>
      <c r="Q9516" s="224"/>
      <c r="S9516" s="202"/>
      <c r="T9516"/>
    </row>
    <row r="9517" spans="15:20">
      <c r="O9517" s="247"/>
      <c r="P9517"/>
      <c r="Q9517" s="224"/>
      <c r="S9517" s="202"/>
      <c r="T9517"/>
    </row>
    <row r="9518" spans="15:20">
      <c r="O9518" s="247"/>
      <c r="P9518"/>
      <c r="Q9518" s="224"/>
      <c r="S9518" s="202"/>
      <c r="T9518"/>
    </row>
    <row r="9519" spans="15:20">
      <c r="O9519" s="247"/>
      <c r="P9519"/>
      <c r="Q9519" s="224"/>
      <c r="S9519" s="202"/>
      <c r="T9519"/>
    </row>
    <row r="9520" spans="15:20">
      <c r="O9520" s="247"/>
      <c r="P9520"/>
      <c r="Q9520" s="224"/>
      <c r="S9520" s="202"/>
      <c r="T9520"/>
    </row>
    <row r="9521" spans="15:20">
      <c r="O9521" s="247"/>
      <c r="P9521"/>
      <c r="Q9521" s="224"/>
      <c r="S9521" s="202"/>
      <c r="T9521"/>
    </row>
    <row r="9522" spans="15:20">
      <c r="O9522" s="247"/>
      <c r="P9522"/>
      <c r="Q9522" s="224"/>
      <c r="S9522" s="202"/>
      <c r="T9522"/>
    </row>
    <row r="9523" spans="15:20">
      <c r="O9523" s="247"/>
      <c r="P9523"/>
      <c r="Q9523" s="224"/>
      <c r="S9523" s="202"/>
      <c r="T9523"/>
    </row>
    <row r="9524" spans="15:20">
      <c r="O9524" s="247"/>
      <c r="P9524"/>
      <c r="Q9524" s="224"/>
      <c r="S9524" s="202"/>
      <c r="T9524"/>
    </row>
    <row r="9525" spans="15:20">
      <c r="O9525" s="247"/>
      <c r="P9525"/>
      <c r="Q9525" s="224"/>
      <c r="S9525" s="202"/>
      <c r="T9525"/>
    </row>
    <row r="9526" spans="15:20">
      <c r="O9526" s="247"/>
      <c r="P9526"/>
      <c r="Q9526" s="224"/>
      <c r="S9526" s="202"/>
      <c r="T9526"/>
    </row>
    <row r="9527" spans="15:20">
      <c r="O9527" s="247"/>
      <c r="P9527"/>
      <c r="Q9527" s="224"/>
      <c r="S9527" s="202"/>
      <c r="T9527"/>
    </row>
    <row r="9528" spans="15:20">
      <c r="O9528" s="247"/>
      <c r="P9528"/>
      <c r="Q9528" s="224"/>
      <c r="S9528" s="202"/>
      <c r="T9528"/>
    </row>
    <row r="9529" spans="15:20">
      <c r="O9529" s="247"/>
      <c r="P9529"/>
      <c r="Q9529" s="224"/>
      <c r="S9529" s="202"/>
      <c r="T9529"/>
    </row>
    <row r="9530" spans="15:20">
      <c r="O9530" s="247"/>
      <c r="P9530"/>
      <c r="Q9530" s="224"/>
      <c r="S9530" s="202"/>
      <c r="T9530"/>
    </row>
    <row r="9531" spans="15:20">
      <c r="O9531" s="247"/>
      <c r="P9531"/>
      <c r="Q9531" s="224"/>
      <c r="S9531" s="202"/>
      <c r="T9531"/>
    </row>
    <row r="9532" spans="15:20">
      <c r="O9532" s="247"/>
      <c r="P9532"/>
      <c r="Q9532" s="224"/>
      <c r="S9532" s="202"/>
      <c r="T9532"/>
    </row>
    <row r="9533" spans="15:20">
      <c r="O9533" s="247"/>
      <c r="P9533"/>
      <c r="Q9533" s="224"/>
      <c r="S9533" s="202"/>
      <c r="T9533"/>
    </row>
    <row r="9534" spans="15:20">
      <c r="O9534" s="247"/>
      <c r="P9534"/>
      <c r="Q9534" s="224"/>
      <c r="S9534" s="202"/>
      <c r="T9534"/>
    </row>
    <row r="9535" spans="15:20">
      <c r="O9535" s="247"/>
      <c r="P9535"/>
      <c r="Q9535" s="224"/>
      <c r="S9535" s="202"/>
      <c r="T9535"/>
    </row>
    <row r="9536" spans="15:20">
      <c r="O9536" s="247"/>
      <c r="P9536"/>
      <c r="Q9536" s="224"/>
      <c r="S9536" s="202"/>
      <c r="T9536"/>
    </row>
    <row r="9537" spans="15:20">
      <c r="O9537" s="247"/>
      <c r="P9537"/>
      <c r="Q9537" s="224"/>
      <c r="S9537" s="202"/>
      <c r="T9537"/>
    </row>
    <row r="9538" spans="15:20">
      <c r="O9538" s="247"/>
      <c r="P9538"/>
      <c r="Q9538" s="224"/>
      <c r="S9538" s="202"/>
      <c r="T9538"/>
    </row>
    <row r="9539" spans="15:20">
      <c r="O9539" s="247"/>
      <c r="P9539"/>
      <c r="Q9539" s="224"/>
      <c r="S9539" s="202"/>
      <c r="T9539"/>
    </row>
    <row r="9540" spans="15:20">
      <c r="O9540" s="247"/>
      <c r="P9540"/>
      <c r="Q9540" s="224"/>
      <c r="S9540" s="202"/>
      <c r="T9540"/>
    </row>
    <row r="9541" spans="15:20">
      <c r="O9541" s="247"/>
      <c r="P9541"/>
      <c r="Q9541" s="224"/>
      <c r="S9541" s="202"/>
      <c r="T9541"/>
    </row>
    <row r="9542" spans="15:20">
      <c r="O9542" s="247"/>
      <c r="P9542"/>
      <c r="Q9542" s="224"/>
      <c r="S9542" s="202"/>
      <c r="T9542"/>
    </row>
    <row r="9543" spans="15:20">
      <c r="O9543" s="247"/>
      <c r="P9543"/>
      <c r="Q9543" s="224"/>
      <c r="S9543" s="202"/>
      <c r="T9543"/>
    </row>
    <row r="9544" spans="15:20">
      <c r="O9544" s="247"/>
      <c r="P9544"/>
      <c r="Q9544" s="224"/>
      <c r="S9544" s="202"/>
      <c r="T9544"/>
    </row>
    <row r="9545" spans="15:20">
      <c r="O9545" s="247"/>
      <c r="P9545"/>
      <c r="Q9545" s="224"/>
      <c r="S9545" s="202"/>
      <c r="T9545"/>
    </row>
    <row r="9546" spans="15:20">
      <c r="O9546" s="247"/>
      <c r="P9546"/>
      <c r="Q9546" s="224"/>
      <c r="S9546" s="202"/>
      <c r="T9546"/>
    </row>
    <row r="9547" spans="15:20">
      <c r="O9547" s="247"/>
      <c r="P9547"/>
      <c r="Q9547" s="224"/>
      <c r="S9547" s="202"/>
      <c r="T9547"/>
    </row>
    <row r="9548" spans="15:20">
      <c r="O9548" s="247"/>
      <c r="P9548"/>
      <c r="Q9548" s="224"/>
      <c r="S9548" s="202"/>
      <c r="T9548"/>
    </row>
    <row r="9549" spans="15:20">
      <c r="O9549" s="247"/>
      <c r="P9549"/>
      <c r="Q9549" s="224"/>
      <c r="S9549" s="202"/>
      <c r="T9549"/>
    </row>
    <row r="9550" spans="15:20">
      <c r="O9550" s="247"/>
      <c r="P9550"/>
      <c r="Q9550" s="224"/>
      <c r="S9550" s="202"/>
      <c r="T9550"/>
    </row>
    <row r="9551" spans="15:20">
      <c r="O9551" s="247"/>
      <c r="P9551"/>
      <c r="Q9551" s="224"/>
      <c r="S9551" s="202"/>
      <c r="T9551"/>
    </row>
    <row r="9552" spans="15:20">
      <c r="O9552" s="247"/>
      <c r="P9552"/>
      <c r="Q9552" s="224"/>
      <c r="S9552" s="202"/>
      <c r="T9552"/>
    </row>
    <row r="9553" spans="15:20">
      <c r="O9553" s="247"/>
      <c r="P9553"/>
      <c r="Q9553" s="224"/>
      <c r="S9553" s="202"/>
      <c r="T9553"/>
    </row>
    <row r="9554" spans="15:20">
      <c r="O9554" s="247"/>
      <c r="P9554"/>
      <c r="Q9554" s="224"/>
      <c r="S9554" s="202"/>
      <c r="T9554"/>
    </row>
    <row r="9555" spans="15:20">
      <c r="O9555" s="247"/>
      <c r="P9555"/>
      <c r="Q9555" s="224"/>
      <c r="S9555" s="202"/>
      <c r="T9555"/>
    </row>
    <row r="9556" spans="15:20">
      <c r="O9556" s="247"/>
      <c r="P9556"/>
      <c r="Q9556" s="224"/>
      <c r="S9556" s="202"/>
      <c r="T9556"/>
    </row>
    <row r="9557" spans="15:20">
      <c r="O9557" s="247"/>
      <c r="P9557"/>
      <c r="Q9557" s="224"/>
      <c r="S9557" s="202"/>
      <c r="T9557"/>
    </row>
    <row r="9558" spans="15:20">
      <c r="O9558" s="247"/>
      <c r="P9558"/>
      <c r="Q9558" s="224"/>
      <c r="S9558" s="202"/>
      <c r="T9558"/>
    </row>
    <row r="9559" spans="15:20">
      <c r="O9559" s="247"/>
      <c r="P9559"/>
      <c r="Q9559" s="224"/>
      <c r="S9559" s="202"/>
      <c r="T9559"/>
    </row>
    <row r="9560" spans="15:20">
      <c r="O9560" s="247"/>
      <c r="P9560"/>
      <c r="Q9560" s="224"/>
      <c r="S9560" s="202"/>
      <c r="T9560"/>
    </row>
    <row r="9561" spans="15:20">
      <c r="O9561" s="247"/>
      <c r="P9561"/>
      <c r="Q9561" s="224"/>
      <c r="S9561" s="202"/>
      <c r="T9561"/>
    </row>
    <row r="9562" spans="15:20">
      <c r="O9562" s="247"/>
      <c r="P9562"/>
      <c r="Q9562" s="224"/>
      <c r="S9562" s="202"/>
      <c r="T9562"/>
    </row>
    <row r="9563" spans="15:20">
      <c r="O9563" s="247"/>
      <c r="P9563"/>
      <c r="Q9563" s="224"/>
      <c r="S9563" s="202"/>
      <c r="T9563"/>
    </row>
    <row r="9564" spans="15:20">
      <c r="O9564" s="247"/>
      <c r="P9564"/>
      <c r="Q9564" s="224"/>
      <c r="S9564" s="202"/>
      <c r="T9564"/>
    </row>
    <row r="9565" spans="15:20">
      <c r="O9565" s="247"/>
      <c r="P9565"/>
      <c r="Q9565" s="224"/>
      <c r="S9565" s="202"/>
      <c r="T9565"/>
    </row>
    <row r="9566" spans="15:20">
      <c r="O9566" s="247"/>
      <c r="P9566"/>
      <c r="Q9566" s="224"/>
      <c r="S9566" s="202"/>
      <c r="T9566"/>
    </row>
    <row r="9567" spans="15:20">
      <c r="O9567" s="247"/>
      <c r="P9567"/>
      <c r="Q9567" s="224"/>
      <c r="S9567" s="202"/>
      <c r="T9567"/>
    </row>
    <row r="9568" spans="15:20">
      <c r="O9568" s="247"/>
      <c r="P9568"/>
      <c r="Q9568" s="224"/>
      <c r="S9568" s="202"/>
      <c r="T9568"/>
    </row>
    <row r="9569" spans="15:20">
      <c r="O9569" s="247"/>
      <c r="P9569"/>
      <c r="Q9569" s="224"/>
      <c r="S9569" s="202"/>
      <c r="T9569"/>
    </row>
    <row r="9570" spans="15:20">
      <c r="O9570" s="247"/>
      <c r="P9570"/>
      <c r="Q9570" s="224"/>
      <c r="S9570" s="202"/>
      <c r="T9570"/>
    </row>
    <row r="9571" spans="15:20">
      <c r="O9571" s="247"/>
      <c r="P9571"/>
      <c r="Q9571" s="224"/>
      <c r="S9571" s="202"/>
      <c r="T9571"/>
    </row>
    <row r="9572" spans="15:20">
      <c r="O9572" s="247"/>
      <c r="P9572"/>
      <c r="Q9572" s="224"/>
      <c r="S9572" s="202"/>
      <c r="T9572"/>
    </row>
    <row r="9573" spans="15:20">
      <c r="O9573" s="247"/>
      <c r="P9573"/>
      <c r="Q9573" s="224"/>
      <c r="S9573" s="202"/>
      <c r="T9573"/>
    </row>
    <row r="9574" spans="15:20">
      <c r="O9574" s="247"/>
      <c r="P9574"/>
      <c r="Q9574" s="224"/>
      <c r="S9574" s="202"/>
      <c r="T9574"/>
    </row>
    <row r="9575" spans="15:20">
      <c r="O9575" s="247"/>
      <c r="P9575"/>
      <c r="Q9575" s="224"/>
      <c r="S9575" s="202"/>
      <c r="T9575"/>
    </row>
    <row r="9576" spans="15:20">
      <c r="O9576" s="247"/>
      <c r="P9576"/>
      <c r="Q9576" s="224"/>
      <c r="S9576" s="202"/>
      <c r="T9576"/>
    </row>
    <row r="9577" spans="15:20">
      <c r="O9577" s="247"/>
      <c r="P9577"/>
      <c r="Q9577" s="224"/>
      <c r="S9577" s="202"/>
      <c r="T9577"/>
    </row>
    <row r="9578" spans="15:20">
      <c r="O9578" s="247"/>
      <c r="P9578"/>
      <c r="Q9578" s="224"/>
      <c r="S9578" s="202"/>
      <c r="T9578"/>
    </row>
    <row r="9579" spans="15:20">
      <c r="O9579" s="247"/>
      <c r="P9579"/>
      <c r="Q9579" s="224"/>
      <c r="S9579" s="202"/>
      <c r="T9579"/>
    </row>
    <row r="9580" spans="15:20">
      <c r="O9580" s="247"/>
      <c r="P9580"/>
      <c r="Q9580" s="224"/>
      <c r="S9580" s="202"/>
      <c r="T9580"/>
    </row>
    <row r="9581" spans="15:20">
      <c r="O9581" s="247"/>
      <c r="P9581"/>
      <c r="Q9581" s="224"/>
      <c r="S9581" s="202"/>
      <c r="T9581"/>
    </row>
    <row r="9582" spans="15:20">
      <c r="O9582" s="247"/>
      <c r="P9582"/>
      <c r="Q9582" s="224"/>
      <c r="S9582" s="202"/>
      <c r="T9582"/>
    </row>
    <row r="9583" spans="15:20">
      <c r="O9583" s="247"/>
      <c r="P9583"/>
      <c r="Q9583" s="224"/>
      <c r="S9583" s="202"/>
      <c r="T9583"/>
    </row>
    <row r="9584" spans="15:20">
      <c r="O9584" s="247"/>
      <c r="P9584"/>
      <c r="Q9584" s="224"/>
      <c r="S9584" s="202"/>
      <c r="T9584"/>
    </row>
    <row r="9585" spans="15:20">
      <c r="O9585" s="247"/>
      <c r="P9585"/>
      <c r="Q9585" s="224"/>
      <c r="S9585" s="202"/>
      <c r="T9585"/>
    </row>
    <row r="9586" spans="15:20">
      <c r="O9586" s="247"/>
      <c r="P9586"/>
      <c r="Q9586" s="224"/>
      <c r="S9586" s="202"/>
      <c r="T9586"/>
    </row>
    <row r="9587" spans="15:20">
      <c r="O9587" s="247"/>
      <c r="P9587"/>
      <c r="Q9587" s="224"/>
      <c r="S9587" s="202"/>
      <c r="T9587"/>
    </row>
    <row r="9588" spans="15:20">
      <c r="O9588" s="247"/>
      <c r="P9588"/>
      <c r="Q9588" s="224"/>
      <c r="S9588" s="202"/>
      <c r="T9588"/>
    </row>
    <row r="9589" spans="15:20">
      <c r="O9589" s="247"/>
      <c r="P9589"/>
      <c r="Q9589" s="224"/>
      <c r="S9589" s="202"/>
      <c r="T9589"/>
    </row>
    <row r="9590" spans="15:20">
      <c r="O9590" s="247"/>
      <c r="P9590"/>
      <c r="Q9590" s="224"/>
      <c r="S9590" s="202"/>
      <c r="T9590"/>
    </row>
    <row r="9591" spans="15:20">
      <c r="O9591" s="247"/>
      <c r="P9591"/>
      <c r="Q9591" s="224"/>
      <c r="S9591" s="202"/>
      <c r="T9591"/>
    </row>
    <row r="9592" spans="15:20">
      <c r="O9592" s="247"/>
      <c r="P9592"/>
      <c r="Q9592" s="224"/>
      <c r="S9592" s="202"/>
      <c r="T9592"/>
    </row>
    <row r="9593" spans="15:20">
      <c r="O9593" s="247"/>
      <c r="P9593"/>
      <c r="Q9593" s="224"/>
      <c r="S9593" s="202"/>
      <c r="T9593"/>
    </row>
    <row r="9594" spans="15:20">
      <c r="O9594" s="247"/>
      <c r="P9594"/>
      <c r="Q9594" s="224"/>
      <c r="S9594" s="202"/>
      <c r="T9594"/>
    </row>
    <row r="9595" spans="15:20">
      <c r="O9595" s="247"/>
      <c r="P9595"/>
      <c r="Q9595" s="224"/>
      <c r="S9595" s="202"/>
      <c r="T9595"/>
    </row>
    <row r="9596" spans="15:20">
      <c r="O9596" s="247"/>
      <c r="P9596"/>
      <c r="Q9596" s="224"/>
      <c r="S9596" s="202"/>
      <c r="T9596"/>
    </row>
    <row r="9597" spans="15:20">
      <c r="O9597" s="247"/>
      <c r="P9597"/>
      <c r="Q9597" s="224"/>
      <c r="S9597" s="202"/>
      <c r="T9597"/>
    </row>
    <row r="9598" spans="15:20">
      <c r="O9598" s="247"/>
      <c r="P9598"/>
      <c r="Q9598" s="224"/>
      <c r="S9598" s="202"/>
      <c r="T9598"/>
    </row>
    <row r="9599" spans="15:20">
      <c r="O9599" s="247"/>
      <c r="P9599"/>
      <c r="Q9599" s="224"/>
      <c r="S9599" s="202"/>
      <c r="T9599"/>
    </row>
    <row r="9600" spans="15:20">
      <c r="O9600" s="247"/>
      <c r="P9600"/>
      <c r="Q9600" s="224"/>
      <c r="S9600" s="202"/>
      <c r="T9600"/>
    </row>
    <row r="9601" spans="15:20">
      <c r="O9601" s="247"/>
      <c r="P9601"/>
      <c r="Q9601" s="224"/>
      <c r="S9601" s="202"/>
      <c r="T9601"/>
    </row>
    <row r="9602" spans="15:20">
      <c r="O9602" s="247"/>
      <c r="P9602"/>
      <c r="Q9602" s="224"/>
      <c r="S9602" s="202"/>
      <c r="T9602"/>
    </row>
    <row r="9603" spans="15:20">
      <c r="O9603" s="247"/>
      <c r="P9603"/>
      <c r="Q9603" s="224"/>
      <c r="S9603" s="202"/>
      <c r="T9603"/>
    </row>
    <row r="9604" spans="15:20">
      <c r="O9604" s="247"/>
      <c r="P9604"/>
      <c r="Q9604" s="224"/>
      <c r="S9604" s="202"/>
      <c r="T9604"/>
    </row>
    <row r="9605" spans="15:20">
      <c r="O9605" s="247"/>
      <c r="P9605"/>
      <c r="Q9605" s="224"/>
      <c r="S9605" s="202"/>
      <c r="T9605"/>
    </row>
    <row r="9606" spans="15:20">
      <c r="O9606" s="247"/>
      <c r="P9606"/>
      <c r="Q9606" s="224"/>
      <c r="S9606" s="202"/>
      <c r="T9606"/>
    </row>
    <row r="9607" spans="15:20">
      <c r="O9607" s="247"/>
      <c r="P9607"/>
      <c r="Q9607" s="224"/>
      <c r="S9607" s="202"/>
      <c r="T9607"/>
    </row>
    <row r="9608" spans="15:20">
      <c r="O9608" s="247"/>
      <c r="P9608"/>
      <c r="Q9608" s="224"/>
      <c r="S9608" s="202"/>
      <c r="T9608"/>
    </row>
    <row r="9609" spans="15:20">
      <c r="O9609" s="247"/>
      <c r="P9609"/>
      <c r="Q9609" s="224"/>
      <c r="S9609" s="202"/>
      <c r="T9609"/>
    </row>
    <row r="9610" spans="15:20">
      <c r="O9610" s="247"/>
      <c r="P9610"/>
      <c r="Q9610" s="224"/>
      <c r="S9610" s="202"/>
      <c r="T9610"/>
    </row>
    <row r="9611" spans="15:20">
      <c r="O9611" s="247"/>
      <c r="P9611"/>
      <c r="Q9611" s="224"/>
      <c r="S9611" s="202"/>
      <c r="T9611"/>
    </row>
    <row r="9612" spans="15:20">
      <c r="O9612" s="247"/>
      <c r="P9612"/>
      <c r="Q9612" s="224"/>
      <c r="S9612" s="202"/>
      <c r="T9612"/>
    </row>
    <row r="9613" spans="15:20">
      <c r="O9613" s="247"/>
      <c r="P9613"/>
      <c r="Q9613" s="224"/>
      <c r="S9613" s="202"/>
      <c r="T9613"/>
    </row>
    <row r="9614" spans="15:20">
      <c r="O9614" s="247"/>
      <c r="P9614"/>
      <c r="Q9614" s="224"/>
      <c r="S9614" s="202"/>
      <c r="T9614"/>
    </row>
    <row r="9615" spans="15:20">
      <c r="O9615" s="247"/>
      <c r="P9615"/>
      <c r="Q9615" s="224"/>
      <c r="S9615" s="202"/>
      <c r="T9615"/>
    </row>
    <row r="9616" spans="15:20">
      <c r="O9616" s="247"/>
      <c r="P9616"/>
      <c r="Q9616" s="224"/>
      <c r="S9616" s="202"/>
      <c r="T9616"/>
    </row>
    <row r="9617" spans="15:20">
      <c r="O9617" s="247"/>
      <c r="P9617"/>
      <c r="Q9617" s="224"/>
      <c r="S9617" s="202"/>
      <c r="T9617"/>
    </row>
    <row r="9618" spans="15:20">
      <c r="O9618" s="247"/>
      <c r="P9618"/>
      <c r="Q9618" s="224"/>
      <c r="S9618" s="202"/>
      <c r="T9618"/>
    </row>
    <row r="9619" spans="15:20">
      <c r="O9619" s="247"/>
      <c r="P9619"/>
      <c r="Q9619" s="224"/>
      <c r="S9619" s="202"/>
      <c r="T9619"/>
    </row>
    <row r="9620" spans="15:20">
      <c r="O9620" s="247"/>
      <c r="P9620"/>
      <c r="Q9620" s="224"/>
      <c r="S9620" s="202"/>
      <c r="T9620"/>
    </row>
    <row r="9621" spans="15:20">
      <c r="O9621" s="247"/>
      <c r="P9621"/>
      <c r="Q9621" s="224"/>
      <c r="S9621" s="202"/>
      <c r="T9621"/>
    </row>
    <row r="9622" spans="15:20">
      <c r="O9622" s="247"/>
      <c r="P9622"/>
      <c r="Q9622" s="224"/>
      <c r="S9622" s="202"/>
      <c r="T9622"/>
    </row>
    <row r="9623" spans="15:20">
      <c r="O9623" s="247"/>
      <c r="P9623"/>
      <c r="Q9623" s="224"/>
      <c r="S9623" s="202"/>
      <c r="T9623"/>
    </row>
    <row r="9624" spans="15:20">
      <c r="O9624" s="247"/>
      <c r="P9624"/>
      <c r="Q9624" s="224"/>
      <c r="S9624" s="202"/>
      <c r="T9624"/>
    </row>
    <row r="9625" spans="15:20">
      <c r="O9625" s="247"/>
      <c r="P9625"/>
      <c r="Q9625" s="224"/>
      <c r="S9625" s="202"/>
      <c r="T9625"/>
    </row>
    <row r="9626" spans="15:20">
      <c r="O9626" s="247"/>
      <c r="P9626"/>
      <c r="Q9626" s="224"/>
      <c r="S9626" s="202"/>
      <c r="T9626"/>
    </row>
    <row r="9627" spans="15:20">
      <c r="O9627" s="247"/>
      <c r="P9627"/>
      <c r="Q9627" s="224"/>
      <c r="S9627" s="202"/>
      <c r="T9627"/>
    </row>
    <row r="9628" spans="15:20">
      <c r="O9628" s="247"/>
      <c r="P9628"/>
      <c r="Q9628" s="224"/>
      <c r="S9628" s="202"/>
      <c r="T9628"/>
    </row>
    <row r="9629" spans="15:20">
      <c r="O9629" s="247"/>
      <c r="P9629"/>
      <c r="Q9629" s="224"/>
      <c r="S9629" s="202"/>
      <c r="T9629"/>
    </row>
    <row r="9630" spans="15:20">
      <c r="O9630" s="247"/>
      <c r="P9630"/>
      <c r="Q9630" s="224"/>
      <c r="S9630" s="202"/>
      <c r="T9630"/>
    </row>
    <row r="9631" spans="15:20">
      <c r="O9631" s="247"/>
      <c r="P9631"/>
      <c r="Q9631" s="224"/>
      <c r="S9631" s="202"/>
      <c r="T9631"/>
    </row>
    <row r="9632" spans="15:20">
      <c r="O9632" s="247"/>
      <c r="P9632"/>
      <c r="Q9632" s="224"/>
      <c r="S9632" s="202"/>
      <c r="T9632"/>
    </row>
    <row r="9633" spans="15:20">
      <c r="O9633" s="247"/>
      <c r="P9633"/>
      <c r="Q9633" s="224"/>
      <c r="S9633" s="202"/>
      <c r="T9633"/>
    </row>
    <row r="9634" spans="15:20">
      <c r="O9634" s="247"/>
      <c r="P9634"/>
      <c r="Q9634" s="224"/>
      <c r="S9634" s="202"/>
      <c r="T9634"/>
    </row>
    <row r="9635" spans="15:20">
      <c r="O9635" s="247"/>
      <c r="P9635"/>
      <c r="Q9635" s="224"/>
      <c r="S9635" s="202"/>
      <c r="T9635"/>
    </row>
    <row r="9636" spans="15:20">
      <c r="O9636" s="247"/>
      <c r="P9636"/>
      <c r="Q9636" s="224"/>
      <c r="S9636" s="202"/>
      <c r="T9636"/>
    </row>
    <row r="9637" spans="15:20">
      <c r="O9637" s="247"/>
      <c r="P9637"/>
      <c r="Q9637" s="224"/>
      <c r="S9637" s="202"/>
      <c r="T9637"/>
    </row>
    <row r="9638" spans="15:20">
      <c r="O9638" s="247"/>
      <c r="P9638"/>
      <c r="Q9638" s="224"/>
      <c r="S9638" s="202"/>
      <c r="T9638"/>
    </row>
    <row r="9639" spans="15:20">
      <c r="O9639" s="247"/>
      <c r="P9639"/>
      <c r="Q9639" s="224"/>
      <c r="S9639" s="202"/>
      <c r="T9639"/>
    </row>
    <row r="9640" spans="15:20">
      <c r="O9640" s="247"/>
      <c r="P9640"/>
      <c r="Q9640" s="224"/>
      <c r="S9640" s="202"/>
      <c r="T9640"/>
    </row>
    <row r="9641" spans="15:20">
      <c r="O9641" s="247"/>
      <c r="P9641"/>
      <c r="Q9641" s="224"/>
      <c r="S9641" s="202"/>
      <c r="T9641"/>
    </row>
    <row r="9642" spans="15:20">
      <c r="O9642" s="247"/>
      <c r="P9642"/>
      <c r="Q9642" s="224"/>
      <c r="S9642" s="202"/>
      <c r="T9642"/>
    </row>
    <row r="9643" spans="15:20">
      <c r="O9643" s="247"/>
      <c r="P9643"/>
      <c r="Q9643" s="224"/>
      <c r="S9643" s="202"/>
      <c r="T9643"/>
    </row>
    <row r="9644" spans="15:20">
      <c r="O9644" s="247"/>
      <c r="P9644"/>
      <c r="Q9644" s="224"/>
      <c r="S9644" s="202"/>
      <c r="T9644"/>
    </row>
    <row r="9645" spans="15:20">
      <c r="O9645" s="247"/>
      <c r="P9645"/>
      <c r="Q9645" s="224"/>
      <c r="S9645" s="202"/>
      <c r="T9645"/>
    </row>
    <row r="9646" spans="15:20">
      <c r="O9646" s="247"/>
      <c r="P9646"/>
      <c r="Q9646" s="224"/>
      <c r="S9646" s="202"/>
      <c r="T9646"/>
    </row>
    <row r="9647" spans="15:20">
      <c r="O9647" s="247"/>
      <c r="P9647"/>
      <c r="Q9647" s="224"/>
      <c r="S9647" s="202"/>
      <c r="T9647"/>
    </row>
    <row r="9648" spans="15:20">
      <c r="O9648" s="247"/>
      <c r="P9648"/>
      <c r="Q9648" s="224"/>
      <c r="S9648" s="202"/>
      <c r="T9648"/>
    </row>
    <row r="9649" spans="15:20">
      <c r="O9649" s="247"/>
      <c r="P9649"/>
      <c r="Q9649" s="224"/>
      <c r="S9649" s="202"/>
      <c r="T9649"/>
    </row>
    <row r="9650" spans="15:20">
      <c r="O9650" s="247"/>
      <c r="P9650"/>
      <c r="Q9650" s="224"/>
      <c r="S9650" s="202"/>
      <c r="T9650"/>
    </row>
    <row r="9651" spans="15:20">
      <c r="O9651" s="247"/>
      <c r="P9651"/>
      <c r="Q9651" s="224"/>
      <c r="S9651" s="202"/>
      <c r="T9651"/>
    </row>
    <row r="9652" spans="15:20">
      <c r="O9652" s="247"/>
      <c r="P9652"/>
      <c r="Q9652" s="224"/>
      <c r="S9652" s="202"/>
      <c r="T9652"/>
    </row>
    <row r="9653" spans="15:20">
      <c r="O9653" s="247"/>
      <c r="P9653"/>
      <c r="Q9653" s="224"/>
      <c r="S9653" s="202"/>
      <c r="T9653"/>
    </row>
    <row r="9654" spans="15:20">
      <c r="O9654" s="247"/>
      <c r="P9654"/>
      <c r="Q9654" s="224"/>
      <c r="S9654" s="202"/>
      <c r="T9654"/>
    </row>
    <row r="9655" spans="15:20">
      <c r="O9655" s="247"/>
      <c r="P9655"/>
      <c r="Q9655" s="224"/>
      <c r="S9655" s="202"/>
      <c r="T9655"/>
    </row>
    <row r="9656" spans="15:20">
      <c r="O9656" s="247"/>
      <c r="P9656"/>
      <c r="Q9656" s="224"/>
      <c r="S9656" s="202"/>
      <c r="T9656"/>
    </row>
    <row r="9657" spans="15:20">
      <c r="O9657" s="247"/>
      <c r="P9657"/>
      <c r="Q9657" s="224"/>
      <c r="S9657" s="202"/>
      <c r="T9657"/>
    </row>
    <row r="9658" spans="15:20">
      <c r="O9658" s="247"/>
      <c r="P9658"/>
      <c r="Q9658" s="224"/>
      <c r="S9658" s="202"/>
      <c r="T9658"/>
    </row>
    <row r="9659" spans="15:20">
      <c r="O9659" s="247"/>
      <c r="P9659"/>
      <c r="Q9659" s="224"/>
      <c r="S9659" s="202"/>
      <c r="T9659"/>
    </row>
    <row r="9660" spans="15:20">
      <c r="O9660" s="247"/>
      <c r="P9660"/>
      <c r="Q9660" s="224"/>
      <c r="S9660" s="202"/>
      <c r="T9660"/>
    </row>
    <row r="9661" spans="15:20">
      <c r="O9661" s="247"/>
      <c r="P9661"/>
      <c r="Q9661" s="224"/>
      <c r="S9661" s="202"/>
      <c r="T9661"/>
    </row>
    <row r="9662" spans="15:20">
      <c r="O9662" s="247"/>
      <c r="P9662"/>
      <c r="Q9662" s="224"/>
      <c r="S9662" s="202"/>
      <c r="T9662"/>
    </row>
    <row r="9663" spans="15:20">
      <c r="O9663" s="247"/>
      <c r="P9663"/>
      <c r="Q9663" s="224"/>
      <c r="S9663" s="202"/>
      <c r="T9663"/>
    </row>
    <row r="9664" spans="15:20">
      <c r="O9664" s="247"/>
      <c r="P9664"/>
      <c r="Q9664" s="224"/>
      <c r="S9664" s="202"/>
      <c r="T9664"/>
    </row>
    <row r="9665" spans="15:20">
      <c r="O9665" s="247"/>
      <c r="P9665"/>
      <c r="Q9665" s="224"/>
      <c r="S9665" s="202"/>
      <c r="T9665"/>
    </row>
    <row r="9666" spans="15:20">
      <c r="O9666" s="247"/>
      <c r="P9666"/>
      <c r="Q9666" s="224"/>
      <c r="S9666" s="202"/>
      <c r="T9666"/>
    </row>
    <row r="9667" spans="15:20">
      <c r="O9667" s="247"/>
      <c r="P9667"/>
      <c r="Q9667" s="224"/>
      <c r="S9667" s="202"/>
      <c r="T9667"/>
    </row>
    <row r="9668" spans="15:20">
      <c r="O9668" s="247"/>
      <c r="P9668"/>
      <c r="Q9668" s="224"/>
      <c r="S9668" s="202"/>
      <c r="T9668"/>
    </row>
    <row r="9669" spans="15:20">
      <c r="O9669" s="247"/>
      <c r="P9669"/>
      <c r="Q9669" s="224"/>
      <c r="S9669" s="202"/>
      <c r="T9669"/>
    </row>
    <row r="9670" spans="15:20">
      <c r="O9670" s="247"/>
      <c r="P9670"/>
      <c r="Q9670" s="224"/>
      <c r="S9670" s="202"/>
      <c r="T9670"/>
    </row>
    <row r="9671" spans="15:20">
      <c r="O9671" s="247"/>
      <c r="P9671"/>
      <c r="Q9671" s="224"/>
      <c r="S9671" s="202"/>
      <c r="T9671"/>
    </row>
    <row r="9672" spans="15:20">
      <c r="O9672" s="247"/>
      <c r="P9672"/>
      <c r="Q9672" s="224"/>
      <c r="S9672" s="202"/>
      <c r="T9672"/>
    </row>
    <row r="9673" spans="15:20">
      <c r="O9673" s="247"/>
      <c r="P9673"/>
      <c r="Q9673" s="224"/>
      <c r="S9673" s="202"/>
      <c r="T9673"/>
    </row>
    <row r="9674" spans="15:20">
      <c r="O9674" s="247"/>
      <c r="P9674"/>
      <c r="Q9674" s="224"/>
      <c r="S9674" s="202"/>
      <c r="T9674"/>
    </row>
    <row r="9675" spans="15:20">
      <c r="O9675" s="247"/>
      <c r="P9675"/>
      <c r="Q9675" s="224"/>
      <c r="S9675" s="202"/>
      <c r="T9675"/>
    </row>
    <row r="9676" spans="15:20">
      <c r="O9676" s="247"/>
      <c r="P9676"/>
      <c r="Q9676" s="224"/>
      <c r="S9676" s="202"/>
      <c r="T9676"/>
    </row>
    <row r="9677" spans="15:20">
      <c r="O9677" s="247"/>
      <c r="P9677"/>
      <c r="Q9677" s="224"/>
      <c r="S9677" s="202"/>
      <c r="T9677"/>
    </row>
    <row r="9678" spans="15:20">
      <c r="O9678" s="247"/>
      <c r="P9678"/>
      <c r="Q9678" s="224"/>
      <c r="S9678" s="202"/>
      <c r="T9678"/>
    </row>
    <row r="9679" spans="15:20">
      <c r="O9679" s="247"/>
      <c r="P9679"/>
      <c r="Q9679" s="224"/>
      <c r="S9679" s="202"/>
      <c r="T9679"/>
    </row>
    <row r="9680" spans="15:20">
      <c r="O9680" s="247"/>
      <c r="P9680"/>
      <c r="Q9680" s="224"/>
      <c r="S9680" s="202"/>
      <c r="T9680"/>
    </row>
    <row r="9681" spans="15:20">
      <c r="O9681" s="247"/>
      <c r="P9681"/>
      <c r="Q9681" s="224"/>
      <c r="S9681" s="202"/>
      <c r="T9681"/>
    </row>
    <row r="9682" spans="15:20">
      <c r="O9682" s="247"/>
      <c r="P9682"/>
      <c r="Q9682" s="224"/>
      <c r="S9682" s="202"/>
      <c r="T9682"/>
    </row>
    <row r="9683" spans="15:20">
      <c r="O9683" s="247"/>
      <c r="P9683"/>
      <c r="Q9683" s="224"/>
      <c r="S9683" s="202"/>
      <c r="T9683"/>
    </row>
    <row r="9684" spans="15:20">
      <c r="O9684" s="247"/>
      <c r="P9684"/>
      <c r="Q9684" s="224"/>
      <c r="S9684" s="202"/>
      <c r="T9684"/>
    </row>
    <row r="9685" spans="15:20">
      <c r="O9685" s="247"/>
      <c r="P9685"/>
      <c r="Q9685" s="224"/>
      <c r="S9685" s="202"/>
      <c r="T9685"/>
    </row>
    <row r="9686" spans="15:20">
      <c r="O9686" s="247"/>
      <c r="P9686"/>
      <c r="Q9686" s="224"/>
      <c r="S9686" s="202"/>
      <c r="T9686"/>
    </row>
    <row r="9687" spans="15:20">
      <c r="O9687" s="247"/>
      <c r="P9687"/>
      <c r="Q9687" s="224"/>
      <c r="S9687" s="202"/>
      <c r="T9687"/>
    </row>
    <row r="9688" spans="15:20">
      <c r="O9688" s="247"/>
      <c r="P9688"/>
      <c r="Q9688" s="224"/>
      <c r="S9688" s="202"/>
      <c r="T9688"/>
    </row>
    <row r="9689" spans="15:20">
      <c r="O9689" s="247"/>
      <c r="P9689"/>
      <c r="Q9689" s="224"/>
      <c r="S9689" s="202"/>
      <c r="T9689"/>
    </row>
    <row r="9690" spans="15:20">
      <c r="O9690" s="247"/>
      <c r="P9690"/>
      <c r="Q9690" s="224"/>
      <c r="S9690" s="202"/>
      <c r="T9690"/>
    </row>
    <row r="9691" spans="15:20">
      <c r="O9691" s="247"/>
      <c r="P9691"/>
      <c r="Q9691" s="224"/>
      <c r="S9691" s="202"/>
      <c r="T9691"/>
    </row>
    <row r="9692" spans="15:20">
      <c r="O9692" s="247"/>
      <c r="P9692"/>
      <c r="Q9692" s="224"/>
      <c r="S9692" s="202"/>
      <c r="T9692"/>
    </row>
    <row r="9693" spans="15:20">
      <c r="O9693" s="247"/>
      <c r="P9693"/>
      <c r="Q9693" s="224"/>
      <c r="S9693" s="202"/>
      <c r="T9693"/>
    </row>
    <row r="9694" spans="15:20">
      <c r="O9694" s="247"/>
      <c r="P9694"/>
      <c r="Q9694" s="224"/>
      <c r="S9694" s="202"/>
      <c r="T9694"/>
    </row>
    <row r="9695" spans="15:20">
      <c r="O9695" s="247"/>
      <c r="P9695"/>
      <c r="Q9695" s="224"/>
      <c r="S9695" s="202"/>
      <c r="T9695"/>
    </row>
    <row r="9696" spans="15:20">
      <c r="O9696" s="247"/>
      <c r="P9696"/>
      <c r="Q9696" s="224"/>
      <c r="S9696" s="202"/>
      <c r="T9696"/>
    </row>
    <row r="9697" spans="15:20">
      <c r="O9697" s="247"/>
      <c r="P9697"/>
      <c r="Q9697" s="224"/>
      <c r="S9697" s="202"/>
      <c r="T9697"/>
    </row>
    <row r="9698" spans="15:20">
      <c r="O9698" s="247"/>
      <c r="P9698"/>
      <c r="Q9698" s="224"/>
      <c r="S9698" s="202"/>
      <c r="T9698"/>
    </row>
    <row r="9699" spans="15:20">
      <c r="O9699" s="247"/>
      <c r="P9699"/>
      <c r="Q9699" s="224"/>
      <c r="S9699" s="202"/>
      <c r="T9699"/>
    </row>
    <row r="9700" spans="15:20">
      <c r="O9700" s="247"/>
      <c r="P9700"/>
      <c r="Q9700" s="224"/>
      <c r="S9700" s="202"/>
      <c r="T9700"/>
    </row>
    <row r="9701" spans="15:20">
      <c r="O9701" s="247"/>
      <c r="P9701"/>
      <c r="Q9701" s="224"/>
      <c r="S9701" s="202"/>
      <c r="T9701"/>
    </row>
    <row r="9702" spans="15:20">
      <c r="O9702" s="247"/>
      <c r="P9702"/>
      <c r="Q9702" s="224"/>
      <c r="S9702" s="202"/>
      <c r="T9702"/>
    </row>
    <row r="9703" spans="15:20">
      <c r="O9703" s="247"/>
      <c r="P9703"/>
      <c r="Q9703" s="224"/>
      <c r="S9703" s="202"/>
      <c r="T9703"/>
    </row>
    <row r="9704" spans="15:20">
      <c r="O9704" s="247"/>
      <c r="P9704"/>
      <c r="Q9704" s="224"/>
      <c r="S9704" s="202"/>
      <c r="T9704"/>
    </row>
    <row r="9705" spans="15:20">
      <c r="O9705" s="247"/>
      <c r="P9705"/>
      <c r="Q9705" s="224"/>
      <c r="S9705" s="202"/>
      <c r="T9705"/>
    </row>
    <row r="9706" spans="15:20">
      <c r="O9706" s="247"/>
      <c r="P9706"/>
      <c r="Q9706" s="224"/>
      <c r="S9706" s="202"/>
      <c r="T9706"/>
    </row>
    <row r="9707" spans="15:20">
      <c r="O9707" s="247"/>
      <c r="P9707"/>
      <c r="Q9707" s="224"/>
      <c r="S9707" s="202"/>
      <c r="T9707"/>
    </row>
    <row r="9708" spans="15:20">
      <c r="O9708" s="247"/>
      <c r="P9708"/>
      <c r="Q9708" s="224"/>
      <c r="S9708" s="202"/>
      <c r="T9708"/>
    </row>
    <row r="9709" spans="15:20">
      <c r="O9709" s="247"/>
      <c r="P9709"/>
      <c r="Q9709" s="224"/>
      <c r="S9709" s="202"/>
      <c r="T9709"/>
    </row>
    <row r="9710" spans="15:20">
      <c r="O9710" s="247"/>
      <c r="P9710"/>
      <c r="Q9710" s="224"/>
      <c r="S9710" s="202"/>
      <c r="T9710"/>
    </row>
    <row r="9711" spans="15:20">
      <c r="O9711" s="247"/>
      <c r="P9711"/>
      <c r="Q9711" s="224"/>
      <c r="S9711" s="202"/>
      <c r="T9711"/>
    </row>
    <row r="9712" spans="15:20">
      <c r="O9712" s="247"/>
      <c r="P9712"/>
      <c r="Q9712" s="224"/>
      <c r="S9712" s="202"/>
      <c r="T9712"/>
    </row>
    <row r="9713" spans="15:20">
      <c r="O9713" s="247"/>
      <c r="P9713"/>
      <c r="Q9713" s="224"/>
      <c r="S9713" s="202"/>
      <c r="T9713"/>
    </row>
    <row r="9714" spans="15:20">
      <c r="O9714" s="247"/>
      <c r="P9714"/>
      <c r="Q9714" s="224"/>
      <c r="S9714" s="202"/>
      <c r="T9714"/>
    </row>
    <row r="9715" spans="15:20">
      <c r="O9715" s="247"/>
      <c r="P9715"/>
      <c r="Q9715" s="224"/>
      <c r="S9715" s="202"/>
      <c r="T9715"/>
    </row>
    <row r="9716" spans="15:20">
      <c r="O9716" s="247"/>
      <c r="P9716"/>
      <c r="Q9716" s="224"/>
      <c r="S9716" s="202"/>
      <c r="T9716"/>
    </row>
    <row r="9717" spans="15:20">
      <c r="O9717" s="247"/>
      <c r="P9717"/>
      <c r="Q9717" s="224"/>
      <c r="S9717" s="202"/>
      <c r="T9717"/>
    </row>
    <row r="9718" spans="15:20">
      <c r="O9718" s="247"/>
      <c r="P9718"/>
      <c r="Q9718" s="224"/>
      <c r="S9718" s="202"/>
      <c r="T9718"/>
    </row>
    <row r="9719" spans="15:20">
      <c r="O9719" s="247"/>
      <c r="P9719"/>
      <c r="Q9719" s="224"/>
      <c r="S9719" s="202"/>
      <c r="T9719"/>
    </row>
    <row r="9720" spans="15:20">
      <c r="O9720" s="247"/>
      <c r="P9720"/>
      <c r="Q9720" s="224"/>
      <c r="S9720" s="202"/>
      <c r="T9720"/>
    </row>
    <row r="9721" spans="15:20">
      <c r="O9721" s="247"/>
      <c r="P9721"/>
      <c r="Q9721" s="224"/>
      <c r="S9721" s="202"/>
      <c r="T9721"/>
    </row>
    <row r="9722" spans="15:20">
      <c r="O9722" s="247"/>
      <c r="P9722"/>
      <c r="Q9722" s="224"/>
      <c r="S9722" s="202"/>
      <c r="T9722"/>
    </row>
    <row r="9723" spans="15:20">
      <c r="O9723" s="247"/>
      <c r="P9723"/>
      <c r="Q9723" s="224"/>
      <c r="S9723" s="202"/>
      <c r="T9723"/>
    </row>
    <row r="9724" spans="15:20">
      <c r="O9724" s="247"/>
      <c r="P9724"/>
      <c r="Q9724" s="224"/>
      <c r="S9724" s="202"/>
      <c r="T9724"/>
    </row>
    <row r="9725" spans="15:20">
      <c r="O9725" s="247"/>
      <c r="P9725"/>
      <c r="Q9725" s="224"/>
      <c r="S9725" s="202"/>
      <c r="T9725"/>
    </row>
    <row r="9726" spans="15:20">
      <c r="O9726" s="247"/>
      <c r="P9726"/>
      <c r="Q9726" s="224"/>
      <c r="S9726" s="202"/>
      <c r="T9726"/>
    </row>
    <row r="9727" spans="15:20">
      <c r="O9727" s="247"/>
      <c r="P9727"/>
      <c r="Q9727" s="224"/>
      <c r="S9727" s="202"/>
      <c r="T9727"/>
    </row>
    <row r="9728" spans="15:20">
      <c r="O9728" s="247"/>
      <c r="P9728"/>
      <c r="Q9728" s="224"/>
      <c r="S9728" s="202"/>
      <c r="T9728"/>
    </row>
    <row r="9729" spans="15:20">
      <c r="O9729" s="247"/>
      <c r="P9729"/>
      <c r="Q9729" s="224"/>
      <c r="S9729" s="202"/>
      <c r="T9729"/>
    </row>
    <row r="9730" spans="15:20">
      <c r="O9730" s="247"/>
      <c r="P9730"/>
      <c r="Q9730" s="224"/>
      <c r="S9730" s="202"/>
      <c r="T9730"/>
    </row>
    <row r="9731" spans="15:20">
      <c r="O9731" s="247"/>
      <c r="P9731"/>
      <c r="Q9731" s="224"/>
      <c r="S9731" s="202"/>
      <c r="T9731"/>
    </row>
    <row r="9732" spans="15:20">
      <c r="O9732" s="247"/>
      <c r="P9732"/>
      <c r="Q9732" s="224"/>
      <c r="S9732" s="202"/>
      <c r="T9732"/>
    </row>
    <row r="9733" spans="15:20">
      <c r="O9733" s="247"/>
      <c r="P9733"/>
      <c r="Q9733" s="224"/>
      <c r="S9733" s="202"/>
      <c r="T9733"/>
    </row>
    <row r="9734" spans="15:20">
      <c r="O9734" s="247"/>
      <c r="P9734"/>
      <c r="Q9734" s="224"/>
      <c r="S9734" s="202"/>
      <c r="T9734"/>
    </row>
    <row r="9735" spans="15:20">
      <c r="O9735" s="247"/>
      <c r="P9735"/>
      <c r="Q9735" s="224"/>
      <c r="S9735" s="202"/>
      <c r="T9735"/>
    </row>
    <row r="9736" spans="15:20">
      <c r="O9736" s="247"/>
      <c r="P9736"/>
      <c r="Q9736" s="224"/>
      <c r="S9736" s="202"/>
      <c r="T9736"/>
    </row>
    <row r="9737" spans="15:20">
      <c r="O9737" s="247"/>
      <c r="P9737"/>
      <c r="Q9737" s="224"/>
      <c r="S9737" s="202"/>
      <c r="T9737"/>
    </row>
    <row r="9738" spans="15:20">
      <c r="O9738" s="247"/>
      <c r="P9738"/>
      <c r="Q9738" s="224"/>
      <c r="S9738" s="202"/>
      <c r="T9738"/>
    </row>
    <row r="9739" spans="15:20">
      <c r="O9739" s="247"/>
      <c r="P9739"/>
      <c r="Q9739" s="224"/>
      <c r="S9739" s="202"/>
      <c r="T9739"/>
    </row>
    <row r="9740" spans="15:20">
      <c r="O9740" s="247"/>
      <c r="P9740"/>
      <c r="Q9740" s="224"/>
      <c r="S9740" s="202"/>
      <c r="T9740"/>
    </row>
    <row r="9741" spans="15:20">
      <c r="O9741" s="247"/>
      <c r="P9741"/>
      <c r="Q9741" s="224"/>
      <c r="S9741" s="202"/>
      <c r="T9741"/>
    </row>
    <row r="9742" spans="15:20">
      <c r="O9742" s="247"/>
      <c r="P9742"/>
      <c r="Q9742" s="224"/>
      <c r="S9742" s="202"/>
      <c r="T9742"/>
    </row>
    <row r="9743" spans="15:20">
      <c r="O9743" s="247"/>
      <c r="P9743"/>
      <c r="Q9743" s="224"/>
      <c r="S9743" s="202"/>
      <c r="T9743"/>
    </row>
    <row r="9744" spans="15:20">
      <c r="O9744" s="247"/>
      <c r="P9744"/>
      <c r="Q9744" s="224"/>
      <c r="S9744" s="202"/>
      <c r="T9744"/>
    </row>
    <row r="9745" spans="15:20">
      <c r="O9745" s="247"/>
      <c r="P9745"/>
      <c r="Q9745" s="224"/>
      <c r="S9745" s="202"/>
      <c r="T9745"/>
    </row>
    <row r="9746" spans="15:20">
      <c r="O9746" s="247"/>
      <c r="P9746"/>
      <c r="Q9746" s="224"/>
      <c r="S9746" s="202"/>
      <c r="T9746"/>
    </row>
    <row r="9747" spans="15:20">
      <c r="O9747" s="247"/>
      <c r="P9747"/>
      <c r="Q9747" s="224"/>
      <c r="S9747" s="202"/>
      <c r="T9747"/>
    </row>
    <row r="9748" spans="15:20">
      <c r="O9748" s="247"/>
      <c r="P9748"/>
      <c r="Q9748" s="224"/>
      <c r="S9748" s="202"/>
      <c r="T9748"/>
    </row>
    <row r="9749" spans="15:20">
      <c r="O9749" s="247"/>
      <c r="P9749"/>
      <c r="Q9749" s="224"/>
      <c r="S9749" s="202"/>
      <c r="T9749"/>
    </row>
    <row r="9750" spans="15:20">
      <c r="O9750" s="247"/>
      <c r="P9750"/>
      <c r="Q9750" s="224"/>
      <c r="S9750" s="202"/>
      <c r="T9750"/>
    </row>
    <row r="9751" spans="15:20">
      <c r="O9751" s="247"/>
      <c r="P9751"/>
      <c r="Q9751" s="224"/>
      <c r="S9751" s="202"/>
      <c r="T9751"/>
    </row>
    <row r="9752" spans="15:20">
      <c r="O9752" s="247"/>
      <c r="P9752"/>
      <c r="Q9752" s="224"/>
      <c r="S9752" s="202"/>
      <c r="T9752"/>
    </row>
    <row r="9753" spans="15:20">
      <c r="O9753" s="247"/>
      <c r="P9753"/>
      <c r="Q9753" s="224"/>
      <c r="S9753" s="202"/>
      <c r="T9753"/>
    </row>
    <row r="9754" spans="15:20">
      <c r="O9754" s="247"/>
      <c r="P9754"/>
      <c r="Q9754" s="224"/>
      <c r="S9754" s="202"/>
      <c r="T9754"/>
    </row>
    <row r="9755" spans="15:20">
      <c r="O9755" s="247"/>
      <c r="P9755"/>
      <c r="Q9755" s="224"/>
      <c r="S9755" s="202"/>
      <c r="T9755"/>
    </row>
    <row r="9756" spans="15:20">
      <c r="O9756" s="247"/>
      <c r="P9756"/>
      <c r="Q9756" s="224"/>
      <c r="S9756" s="202"/>
      <c r="T9756"/>
    </row>
    <row r="9757" spans="15:20">
      <c r="O9757" s="247"/>
      <c r="P9757"/>
      <c r="Q9757" s="224"/>
      <c r="S9757" s="202"/>
      <c r="T9757"/>
    </row>
    <row r="9758" spans="15:20">
      <c r="O9758" s="247"/>
      <c r="P9758"/>
      <c r="Q9758" s="224"/>
      <c r="S9758" s="202"/>
      <c r="T9758"/>
    </row>
    <row r="9759" spans="15:20">
      <c r="O9759" s="247"/>
      <c r="P9759"/>
      <c r="Q9759" s="224"/>
      <c r="S9759" s="202"/>
      <c r="T9759"/>
    </row>
    <row r="9760" spans="15:20">
      <c r="O9760" s="247"/>
      <c r="P9760"/>
      <c r="Q9760" s="224"/>
      <c r="S9760" s="202"/>
      <c r="T9760"/>
    </row>
    <row r="9761" spans="15:20">
      <c r="O9761" s="247"/>
      <c r="P9761"/>
      <c r="Q9761" s="224"/>
      <c r="S9761" s="202"/>
      <c r="T9761"/>
    </row>
    <row r="9762" spans="15:20">
      <c r="O9762" s="247"/>
      <c r="P9762"/>
      <c r="Q9762" s="224"/>
      <c r="S9762" s="202"/>
      <c r="T9762"/>
    </row>
    <row r="9763" spans="15:20">
      <c r="O9763" s="247"/>
      <c r="P9763"/>
      <c r="Q9763" s="224"/>
      <c r="S9763" s="202"/>
      <c r="T9763"/>
    </row>
    <row r="9764" spans="15:20">
      <c r="O9764" s="247"/>
      <c r="P9764"/>
      <c r="Q9764" s="224"/>
      <c r="S9764" s="202"/>
      <c r="T9764"/>
    </row>
    <row r="9765" spans="15:20">
      <c r="O9765" s="247"/>
      <c r="P9765"/>
      <c r="Q9765" s="224"/>
      <c r="S9765" s="202"/>
      <c r="T9765"/>
    </row>
    <row r="9766" spans="15:20">
      <c r="O9766" s="247"/>
      <c r="P9766"/>
      <c r="Q9766" s="224"/>
      <c r="S9766" s="202"/>
      <c r="T9766"/>
    </row>
    <row r="9767" spans="15:20">
      <c r="O9767" s="247"/>
      <c r="P9767"/>
      <c r="Q9767" s="224"/>
      <c r="S9767" s="202"/>
      <c r="T9767"/>
    </row>
    <row r="9768" spans="15:20">
      <c r="O9768" s="247"/>
      <c r="P9768"/>
      <c r="Q9768" s="224"/>
      <c r="S9768" s="202"/>
      <c r="T9768"/>
    </row>
    <row r="9769" spans="15:20">
      <c r="O9769" s="247"/>
      <c r="P9769"/>
      <c r="Q9769" s="224"/>
      <c r="S9769" s="202"/>
      <c r="T9769"/>
    </row>
    <row r="9770" spans="15:20">
      <c r="O9770" s="247"/>
      <c r="P9770"/>
      <c r="Q9770" s="224"/>
      <c r="S9770" s="202"/>
      <c r="T9770"/>
    </row>
    <row r="9771" spans="15:20">
      <c r="O9771" s="247"/>
      <c r="P9771"/>
      <c r="Q9771" s="224"/>
      <c r="S9771" s="202"/>
      <c r="T9771"/>
    </row>
    <row r="9772" spans="15:20">
      <c r="O9772" s="247"/>
      <c r="P9772"/>
      <c r="Q9772" s="224"/>
      <c r="S9772" s="202"/>
      <c r="T9772"/>
    </row>
    <row r="9773" spans="15:20">
      <c r="O9773" s="247"/>
      <c r="P9773"/>
      <c r="Q9773" s="224"/>
      <c r="S9773" s="202"/>
      <c r="T9773"/>
    </row>
    <row r="9774" spans="15:20">
      <c r="O9774" s="247"/>
      <c r="P9774"/>
      <c r="Q9774" s="224"/>
      <c r="S9774" s="202"/>
      <c r="T9774"/>
    </row>
    <row r="9775" spans="15:20">
      <c r="O9775" s="247"/>
      <c r="P9775"/>
      <c r="Q9775" s="224"/>
      <c r="S9775" s="202"/>
      <c r="T9775"/>
    </row>
    <row r="9776" spans="15:20">
      <c r="O9776" s="247"/>
      <c r="P9776"/>
      <c r="Q9776" s="224"/>
      <c r="S9776" s="202"/>
      <c r="T9776"/>
    </row>
    <row r="9777" spans="15:20">
      <c r="O9777" s="247"/>
      <c r="P9777"/>
      <c r="Q9777" s="224"/>
      <c r="S9777" s="202"/>
      <c r="T9777"/>
    </row>
    <row r="9778" spans="15:20">
      <c r="O9778" s="247"/>
      <c r="P9778"/>
      <c r="Q9778" s="224"/>
      <c r="S9778" s="202"/>
      <c r="T9778"/>
    </row>
    <row r="9779" spans="15:20">
      <c r="O9779" s="247"/>
      <c r="P9779"/>
      <c r="Q9779" s="224"/>
      <c r="S9779" s="202"/>
      <c r="T9779"/>
    </row>
    <row r="9780" spans="15:20">
      <c r="O9780" s="247"/>
      <c r="P9780"/>
      <c r="Q9780" s="224"/>
      <c r="S9780" s="202"/>
      <c r="T9780"/>
    </row>
    <row r="9781" spans="15:20">
      <c r="O9781" s="247"/>
      <c r="P9781"/>
      <c r="Q9781" s="224"/>
      <c r="S9781" s="202"/>
      <c r="T9781"/>
    </row>
    <row r="9782" spans="15:20">
      <c r="O9782" s="247"/>
      <c r="P9782"/>
      <c r="Q9782" s="224"/>
      <c r="S9782" s="202"/>
      <c r="T9782"/>
    </row>
    <row r="9783" spans="15:20">
      <c r="O9783" s="247"/>
      <c r="P9783"/>
      <c r="Q9783" s="224"/>
      <c r="S9783" s="202"/>
      <c r="T9783"/>
    </row>
    <row r="9784" spans="15:20">
      <c r="O9784" s="247"/>
      <c r="P9784"/>
      <c r="Q9784" s="224"/>
      <c r="S9784" s="202"/>
      <c r="T9784"/>
    </row>
    <row r="9785" spans="15:20">
      <c r="O9785" s="247"/>
      <c r="P9785"/>
      <c r="Q9785" s="224"/>
      <c r="S9785" s="202"/>
      <c r="T9785"/>
    </row>
    <row r="9786" spans="15:20">
      <c r="O9786" s="247"/>
      <c r="P9786"/>
      <c r="Q9786" s="224"/>
      <c r="S9786" s="202"/>
      <c r="T9786"/>
    </row>
    <row r="9787" spans="15:20">
      <c r="O9787" s="247"/>
      <c r="P9787"/>
      <c r="Q9787" s="224"/>
      <c r="S9787" s="202"/>
      <c r="T9787"/>
    </row>
    <row r="9788" spans="15:20">
      <c r="O9788" s="247"/>
      <c r="P9788"/>
      <c r="Q9788" s="224"/>
      <c r="S9788" s="202"/>
      <c r="T9788"/>
    </row>
    <row r="9789" spans="15:20">
      <c r="O9789" s="247"/>
      <c r="P9789"/>
      <c r="Q9789" s="224"/>
      <c r="S9789" s="202"/>
      <c r="T9789"/>
    </row>
    <row r="9790" spans="15:20">
      <c r="O9790" s="247"/>
      <c r="P9790"/>
      <c r="Q9790" s="224"/>
      <c r="S9790" s="202"/>
      <c r="T9790"/>
    </row>
    <row r="9791" spans="15:20">
      <c r="O9791" s="247"/>
      <c r="P9791"/>
      <c r="Q9791" s="224"/>
      <c r="S9791" s="202"/>
      <c r="T9791"/>
    </row>
    <row r="9792" spans="15:20">
      <c r="O9792" s="247"/>
      <c r="P9792"/>
      <c r="Q9792" s="224"/>
      <c r="S9792" s="202"/>
      <c r="T9792"/>
    </row>
    <row r="9793" spans="15:20">
      <c r="O9793" s="247"/>
      <c r="P9793"/>
      <c r="Q9793" s="224"/>
      <c r="S9793" s="202"/>
      <c r="T9793"/>
    </row>
    <row r="9794" spans="15:20">
      <c r="O9794" s="247"/>
      <c r="P9794"/>
      <c r="Q9794" s="224"/>
      <c r="S9794" s="202"/>
      <c r="T9794"/>
    </row>
    <row r="9795" spans="15:20">
      <c r="O9795" s="247"/>
      <c r="P9795"/>
      <c r="Q9795" s="224"/>
      <c r="S9795" s="202"/>
      <c r="T9795"/>
    </row>
    <row r="9796" spans="15:20">
      <c r="O9796" s="247"/>
      <c r="P9796"/>
      <c r="Q9796" s="224"/>
      <c r="S9796" s="202"/>
      <c r="T9796"/>
    </row>
    <row r="9797" spans="15:20">
      <c r="O9797" s="247"/>
      <c r="P9797"/>
      <c r="Q9797" s="224"/>
      <c r="S9797" s="202"/>
      <c r="T9797"/>
    </row>
    <row r="9798" spans="15:20">
      <c r="O9798" s="247"/>
      <c r="P9798"/>
      <c r="Q9798" s="224"/>
      <c r="S9798" s="202"/>
      <c r="T9798"/>
    </row>
    <row r="9799" spans="15:20">
      <c r="O9799" s="247"/>
      <c r="P9799"/>
      <c r="Q9799" s="224"/>
      <c r="S9799" s="202"/>
      <c r="T9799"/>
    </row>
    <row r="9800" spans="15:20">
      <c r="O9800" s="247"/>
      <c r="P9800"/>
      <c r="Q9800" s="224"/>
      <c r="S9800" s="202"/>
      <c r="T9800"/>
    </row>
    <row r="9801" spans="15:20">
      <c r="O9801" s="247"/>
      <c r="P9801"/>
      <c r="Q9801" s="224"/>
      <c r="S9801" s="202"/>
      <c r="T9801"/>
    </row>
    <row r="9802" spans="15:20">
      <c r="O9802" s="247"/>
      <c r="P9802"/>
      <c r="Q9802" s="224"/>
      <c r="S9802" s="202"/>
      <c r="T9802"/>
    </row>
    <row r="9803" spans="15:20">
      <c r="O9803" s="247"/>
      <c r="P9803"/>
      <c r="Q9803" s="224"/>
      <c r="S9803" s="202"/>
      <c r="T9803"/>
    </row>
    <row r="9804" spans="15:20">
      <c r="O9804" s="247"/>
      <c r="P9804"/>
      <c r="Q9804" s="224"/>
      <c r="S9804" s="202"/>
      <c r="T9804"/>
    </row>
    <row r="9805" spans="15:20">
      <c r="O9805" s="247"/>
      <c r="P9805"/>
      <c r="Q9805" s="224"/>
      <c r="S9805" s="202"/>
      <c r="T9805"/>
    </row>
    <row r="9806" spans="15:20">
      <c r="O9806" s="247"/>
      <c r="P9806"/>
      <c r="Q9806" s="224"/>
      <c r="S9806" s="202"/>
      <c r="T9806"/>
    </row>
    <row r="9807" spans="15:20">
      <c r="O9807" s="247"/>
      <c r="P9807"/>
      <c r="Q9807" s="224"/>
      <c r="S9807" s="202"/>
      <c r="T9807"/>
    </row>
    <row r="9808" spans="15:20">
      <c r="O9808" s="247"/>
      <c r="P9808"/>
      <c r="Q9808" s="224"/>
      <c r="S9808" s="202"/>
      <c r="T9808"/>
    </row>
    <row r="9809" spans="15:20">
      <c r="O9809" s="247"/>
      <c r="P9809"/>
      <c r="Q9809" s="224"/>
      <c r="S9809" s="202"/>
      <c r="T9809"/>
    </row>
    <row r="9810" spans="15:20">
      <c r="O9810" s="247"/>
      <c r="P9810"/>
      <c r="Q9810" s="224"/>
      <c r="S9810" s="202"/>
      <c r="T9810"/>
    </row>
    <row r="9811" spans="15:20">
      <c r="O9811" s="247"/>
      <c r="P9811"/>
      <c r="Q9811" s="224"/>
      <c r="S9811" s="202"/>
      <c r="T9811"/>
    </row>
    <row r="9812" spans="15:20">
      <c r="O9812" s="247"/>
      <c r="P9812"/>
      <c r="Q9812" s="224"/>
      <c r="S9812" s="202"/>
      <c r="T9812"/>
    </row>
    <row r="9813" spans="15:20">
      <c r="O9813" s="247"/>
      <c r="P9813"/>
      <c r="Q9813" s="224"/>
      <c r="S9813" s="202"/>
      <c r="T9813"/>
    </row>
    <row r="9814" spans="15:20">
      <c r="O9814" s="247"/>
      <c r="P9814"/>
      <c r="Q9814" s="224"/>
      <c r="S9814" s="202"/>
      <c r="T9814"/>
    </row>
    <row r="9815" spans="15:20">
      <c r="O9815" s="247"/>
      <c r="P9815"/>
      <c r="Q9815" s="224"/>
      <c r="S9815" s="202"/>
      <c r="T9815"/>
    </row>
    <row r="9816" spans="15:20">
      <c r="O9816" s="247"/>
      <c r="P9816"/>
      <c r="Q9816" s="224"/>
      <c r="S9816" s="202"/>
      <c r="T9816"/>
    </row>
    <row r="9817" spans="15:20">
      <c r="O9817" s="247"/>
      <c r="P9817"/>
      <c r="Q9817" s="224"/>
      <c r="S9817" s="202"/>
      <c r="T9817"/>
    </row>
    <row r="9818" spans="15:20">
      <c r="O9818" s="247"/>
      <c r="P9818"/>
      <c r="Q9818" s="224"/>
      <c r="S9818" s="202"/>
      <c r="T9818"/>
    </row>
    <row r="9819" spans="15:20">
      <c r="O9819" s="247"/>
      <c r="P9819"/>
      <c r="Q9819" s="224"/>
      <c r="S9819" s="202"/>
      <c r="T9819"/>
    </row>
    <row r="9820" spans="15:20">
      <c r="O9820" s="247"/>
      <c r="P9820"/>
      <c r="Q9820" s="224"/>
      <c r="S9820" s="202"/>
      <c r="T9820"/>
    </row>
    <row r="9821" spans="15:20">
      <c r="O9821" s="247"/>
      <c r="P9821"/>
      <c r="Q9821" s="224"/>
      <c r="S9821" s="202"/>
      <c r="T9821"/>
    </row>
    <row r="9822" spans="15:20">
      <c r="O9822" s="247"/>
      <c r="P9822"/>
      <c r="Q9822" s="224"/>
      <c r="S9822" s="202"/>
      <c r="T9822"/>
    </row>
    <row r="9823" spans="15:20">
      <c r="O9823" s="247"/>
      <c r="P9823"/>
      <c r="Q9823" s="224"/>
      <c r="S9823" s="202"/>
      <c r="T9823"/>
    </row>
    <row r="9824" spans="15:20">
      <c r="O9824" s="247"/>
      <c r="P9824"/>
      <c r="Q9824" s="224"/>
      <c r="S9824" s="202"/>
      <c r="T9824"/>
    </row>
    <row r="9825" spans="15:20">
      <c r="O9825" s="247"/>
      <c r="P9825"/>
      <c r="Q9825" s="224"/>
      <c r="S9825" s="202"/>
      <c r="T9825"/>
    </row>
    <row r="9826" spans="15:20">
      <c r="O9826" s="247"/>
      <c r="P9826"/>
      <c r="Q9826" s="224"/>
      <c r="S9826" s="202"/>
      <c r="T9826"/>
    </row>
    <row r="9827" spans="15:20">
      <c r="O9827" s="247"/>
      <c r="P9827"/>
      <c r="Q9827" s="224"/>
      <c r="S9827" s="202"/>
      <c r="T9827"/>
    </row>
    <row r="9828" spans="15:20">
      <c r="O9828" s="247"/>
      <c r="P9828"/>
      <c r="Q9828" s="224"/>
      <c r="S9828" s="202"/>
      <c r="T9828"/>
    </row>
    <row r="9829" spans="15:20">
      <c r="O9829" s="247"/>
      <c r="P9829"/>
      <c r="Q9829" s="224"/>
      <c r="S9829" s="202"/>
      <c r="T9829"/>
    </row>
    <row r="9830" spans="15:20">
      <c r="O9830" s="247"/>
      <c r="P9830"/>
      <c r="Q9830" s="224"/>
      <c r="S9830" s="202"/>
      <c r="T9830"/>
    </row>
    <row r="9831" spans="15:20">
      <c r="O9831" s="247"/>
      <c r="P9831"/>
      <c r="Q9831" s="224"/>
      <c r="S9831" s="202"/>
      <c r="T9831"/>
    </row>
    <row r="9832" spans="15:20">
      <c r="O9832" s="247"/>
      <c r="P9832"/>
      <c r="Q9832" s="224"/>
      <c r="S9832" s="202"/>
      <c r="T9832"/>
    </row>
    <row r="9833" spans="15:20">
      <c r="O9833" s="247"/>
      <c r="P9833"/>
      <c r="Q9833" s="224"/>
      <c r="S9833" s="202"/>
      <c r="T9833"/>
    </row>
    <row r="9834" spans="15:20">
      <c r="O9834" s="247"/>
      <c r="P9834"/>
      <c r="Q9834" s="224"/>
      <c r="S9834" s="202"/>
      <c r="T9834"/>
    </row>
    <row r="9835" spans="15:20">
      <c r="O9835" s="247"/>
      <c r="P9835"/>
      <c r="Q9835" s="224"/>
      <c r="S9835" s="202"/>
      <c r="T9835"/>
    </row>
    <row r="9836" spans="15:20">
      <c r="O9836" s="247"/>
      <c r="P9836"/>
      <c r="Q9836" s="224"/>
      <c r="S9836" s="202"/>
      <c r="T9836"/>
    </row>
    <row r="9837" spans="15:20">
      <c r="O9837" s="247"/>
      <c r="P9837"/>
      <c r="Q9837" s="224"/>
      <c r="S9837" s="202"/>
      <c r="T9837"/>
    </row>
    <row r="9838" spans="15:20">
      <c r="O9838" s="247"/>
      <c r="P9838"/>
      <c r="Q9838" s="224"/>
      <c r="S9838" s="202"/>
      <c r="T9838"/>
    </row>
    <row r="9839" spans="15:20">
      <c r="O9839" s="247"/>
      <c r="P9839"/>
      <c r="Q9839" s="224"/>
      <c r="S9839" s="202"/>
      <c r="T9839"/>
    </row>
    <row r="9840" spans="15:20">
      <c r="O9840" s="247"/>
      <c r="P9840"/>
      <c r="Q9840" s="224"/>
      <c r="S9840" s="202"/>
      <c r="T9840"/>
    </row>
    <row r="9841" spans="15:20">
      <c r="O9841" s="247"/>
      <c r="P9841"/>
      <c r="Q9841" s="224"/>
      <c r="S9841" s="202"/>
      <c r="T9841"/>
    </row>
    <row r="9842" spans="15:20">
      <c r="O9842" s="247"/>
      <c r="P9842"/>
      <c r="Q9842" s="224"/>
      <c r="S9842" s="202"/>
      <c r="T9842"/>
    </row>
    <row r="9843" spans="15:20">
      <c r="O9843" s="247"/>
      <c r="P9843"/>
      <c r="Q9843" s="224"/>
      <c r="S9843" s="202"/>
      <c r="T9843"/>
    </row>
    <row r="9844" spans="15:20">
      <c r="O9844" s="247"/>
      <c r="P9844"/>
      <c r="Q9844" s="224"/>
      <c r="S9844" s="202"/>
      <c r="T9844"/>
    </row>
    <row r="9845" spans="15:20">
      <c r="O9845" s="247"/>
      <c r="P9845"/>
      <c r="Q9845" s="224"/>
      <c r="S9845" s="202"/>
      <c r="T9845"/>
    </row>
    <row r="9846" spans="15:20">
      <c r="O9846" s="247"/>
      <c r="P9846"/>
      <c r="Q9846" s="224"/>
      <c r="S9846" s="202"/>
      <c r="T9846"/>
    </row>
    <row r="9847" spans="15:20">
      <c r="O9847" s="247"/>
      <c r="P9847"/>
      <c r="Q9847" s="224"/>
      <c r="S9847" s="202"/>
      <c r="T9847"/>
    </row>
    <row r="9848" spans="15:20">
      <c r="O9848" s="247"/>
      <c r="P9848"/>
      <c r="Q9848" s="224"/>
      <c r="S9848" s="202"/>
      <c r="T9848"/>
    </row>
    <row r="9849" spans="15:20">
      <c r="O9849" s="247"/>
      <c r="P9849"/>
      <c r="Q9849" s="224"/>
      <c r="S9849" s="202"/>
      <c r="T9849"/>
    </row>
    <row r="9850" spans="15:20">
      <c r="O9850" s="247"/>
      <c r="P9850"/>
      <c r="Q9850" s="224"/>
      <c r="S9850" s="202"/>
      <c r="T9850"/>
    </row>
    <row r="9851" spans="15:20">
      <c r="O9851" s="247"/>
      <c r="P9851"/>
      <c r="Q9851" s="224"/>
      <c r="S9851" s="202"/>
      <c r="T9851"/>
    </row>
    <row r="9852" spans="15:20">
      <c r="O9852" s="247"/>
      <c r="P9852"/>
      <c r="Q9852" s="224"/>
      <c r="S9852" s="202"/>
      <c r="T9852"/>
    </row>
    <row r="9853" spans="15:20">
      <c r="O9853" s="247"/>
      <c r="P9853"/>
      <c r="Q9853" s="224"/>
      <c r="S9853" s="202"/>
      <c r="T9853"/>
    </row>
    <row r="9854" spans="15:20">
      <c r="O9854" s="247"/>
      <c r="P9854"/>
      <c r="Q9854" s="224"/>
      <c r="S9854" s="202"/>
      <c r="T9854"/>
    </row>
    <row r="9855" spans="15:20">
      <c r="O9855" s="247"/>
      <c r="P9855"/>
      <c r="Q9855" s="224"/>
      <c r="S9855" s="202"/>
      <c r="T9855"/>
    </row>
    <row r="9856" spans="15:20">
      <c r="O9856" s="247"/>
      <c r="P9856"/>
      <c r="Q9856" s="224"/>
      <c r="S9856" s="202"/>
      <c r="T9856"/>
    </row>
    <row r="9857" spans="15:20">
      <c r="O9857" s="247"/>
      <c r="P9857"/>
      <c r="Q9857" s="224"/>
      <c r="S9857" s="202"/>
      <c r="T9857"/>
    </row>
    <row r="9858" spans="15:20">
      <c r="O9858" s="247"/>
      <c r="P9858"/>
      <c r="Q9858" s="224"/>
      <c r="S9858" s="202"/>
      <c r="T9858"/>
    </row>
    <row r="9859" spans="15:20">
      <c r="O9859" s="247"/>
      <c r="P9859"/>
      <c r="Q9859" s="224"/>
      <c r="S9859" s="202"/>
      <c r="T9859"/>
    </row>
    <row r="9860" spans="15:20">
      <c r="O9860" s="247"/>
      <c r="P9860"/>
      <c r="Q9860" s="224"/>
      <c r="S9860" s="202"/>
      <c r="T9860"/>
    </row>
    <row r="9861" spans="15:20">
      <c r="O9861" s="247"/>
      <c r="P9861"/>
      <c r="Q9861" s="224"/>
      <c r="S9861" s="202"/>
      <c r="T9861"/>
    </row>
    <row r="9862" spans="15:20">
      <c r="O9862" s="247"/>
      <c r="P9862"/>
      <c r="Q9862" s="224"/>
      <c r="S9862" s="202"/>
      <c r="T9862"/>
    </row>
    <row r="9863" spans="15:20">
      <c r="O9863" s="247"/>
      <c r="P9863"/>
      <c r="Q9863" s="224"/>
      <c r="S9863" s="202"/>
      <c r="T9863"/>
    </row>
    <row r="9864" spans="15:20">
      <c r="O9864" s="247"/>
      <c r="P9864"/>
      <c r="Q9864" s="224"/>
      <c r="S9864" s="202"/>
      <c r="T9864"/>
    </row>
    <row r="9865" spans="15:20">
      <c r="O9865" s="247"/>
      <c r="P9865"/>
      <c r="Q9865" s="224"/>
      <c r="S9865" s="202"/>
      <c r="T9865"/>
    </row>
    <row r="9866" spans="15:20">
      <c r="O9866" s="247"/>
      <c r="P9866"/>
      <c r="Q9866" s="224"/>
      <c r="S9866" s="202"/>
      <c r="T9866"/>
    </row>
    <row r="9867" spans="15:20">
      <c r="O9867" s="247"/>
      <c r="P9867"/>
      <c r="Q9867" s="224"/>
      <c r="S9867" s="202"/>
      <c r="T9867"/>
    </row>
    <row r="9868" spans="15:20">
      <c r="O9868" s="247"/>
      <c r="P9868"/>
      <c r="Q9868" s="224"/>
      <c r="S9868" s="202"/>
      <c r="T9868"/>
    </row>
    <row r="9869" spans="15:20">
      <c r="O9869" s="247"/>
      <c r="P9869"/>
      <c r="Q9869" s="224"/>
      <c r="S9869" s="202"/>
      <c r="T9869"/>
    </row>
    <row r="9870" spans="15:20">
      <c r="O9870" s="247"/>
      <c r="P9870"/>
      <c r="Q9870" s="224"/>
      <c r="S9870" s="202"/>
      <c r="T9870"/>
    </row>
    <row r="9871" spans="15:20">
      <c r="O9871" s="247"/>
      <c r="P9871"/>
      <c r="Q9871" s="224"/>
      <c r="S9871" s="202"/>
      <c r="T9871"/>
    </row>
    <row r="9872" spans="15:20">
      <c r="O9872" s="247"/>
      <c r="P9872"/>
      <c r="Q9872" s="224"/>
      <c r="S9872" s="202"/>
      <c r="T9872"/>
    </row>
    <row r="9873" spans="15:20">
      <c r="O9873" s="247"/>
      <c r="P9873"/>
      <c r="Q9873" s="224"/>
      <c r="S9873" s="202"/>
      <c r="T9873"/>
    </row>
    <row r="9874" spans="15:20">
      <c r="O9874" s="247"/>
      <c r="P9874"/>
      <c r="Q9874" s="224"/>
      <c r="S9874" s="202"/>
      <c r="T9874"/>
    </row>
    <row r="9875" spans="15:20">
      <c r="O9875" s="247"/>
      <c r="P9875"/>
      <c r="Q9875" s="224"/>
      <c r="S9875" s="202"/>
      <c r="T9875"/>
    </row>
    <row r="9876" spans="15:20">
      <c r="O9876" s="247"/>
      <c r="P9876"/>
      <c r="Q9876" s="224"/>
      <c r="S9876" s="202"/>
      <c r="T9876"/>
    </row>
    <row r="9877" spans="15:20">
      <c r="O9877" s="247"/>
      <c r="P9877"/>
      <c r="Q9877" s="224"/>
      <c r="S9877" s="202"/>
      <c r="T9877"/>
    </row>
    <row r="9878" spans="15:20">
      <c r="O9878" s="247"/>
      <c r="P9878"/>
      <c r="Q9878" s="224"/>
      <c r="S9878" s="202"/>
      <c r="T9878"/>
    </row>
    <row r="9879" spans="15:20">
      <c r="O9879" s="247"/>
      <c r="P9879"/>
      <c r="Q9879" s="224"/>
      <c r="S9879" s="202"/>
      <c r="T9879"/>
    </row>
    <row r="9880" spans="15:20">
      <c r="O9880" s="247"/>
      <c r="P9880"/>
      <c r="Q9880" s="224"/>
      <c r="S9880" s="202"/>
      <c r="T9880"/>
    </row>
    <row r="9881" spans="15:20">
      <c r="O9881" s="247"/>
      <c r="P9881"/>
      <c r="Q9881" s="224"/>
      <c r="S9881" s="202"/>
      <c r="T9881"/>
    </row>
    <row r="9882" spans="15:20">
      <c r="O9882" s="247"/>
      <c r="P9882"/>
      <c r="Q9882" s="224"/>
      <c r="S9882" s="202"/>
      <c r="T9882"/>
    </row>
    <row r="9883" spans="15:20">
      <c r="O9883" s="247"/>
      <c r="P9883"/>
      <c r="Q9883" s="224"/>
      <c r="S9883" s="202"/>
      <c r="T9883"/>
    </row>
    <row r="9884" spans="15:20">
      <c r="O9884" s="247"/>
      <c r="P9884"/>
      <c r="Q9884" s="224"/>
      <c r="S9884" s="202"/>
      <c r="T9884"/>
    </row>
    <row r="9885" spans="15:20">
      <c r="O9885" s="247"/>
      <c r="P9885"/>
      <c r="Q9885" s="224"/>
      <c r="S9885" s="202"/>
      <c r="T9885"/>
    </row>
    <row r="9886" spans="15:20">
      <c r="O9886" s="247"/>
      <c r="P9886"/>
      <c r="Q9886" s="224"/>
      <c r="S9886" s="202"/>
      <c r="T9886"/>
    </row>
    <row r="9887" spans="15:20">
      <c r="O9887" s="247"/>
      <c r="P9887"/>
      <c r="Q9887" s="224"/>
      <c r="S9887" s="202"/>
      <c r="T9887"/>
    </row>
    <row r="9888" spans="15:20">
      <c r="O9888" s="247"/>
      <c r="P9888"/>
      <c r="Q9888" s="224"/>
      <c r="S9888" s="202"/>
      <c r="T9888"/>
    </row>
    <row r="9889" spans="15:20">
      <c r="O9889" s="247"/>
      <c r="P9889"/>
      <c r="Q9889" s="224"/>
      <c r="S9889" s="202"/>
      <c r="T9889"/>
    </row>
    <row r="9890" spans="15:20">
      <c r="O9890" s="247"/>
      <c r="P9890"/>
      <c r="Q9890" s="224"/>
      <c r="S9890" s="202"/>
      <c r="T9890"/>
    </row>
    <row r="9891" spans="15:20">
      <c r="O9891" s="247"/>
      <c r="P9891"/>
      <c r="Q9891" s="224"/>
      <c r="S9891" s="202"/>
      <c r="T9891"/>
    </row>
    <row r="9892" spans="15:20">
      <c r="O9892" s="247"/>
      <c r="P9892"/>
      <c r="Q9892" s="224"/>
      <c r="S9892" s="202"/>
      <c r="T9892"/>
    </row>
    <row r="9893" spans="15:20">
      <c r="O9893" s="247"/>
      <c r="P9893"/>
      <c r="Q9893" s="224"/>
      <c r="S9893" s="202"/>
      <c r="T9893"/>
    </row>
    <row r="9894" spans="15:20">
      <c r="O9894" s="247"/>
      <c r="P9894"/>
      <c r="Q9894" s="224"/>
      <c r="S9894" s="202"/>
      <c r="T9894"/>
    </row>
    <row r="9895" spans="15:20">
      <c r="O9895" s="247"/>
      <c r="P9895"/>
      <c r="Q9895" s="224"/>
      <c r="S9895" s="202"/>
      <c r="T9895"/>
    </row>
    <row r="9896" spans="15:20">
      <c r="O9896" s="247"/>
      <c r="P9896"/>
      <c r="Q9896" s="224"/>
      <c r="S9896" s="202"/>
      <c r="T9896"/>
    </row>
    <row r="9897" spans="15:20">
      <c r="O9897" s="247"/>
      <c r="P9897"/>
      <c r="Q9897" s="224"/>
      <c r="S9897" s="202"/>
      <c r="T9897"/>
    </row>
    <row r="9898" spans="15:20">
      <c r="O9898" s="247"/>
      <c r="P9898"/>
      <c r="Q9898" s="224"/>
      <c r="S9898" s="202"/>
      <c r="T9898"/>
    </row>
    <row r="9899" spans="15:20">
      <c r="O9899" s="247"/>
      <c r="P9899"/>
      <c r="Q9899" s="224"/>
      <c r="S9899" s="202"/>
      <c r="T9899"/>
    </row>
    <row r="9900" spans="15:20">
      <c r="O9900" s="247"/>
      <c r="P9900"/>
      <c r="Q9900" s="224"/>
      <c r="S9900" s="202"/>
      <c r="T9900"/>
    </row>
    <row r="9901" spans="15:20">
      <c r="O9901" s="247"/>
      <c r="P9901"/>
      <c r="Q9901" s="224"/>
      <c r="S9901" s="202"/>
      <c r="T9901"/>
    </row>
    <row r="9902" spans="15:20">
      <c r="O9902" s="247"/>
      <c r="P9902"/>
      <c r="Q9902" s="224"/>
      <c r="S9902" s="202"/>
      <c r="T9902"/>
    </row>
    <row r="9903" spans="15:20">
      <c r="O9903" s="247"/>
      <c r="P9903"/>
      <c r="Q9903" s="224"/>
      <c r="S9903" s="202"/>
      <c r="T9903"/>
    </row>
    <row r="9904" spans="15:20">
      <c r="O9904" s="247"/>
      <c r="P9904"/>
      <c r="Q9904" s="224"/>
      <c r="S9904" s="202"/>
      <c r="T9904"/>
    </row>
    <row r="9905" spans="15:20">
      <c r="O9905" s="247"/>
      <c r="P9905"/>
      <c r="Q9905" s="224"/>
      <c r="S9905" s="202"/>
      <c r="T9905"/>
    </row>
    <row r="9906" spans="15:20">
      <c r="O9906" s="247"/>
      <c r="P9906"/>
      <c r="Q9906" s="224"/>
      <c r="S9906" s="202"/>
      <c r="T9906"/>
    </row>
    <row r="9907" spans="15:20">
      <c r="O9907" s="247"/>
      <c r="P9907"/>
      <c r="Q9907" s="224"/>
      <c r="S9907" s="202"/>
      <c r="T9907"/>
    </row>
    <row r="9908" spans="15:20">
      <c r="O9908" s="247"/>
      <c r="P9908"/>
      <c r="Q9908" s="224"/>
      <c r="S9908" s="202"/>
      <c r="T9908"/>
    </row>
    <row r="9909" spans="15:20">
      <c r="O9909" s="247"/>
      <c r="P9909"/>
      <c r="Q9909" s="224"/>
      <c r="S9909" s="202"/>
      <c r="T9909"/>
    </row>
    <row r="9910" spans="15:20">
      <c r="O9910" s="247"/>
      <c r="P9910"/>
      <c r="Q9910" s="224"/>
      <c r="S9910" s="202"/>
      <c r="T9910"/>
    </row>
    <row r="9911" spans="15:20">
      <c r="O9911" s="247"/>
      <c r="P9911"/>
      <c r="Q9911" s="224"/>
      <c r="S9911" s="202"/>
      <c r="T9911"/>
    </row>
    <row r="9912" spans="15:20">
      <c r="O9912" s="247"/>
      <c r="P9912"/>
      <c r="Q9912" s="224"/>
      <c r="S9912" s="202"/>
      <c r="T9912"/>
    </row>
    <row r="9913" spans="15:20">
      <c r="O9913" s="247"/>
      <c r="P9913"/>
      <c r="Q9913" s="224"/>
      <c r="S9913" s="202"/>
      <c r="T9913"/>
    </row>
    <row r="9914" spans="15:20">
      <c r="O9914" s="247"/>
      <c r="P9914"/>
      <c r="Q9914" s="224"/>
      <c r="S9914" s="202"/>
      <c r="T9914"/>
    </row>
    <row r="9915" spans="15:20">
      <c r="O9915" s="247"/>
      <c r="P9915"/>
      <c r="Q9915" s="224"/>
      <c r="S9915" s="202"/>
      <c r="T9915"/>
    </row>
    <row r="9916" spans="15:20">
      <c r="O9916" s="247"/>
      <c r="P9916"/>
      <c r="Q9916" s="224"/>
      <c r="S9916" s="202"/>
      <c r="T9916"/>
    </row>
    <row r="9917" spans="15:20">
      <c r="O9917" s="247"/>
      <c r="P9917"/>
      <c r="Q9917" s="224"/>
      <c r="S9917" s="202"/>
      <c r="T9917"/>
    </row>
    <row r="9918" spans="15:20">
      <c r="O9918" s="247"/>
      <c r="P9918"/>
      <c r="Q9918" s="224"/>
      <c r="S9918" s="202"/>
      <c r="T9918"/>
    </row>
    <row r="9919" spans="15:20">
      <c r="O9919" s="247"/>
      <c r="P9919"/>
      <c r="Q9919" s="224"/>
      <c r="S9919" s="202"/>
      <c r="T9919"/>
    </row>
    <row r="9920" spans="15:20">
      <c r="O9920" s="247"/>
      <c r="P9920"/>
      <c r="Q9920" s="224"/>
      <c r="S9920" s="202"/>
      <c r="T9920"/>
    </row>
    <row r="9921" spans="15:20">
      <c r="O9921" s="247"/>
      <c r="P9921"/>
      <c r="Q9921" s="224"/>
      <c r="S9921" s="202"/>
      <c r="T9921"/>
    </row>
    <row r="9922" spans="15:20">
      <c r="O9922" s="247"/>
      <c r="P9922"/>
      <c r="Q9922" s="224"/>
      <c r="S9922" s="202"/>
      <c r="T9922"/>
    </row>
    <row r="9923" spans="15:20">
      <c r="O9923" s="247"/>
      <c r="P9923"/>
      <c r="Q9923" s="224"/>
      <c r="S9923" s="202"/>
      <c r="T9923"/>
    </row>
    <row r="9924" spans="15:20">
      <c r="O9924" s="247"/>
      <c r="P9924"/>
      <c r="Q9924" s="224"/>
      <c r="S9924" s="202"/>
      <c r="T9924"/>
    </row>
    <row r="9925" spans="15:20">
      <c r="O9925" s="247"/>
      <c r="P9925"/>
      <c r="Q9925" s="224"/>
      <c r="S9925" s="202"/>
      <c r="T9925"/>
    </row>
    <row r="9926" spans="15:20">
      <c r="O9926" s="247"/>
      <c r="P9926"/>
      <c r="Q9926" s="224"/>
      <c r="S9926" s="202"/>
      <c r="T9926"/>
    </row>
    <row r="9927" spans="15:20">
      <c r="O9927" s="247"/>
      <c r="P9927"/>
      <c r="Q9927" s="224"/>
      <c r="S9927" s="202"/>
      <c r="T9927"/>
    </row>
    <row r="9928" spans="15:20">
      <c r="O9928" s="247"/>
      <c r="P9928"/>
      <c r="Q9928" s="224"/>
      <c r="S9928" s="202"/>
      <c r="T9928"/>
    </row>
    <row r="9929" spans="15:20">
      <c r="O9929" s="247"/>
      <c r="P9929"/>
      <c r="Q9929" s="224"/>
      <c r="S9929" s="202"/>
      <c r="T9929"/>
    </row>
    <row r="9930" spans="15:20">
      <c r="O9930" s="247"/>
      <c r="P9930"/>
      <c r="Q9930" s="224"/>
      <c r="S9930" s="202"/>
      <c r="T9930"/>
    </row>
    <row r="9931" spans="15:20">
      <c r="O9931" s="247"/>
      <c r="P9931"/>
      <c r="Q9931" s="224"/>
      <c r="S9931" s="202"/>
      <c r="T9931"/>
    </row>
    <row r="9932" spans="15:20">
      <c r="O9932" s="247"/>
      <c r="P9932"/>
      <c r="Q9932" s="224"/>
      <c r="S9932" s="202"/>
      <c r="T9932"/>
    </row>
    <row r="9933" spans="15:20">
      <c r="O9933" s="247"/>
      <c r="P9933"/>
      <c r="Q9933" s="224"/>
      <c r="S9933" s="202"/>
      <c r="T9933"/>
    </row>
    <row r="9934" spans="15:20">
      <c r="O9934" s="247"/>
      <c r="P9934"/>
      <c r="Q9934" s="224"/>
      <c r="S9934" s="202"/>
      <c r="T9934"/>
    </row>
    <row r="9935" spans="15:20">
      <c r="O9935" s="247"/>
      <c r="P9935"/>
      <c r="Q9935" s="224"/>
      <c r="S9935" s="202"/>
      <c r="T9935"/>
    </row>
    <row r="9936" spans="15:20">
      <c r="O9936" s="247"/>
      <c r="P9936"/>
      <c r="Q9936" s="224"/>
      <c r="S9936" s="202"/>
      <c r="T9936"/>
    </row>
    <row r="9937" spans="15:20">
      <c r="O9937" s="247"/>
      <c r="P9937"/>
      <c r="Q9937" s="224"/>
      <c r="S9937" s="202"/>
      <c r="T9937"/>
    </row>
    <row r="9938" spans="15:20">
      <c r="O9938" s="247"/>
      <c r="P9938"/>
      <c r="Q9938" s="224"/>
      <c r="S9938" s="202"/>
      <c r="T9938"/>
    </row>
    <row r="9939" spans="15:20">
      <c r="O9939" s="247"/>
      <c r="P9939"/>
      <c r="Q9939" s="224"/>
      <c r="S9939" s="202"/>
      <c r="T9939"/>
    </row>
    <row r="9940" spans="15:20">
      <c r="O9940" s="247"/>
      <c r="P9940"/>
      <c r="Q9940" s="224"/>
      <c r="S9940" s="202"/>
      <c r="T9940"/>
    </row>
    <row r="9941" spans="15:20">
      <c r="O9941" s="247"/>
      <c r="P9941"/>
      <c r="Q9941" s="224"/>
      <c r="S9941" s="202"/>
      <c r="T9941"/>
    </row>
    <row r="9942" spans="15:20">
      <c r="O9942" s="247"/>
      <c r="P9942"/>
      <c r="Q9942" s="224"/>
      <c r="S9942" s="202"/>
      <c r="T9942"/>
    </row>
    <row r="9943" spans="15:20">
      <c r="O9943" s="247"/>
      <c r="P9943"/>
      <c r="Q9943" s="224"/>
      <c r="S9943" s="202"/>
      <c r="T9943"/>
    </row>
    <row r="9944" spans="15:20">
      <c r="O9944" s="247"/>
      <c r="P9944"/>
      <c r="Q9944" s="224"/>
      <c r="S9944" s="202"/>
      <c r="T9944"/>
    </row>
    <row r="9945" spans="15:20">
      <c r="O9945" s="247"/>
      <c r="P9945"/>
      <c r="Q9945" s="224"/>
      <c r="S9945" s="202"/>
      <c r="T9945"/>
    </row>
    <row r="9946" spans="15:20">
      <c r="O9946" s="247"/>
      <c r="P9946"/>
      <c r="Q9946" s="224"/>
      <c r="S9946" s="202"/>
      <c r="T9946"/>
    </row>
    <row r="9947" spans="15:20">
      <c r="O9947" s="247"/>
      <c r="P9947"/>
      <c r="Q9947" s="224"/>
      <c r="S9947" s="202"/>
      <c r="T9947"/>
    </row>
    <row r="9948" spans="15:20">
      <c r="O9948" s="247"/>
      <c r="P9948"/>
      <c r="Q9948" s="224"/>
      <c r="S9948" s="202"/>
      <c r="T9948"/>
    </row>
    <row r="9949" spans="15:20">
      <c r="O9949" s="247"/>
      <c r="P9949"/>
      <c r="Q9949" s="224"/>
      <c r="S9949" s="202"/>
      <c r="T9949"/>
    </row>
    <row r="9950" spans="15:20">
      <c r="O9950" s="247"/>
      <c r="P9950"/>
      <c r="Q9950" s="224"/>
      <c r="S9950" s="202"/>
      <c r="T9950"/>
    </row>
    <row r="9951" spans="15:20">
      <c r="O9951" s="247"/>
      <c r="P9951"/>
      <c r="Q9951" s="224"/>
      <c r="S9951" s="202"/>
      <c r="T9951"/>
    </row>
    <row r="9952" spans="15:20">
      <c r="O9952" s="247"/>
      <c r="P9952"/>
      <c r="Q9952" s="224"/>
      <c r="S9952" s="202"/>
      <c r="T9952"/>
    </row>
    <row r="9953" spans="15:20">
      <c r="O9953" s="247"/>
      <c r="P9953"/>
      <c r="Q9953" s="224"/>
      <c r="S9953" s="202"/>
      <c r="T9953"/>
    </row>
    <row r="9954" spans="15:20">
      <c r="O9954" s="247"/>
      <c r="P9954"/>
      <c r="Q9954" s="224"/>
      <c r="S9954" s="202"/>
      <c r="T9954"/>
    </row>
    <row r="9955" spans="15:20">
      <c r="O9955" s="247"/>
      <c r="P9955"/>
      <c r="Q9955" s="224"/>
      <c r="S9955" s="202"/>
      <c r="T9955"/>
    </row>
    <row r="9956" spans="15:20">
      <c r="O9956" s="247"/>
      <c r="P9956"/>
      <c r="Q9956" s="224"/>
      <c r="S9956" s="202"/>
      <c r="T9956"/>
    </row>
    <row r="9957" spans="15:20">
      <c r="O9957" s="247"/>
      <c r="P9957"/>
      <c r="Q9957" s="224"/>
      <c r="S9957" s="202"/>
      <c r="T9957"/>
    </row>
    <row r="9958" spans="15:20">
      <c r="O9958" s="247"/>
      <c r="P9958"/>
      <c r="Q9958" s="224"/>
      <c r="S9958" s="202"/>
      <c r="T9958"/>
    </row>
    <row r="9959" spans="15:20">
      <c r="O9959" s="247"/>
      <c r="P9959"/>
      <c r="Q9959" s="224"/>
      <c r="S9959" s="202"/>
      <c r="T9959"/>
    </row>
    <row r="9960" spans="15:20">
      <c r="O9960" s="247"/>
      <c r="P9960"/>
      <c r="Q9960" s="224"/>
      <c r="S9960" s="202"/>
      <c r="T9960"/>
    </row>
    <row r="9961" spans="15:20">
      <c r="O9961" s="247"/>
      <c r="P9961"/>
      <c r="Q9961" s="224"/>
      <c r="S9961" s="202"/>
      <c r="T9961"/>
    </row>
    <row r="9962" spans="15:20">
      <c r="O9962" s="247"/>
      <c r="P9962"/>
      <c r="Q9962" s="224"/>
      <c r="S9962" s="202"/>
      <c r="T9962"/>
    </row>
    <row r="9963" spans="15:20">
      <c r="O9963" s="247"/>
      <c r="P9963"/>
      <c r="Q9963" s="224"/>
      <c r="S9963" s="202"/>
      <c r="T9963"/>
    </row>
    <row r="9964" spans="15:20">
      <c r="O9964" s="247"/>
      <c r="P9964"/>
      <c r="Q9964" s="224"/>
      <c r="S9964" s="202"/>
      <c r="T9964"/>
    </row>
    <row r="9965" spans="15:20">
      <c r="O9965" s="247"/>
      <c r="P9965"/>
      <c r="Q9965" s="224"/>
      <c r="S9965" s="202"/>
      <c r="T9965"/>
    </row>
    <row r="9966" spans="15:20">
      <c r="O9966" s="247"/>
      <c r="P9966"/>
      <c r="Q9966" s="224"/>
      <c r="S9966" s="202"/>
      <c r="T9966"/>
    </row>
    <row r="9967" spans="15:20">
      <c r="O9967" s="247"/>
      <c r="P9967"/>
      <c r="Q9967" s="224"/>
      <c r="S9967" s="202"/>
      <c r="T9967"/>
    </row>
    <row r="9968" spans="15:20">
      <c r="O9968" s="247"/>
      <c r="P9968"/>
      <c r="Q9968" s="224"/>
      <c r="S9968" s="202"/>
      <c r="T9968"/>
    </row>
    <row r="9969" spans="15:20">
      <c r="O9969" s="247"/>
      <c r="P9969"/>
      <c r="Q9969" s="224"/>
      <c r="S9969" s="202"/>
      <c r="T9969"/>
    </row>
    <row r="9970" spans="15:20">
      <c r="O9970" s="247"/>
      <c r="P9970"/>
      <c r="Q9970" s="224"/>
      <c r="S9970" s="202"/>
      <c r="T9970"/>
    </row>
    <row r="9971" spans="15:20">
      <c r="O9971" s="247"/>
      <c r="P9971"/>
      <c r="Q9971" s="224"/>
      <c r="S9971" s="202"/>
      <c r="T9971"/>
    </row>
    <row r="9972" spans="15:20">
      <c r="O9972" s="247"/>
      <c r="P9972"/>
      <c r="Q9972" s="224"/>
      <c r="S9972" s="202"/>
      <c r="T9972"/>
    </row>
    <row r="9973" spans="15:20">
      <c r="O9973" s="247"/>
      <c r="P9973"/>
      <c r="Q9973" s="224"/>
      <c r="S9973" s="202"/>
      <c r="T9973"/>
    </row>
    <row r="9974" spans="15:20">
      <c r="O9974" s="247"/>
      <c r="P9974"/>
      <c r="Q9974" s="224"/>
      <c r="S9974" s="202"/>
      <c r="T9974"/>
    </row>
    <row r="9975" spans="15:20">
      <c r="O9975" s="247"/>
      <c r="P9975"/>
      <c r="Q9975" s="224"/>
      <c r="S9975" s="202"/>
      <c r="T9975"/>
    </row>
    <row r="9976" spans="15:20">
      <c r="O9976" s="247"/>
      <c r="P9976"/>
      <c r="Q9976" s="224"/>
      <c r="S9976" s="202"/>
      <c r="T9976"/>
    </row>
    <row r="9977" spans="15:20">
      <c r="O9977" s="247"/>
      <c r="P9977"/>
      <c r="Q9977" s="224"/>
      <c r="S9977" s="202"/>
      <c r="T9977"/>
    </row>
    <row r="9978" spans="15:20">
      <c r="O9978" s="247"/>
      <c r="P9978"/>
      <c r="Q9978" s="224"/>
      <c r="S9978" s="202"/>
      <c r="T9978"/>
    </row>
    <row r="9979" spans="15:20">
      <c r="O9979" s="247"/>
      <c r="P9979"/>
      <c r="Q9979" s="224"/>
      <c r="S9979" s="202"/>
      <c r="T9979"/>
    </row>
    <row r="9980" spans="15:20">
      <c r="O9980" s="247"/>
      <c r="P9980"/>
      <c r="Q9980" s="224"/>
      <c r="S9980" s="202"/>
      <c r="T9980"/>
    </row>
    <row r="9981" spans="15:20">
      <c r="O9981" s="247"/>
      <c r="P9981"/>
      <c r="Q9981" s="224"/>
      <c r="S9981" s="202"/>
      <c r="T9981"/>
    </row>
    <row r="9982" spans="15:20">
      <c r="O9982" s="247"/>
      <c r="P9982"/>
      <c r="Q9982" s="224"/>
      <c r="S9982" s="202"/>
      <c r="T9982"/>
    </row>
    <row r="9983" spans="15:20">
      <c r="O9983" s="247"/>
      <c r="P9983"/>
      <c r="Q9983" s="224"/>
      <c r="S9983" s="202"/>
      <c r="T9983"/>
    </row>
    <row r="9984" spans="15:20">
      <c r="O9984" s="247"/>
      <c r="P9984"/>
      <c r="Q9984" s="224"/>
      <c r="S9984" s="202"/>
      <c r="T9984"/>
    </row>
    <row r="9985" spans="15:20">
      <c r="O9985" s="247"/>
      <c r="P9985"/>
      <c r="Q9985" s="224"/>
      <c r="S9985" s="202"/>
      <c r="T9985"/>
    </row>
    <row r="9986" spans="15:20">
      <c r="O9986" s="247"/>
      <c r="P9986"/>
      <c r="Q9986" s="224"/>
      <c r="S9986" s="202"/>
      <c r="T9986"/>
    </row>
    <row r="9987" spans="15:20">
      <c r="O9987" s="247"/>
      <c r="P9987"/>
      <c r="Q9987" s="224"/>
      <c r="S9987" s="202"/>
      <c r="T9987"/>
    </row>
    <row r="9988" spans="15:20">
      <c r="O9988" s="247"/>
      <c r="P9988"/>
      <c r="Q9988" s="224"/>
      <c r="S9988" s="202"/>
      <c r="T9988"/>
    </row>
    <row r="9989" spans="15:20">
      <c r="O9989" s="247"/>
      <c r="P9989"/>
      <c r="Q9989" s="224"/>
      <c r="S9989" s="202"/>
      <c r="T9989"/>
    </row>
    <row r="9990" spans="15:20">
      <c r="O9990" s="247"/>
      <c r="P9990"/>
      <c r="Q9990" s="224"/>
      <c r="S9990" s="202"/>
      <c r="T9990"/>
    </row>
    <row r="9991" spans="15:20">
      <c r="O9991" s="247"/>
      <c r="P9991"/>
      <c r="Q9991" s="224"/>
      <c r="S9991" s="202"/>
      <c r="T9991"/>
    </row>
    <row r="9992" spans="15:20">
      <c r="O9992" s="247"/>
      <c r="P9992"/>
      <c r="Q9992" s="224"/>
      <c r="S9992" s="202"/>
      <c r="T9992"/>
    </row>
    <row r="9993" spans="15:20">
      <c r="O9993" s="247"/>
      <c r="P9993"/>
      <c r="Q9993" s="224"/>
      <c r="S9993" s="202"/>
      <c r="T9993"/>
    </row>
    <row r="9994" spans="15:20">
      <c r="O9994" s="247"/>
      <c r="P9994"/>
      <c r="Q9994" s="224"/>
      <c r="S9994" s="202"/>
      <c r="T9994"/>
    </row>
    <row r="9995" spans="15:20">
      <c r="O9995" s="247"/>
      <c r="P9995"/>
      <c r="Q9995" s="224"/>
      <c r="S9995" s="202"/>
      <c r="T9995"/>
    </row>
    <row r="9996" spans="15:20">
      <c r="O9996" s="247"/>
      <c r="P9996"/>
      <c r="Q9996" s="224"/>
      <c r="S9996" s="202"/>
      <c r="T9996"/>
    </row>
    <row r="9997" spans="15:20">
      <c r="O9997" s="247"/>
      <c r="P9997"/>
      <c r="Q9997" s="224"/>
      <c r="S9997" s="202"/>
      <c r="T9997"/>
    </row>
    <row r="9998" spans="15:20">
      <c r="O9998" s="247"/>
      <c r="P9998"/>
      <c r="Q9998" s="224"/>
      <c r="S9998" s="202"/>
      <c r="T9998"/>
    </row>
    <row r="9999" spans="15:20">
      <c r="O9999" s="247"/>
      <c r="P9999"/>
      <c r="Q9999" s="224"/>
      <c r="S9999" s="202"/>
      <c r="T9999"/>
    </row>
    <row r="10000" spans="15:20">
      <c r="O10000" s="247"/>
      <c r="P10000"/>
      <c r="Q10000" s="224"/>
      <c r="S10000" s="202"/>
      <c r="T10000"/>
    </row>
    <row r="10001" spans="15:20">
      <c r="O10001" s="247"/>
      <c r="P10001"/>
      <c r="Q10001" s="224"/>
      <c r="S10001" s="202"/>
      <c r="T10001"/>
    </row>
    <row r="10002" spans="15:20">
      <c r="O10002" s="247"/>
      <c r="P10002"/>
      <c r="Q10002" s="224"/>
      <c r="S10002" s="202"/>
      <c r="T10002"/>
    </row>
    <row r="10003" spans="15:20">
      <c r="O10003" s="247"/>
      <c r="P10003"/>
      <c r="Q10003" s="224"/>
      <c r="S10003" s="202"/>
      <c r="T10003"/>
    </row>
    <row r="10004" spans="15:20">
      <c r="O10004" s="247"/>
      <c r="P10004"/>
      <c r="Q10004" s="224"/>
      <c r="S10004" s="202"/>
      <c r="T10004"/>
    </row>
    <row r="10005" spans="15:20">
      <c r="O10005" s="247"/>
      <c r="P10005"/>
      <c r="Q10005" s="224"/>
      <c r="S10005" s="202"/>
      <c r="T10005"/>
    </row>
    <row r="10006" spans="15:20">
      <c r="O10006" s="247"/>
      <c r="P10006"/>
      <c r="Q10006" s="224"/>
      <c r="S10006" s="202"/>
      <c r="T10006"/>
    </row>
    <row r="10007" spans="15:20">
      <c r="O10007" s="247"/>
      <c r="P10007"/>
      <c r="Q10007" s="224"/>
      <c r="S10007" s="202"/>
      <c r="T10007"/>
    </row>
    <row r="10008" spans="15:20">
      <c r="O10008" s="247"/>
      <c r="P10008"/>
      <c r="Q10008" s="224"/>
      <c r="S10008" s="202"/>
      <c r="T10008"/>
    </row>
    <row r="10009" spans="15:20">
      <c r="O10009" s="247"/>
      <c r="P10009"/>
      <c r="Q10009" s="224"/>
      <c r="S10009" s="202"/>
      <c r="T10009"/>
    </row>
    <row r="10010" spans="15:20">
      <c r="O10010" s="247"/>
      <c r="P10010"/>
      <c r="Q10010" s="224"/>
      <c r="S10010" s="202"/>
      <c r="T10010"/>
    </row>
    <row r="10011" spans="15:20">
      <c r="O10011" s="247"/>
      <c r="P10011"/>
      <c r="Q10011" s="224"/>
      <c r="S10011" s="202"/>
      <c r="T10011"/>
    </row>
    <row r="10012" spans="15:20">
      <c r="O10012" s="247"/>
      <c r="P10012"/>
      <c r="Q10012" s="224"/>
      <c r="S10012" s="202"/>
      <c r="T10012"/>
    </row>
    <row r="10013" spans="15:20">
      <c r="O10013" s="247"/>
      <c r="P10013"/>
      <c r="Q10013" s="224"/>
      <c r="S10013" s="202"/>
      <c r="T10013"/>
    </row>
    <row r="10014" spans="15:20">
      <c r="O10014" s="247"/>
      <c r="P10014"/>
      <c r="Q10014" s="224"/>
      <c r="S10014" s="202"/>
      <c r="T10014"/>
    </row>
    <row r="10015" spans="15:20">
      <c r="O10015" s="247"/>
      <c r="P10015"/>
      <c r="Q10015" s="224"/>
      <c r="S10015" s="202"/>
      <c r="T10015"/>
    </row>
    <row r="10016" spans="15:20">
      <c r="O10016" s="247"/>
      <c r="P10016"/>
      <c r="Q10016" s="224"/>
      <c r="S10016" s="202"/>
      <c r="T10016"/>
    </row>
    <row r="10017" spans="15:20">
      <c r="O10017" s="247"/>
      <c r="P10017"/>
      <c r="Q10017" s="224"/>
      <c r="S10017" s="202"/>
      <c r="T10017"/>
    </row>
    <row r="10018" spans="15:20">
      <c r="O10018" s="247"/>
      <c r="P10018"/>
      <c r="Q10018" s="224"/>
      <c r="S10018" s="202"/>
      <c r="T10018"/>
    </row>
    <row r="10019" spans="15:20">
      <c r="O10019" s="247"/>
      <c r="P10019"/>
      <c r="Q10019" s="224"/>
      <c r="S10019" s="202"/>
      <c r="T10019"/>
    </row>
    <row r="10020" spans="15:20">
      <c r="O10020" s="247"/>
      <c r="P10020"/>
      <c r="Q10020" s="224"/>
      <c r="S10020" s="202"/>
      <c r="T10020"/>
    </row>
    <row r="10021" spans="15:20">
      <c r="O10021" s="247"/>
      <c r="P10021"/>
      <c r="Q10021" s="224"/>
      <c r="S10021" s="202"/>
      <c r="T10021"/>
    </row>
    <row r="10022" spans="15:20">
      <c r="O10022" s="247"/>
      <c r="P10022"/>
      <c r="Q10022" s="224"/>
      <c r="S10022" s="202"/>
      <c r="T10022"/>
    </row>
    <row r="10023" spans="15:20">
      <c r="O10023" s="247"/>
      <c r="P10023"/>
      <c r="Q10023" s="224"/>
      <c r="S10023" s="202"/>
      <c r="T10023"/>
    </row>
    <row r="10024" spans="15:20">
      <c r="O10024" s="247"/>
      <c r="P10024"/>
      <c r="Q10024" s="224"/>
      <c r="S10024" s="202"/>
      <c r="T10024"/>
    </row>
    <row r="10025" spans="15:20">
      <c r="O10025" s="247"/>
      <c r="P10025"/>
      <c r="Q10025" s="224"/>
      <c r="S10025" s="202"/>
      <c r="T10025"/>
    </row>
    <row r="10026" spans="15:20">
      <c r="O10026" s="247"/>
      <c r="P10026"/>
      <c r="Q10026" s="224"/>
      <c r="S10026" s="202"/>
      <c r="T10026"/>
    </row>
    <row r="10027" spans="15:20">
      <c r="O10027" s="247"/>
      <c r="P10027"/>
      <c r="Q10027" s="224"/>
      <c r="S10027" s="202"/>
      <c r="T10027"/>
    </row>
    <row r="10028" spans="15:20">
      <c r="O10028" s="247"/>
      <c r="P10028"/>
      <c r="Q10028" s="224"/>
      <c r="S10028" s="202"/>
      <c r="T10028"/>
    </row>
    <row r="10029" spans="15:20">
      <c r="O10029" s="247"/>
      <c r="P10029"/>
      <c r="Q10029" s="224"/>
      <c r="S10029" s="202"/>
      <c r="T10029"/>
    </row>
    <row r="10030" spans="15:20">
      <c r="O10030" s="247"/>
      <c r="P10030"/>
      <c r="Q10030" s="224"/>
      <c r="S10030" s="202"/>
      <c r="T10030"/>
    </row>
    <row r="10031" spans="15:20">
      <c r="O10031" s="247"/>
      <c r="P10031"/>
      <c r="Q10031" s="224"/>
      <c r="S10031" s="202"/>
      <c r="T10031"/>
    </row>
    <row r="10032" spans="15:20">
      <c r="O10032" s="247"/>
      <c r="P10032"/>
      <c r="Q10032" s="224"/>
      <c r="S10032" s="202"/>
      <c r="T10032"/>
    </row>
    <row r="10033" spans="15:20">
      <c r="O10033" s="247"/>
      <c r="P10033"/>
      <c r="Q10033" s="224"/>
      <c r="S10033" s="202"/>
      <c r="T10033"/>
    </row>
    <row r="10034" spans="15:20">
      <c r="O10034" s="247"/>
      <c r="P10034"/>
      <c r="Q10034" s="224"/>
      <c r="S10034" s="202"/>
      <c r="T10034"/>
    </row>
    <row r="10035" spans="15:20">
      <c r="O10035" s="247"/>
      <c r="P10035"/>
      <c r="Q10035" s="224"/>
      <c r="S10035" s="202"/>
      <c r="T10035"/>
    </row>
    <row r="10036" spans="15:20">
      <c r="O10036" s="247"/>
      <c r="P10036"/>
      <c r="Q10036" s="224"/>
      <c r="S10036" s="202"/>
      <c r="T10036"/>
    </row>
    <row r="10037" spans="15:20">
      <c r="O10037" s="247"/>
      <c r="P10037"/>
      <c r="Q10037" s="224"/>
      <c r="S10037" s="202"/>
      <c r="T10037"/>
    </row>
    <row r="10038" spans="15:20">
      <c r="O10038" s="247"/>
      <c r="P10038"/>
      <c r="Q10038" s="224"/>
      <c r="S10038" s="202"/>
      <c r="T10038"/>
    </row>
    <row r="10039" spans="15:20">
      <c r="O10039" s="247"/>
      <c r="P10039"/>
      <c r="Q10039" s="224"/>
      <c r="S10039" s="202"/>
      <c r="T10039"/>
    </row>
    <row r="10040" spans="15:20">
      <c r="O10040" s="247"/>
      <c r="P10040"/>
      <c r="Q10040" s="224"/>
      <c r="S10040" s="202"/>
      <c r="T10040"/>
    </row>
    <row r="10041" spans="15:20">
      <c r="O10041" s="247"/>
      <c r="P10041"/>
      <c r="Q10041" s="224"/>
      <c r="S10041" s="202"/>
      <c r="T10041"/>
    </row>
    <row r="10042" spans="15:20">
      <c r="O10042" s="247"/>
      <c r="P10042"/>
      <c r="Q10042" s="224"/>
      <c r="S10042" s="202"/>
      <c r="T10042"/>
    </row>
    <row r="10043" spans="15:20">
      <c r="O10043" s="247"/>
      <c r="P10043"/>
      <c r="Q10043" s="224"/>
      <c r="S10043" s="202"/>
      <c r="T10043"/>
    </row>
    <row r="10044" spans="15:20">
      <c r="O10044" s="247"/>
      <c r="P10044"/>
      <c r="Q10044" s="224"/>
      <c r="S10044" s="202"/>
      <c r="T10044"/>
    </row>
    <row r="10045" spans="15:20">
      <c r="O10045" s="247"/>
      <c r="P10045"/>
      <c r="Q10045" s="224"/>
      <c r="S10045" s="202"/>
      <c r="T10045"/>
    </row>
    <row r="10046" spans="15:20">
      <c r="O10046" s="247"/>
      <c r="P10046"/>
      <c r="Q10046" s="224"/>
      <c r="S10046" s="202"/>
      <c r="T10046"/>
    </row>
    <row r="10047" spans="15:20">
      <c r="O10047" s="247"/>
      <c r="P10047"/>
      <c r="Q10047" s="224"/>
      <c r="S10047" s="202"/>
      <c r="T10047"/>
    </row>
    <row r="10048" spans="15:20">
      <c r="O10048" s="247"/>
      <c r="P10048"/>
      <c r="Q10048" s="224"/>
      <c r="S10048" s="202"/>
      <c r="T10048"/>
    </row>
    <row r="10049" spans="15:20">
      <c r="O10049" s="247"/>
      <c r="P10049"/>
      <c r="Q10049" s="224"/>
      <c r="S10049" s="202"/>
      <c r="T10049"/>
    </row>
    <row r="10050" spans="15:20">
      <c r="O10050" s="247"/>
      <c r="P10050"/>
      <c r="Q10050" s="224"/>
      <c r="S10050" s="202"/>
      <c r="T10050"/>
    </row>
    <row r="10051" spans="15:20">
      <c r="O10051" s="247"/>
      <c r="P10051"/>
      <c r="Q10051" s="224"/>
      <c r="S10051" s="202"/>
      <c r="T10051"/>
    </row>
    <row r="10052" spans="15:20">
      <c r="O10052" s="247"/>
      <c r="P10052"/>
      <c r="Q10052" s="224"/>
      <c r="S10052" s="202"/>
      <c r="T10052"/>
    </row>
    <row r="10053" spans="15:20">
      <c r="O10053" s="247"/>
      <c r="P10053"/>
      <c r="Q10053" s="224"/>
      <c r="S10053" s="202"/>
      <c r="T10053"/>
    </row>
    <row r="10054" spans="15:20">
      <c r="O10054" s="247"/>
      <c r="P10054"/>
      <c r="Q10054" s="224"/>
      <c r="S10054" s="202"/>
      <c r="T10054"/>
    </row>
    <row r="10055" spans="15:20">
      <c r="O10055" s="247"/>
      <c r="P10055"/>
      <c r="Q10055" s="224"/>
      <c r="S10055" s="202"/>
      <c r="T10055"/>
    </row>
    <row r="10056" spans="15:20">
      <c r="O10056" s="247"/>
      <c r="P10056"/>
      <c r="Q10056" s="224"/>
      <c r="S10056" s="202"/>
      <c r="T10056"/>
    </row>
    <row r="10057" spans="15:20">
      <c r="O10057" s="247"/>
      <c r="P10057"/>
      <c r="Q10057" s="224"/>
      <c r="S10057" s="202"/>
      <c r="T10057"/>
    </row>
    <row r="10058" spans="15:20">
      <c r="O10058" s="247"/>
      <c r="P10058"/>
      <c r="Q10058" s="224"/>
      <c r="S10058" s="202"/>
      <c r="T10058"/>
    </row>
    <row r="10059" spans="15:20">
      <c r="O10059" s="247"/>
      <c r="P10059"/>
      <c r="Q10059" s="224"/>
      <c r="S10059" s="202"/>
      <c r="T10059"/>
    </row>
    <row r="10060" spans="15:20">
      <c r="O10060" s="247"/>
      <c r="P10060"/>
      <c r="Q10060" s="224"/>
      <c r="S10060" s="202"/>
      <c r="T10060"/>
    </row>
    <row r="10061" spans="15:20">
      <c r="O10061" s="247"/>
      <c r="P10061"/>
      <c r="Q10061" s="224"/>
      <c r="S10061" s="202"/>
      <c r="T10061"/>
    </row>
    <row r="10062" spans="15:20">
      <c r="O10062" s="247"/>
      <c r="P10062"/>
      <c r="Q10062" s="224"/>
      <c r="S10062" s="202"/>
      <c r="T10062"/>
    </row>
    <row r="10063" spans="15:20">
      <c r="O10063" s="247"/>
      <c r="P10063"/>
      <c r="Q10063" s="224"/>
      <c r="S10063" s="202"/>
      <c r="T10063"/>
    </row>
    <row r="10064" spans="15:20">
      <c r="O10064" s="247"/>
      <c r="P10064"/>
      <c r="Q10064" s="224"/>
      <c r="S10064" s="202"/>
      <c r="T10064"/>
    </row>
    <row r="10065" spans="15:20">
      <c r="O10065" s="247"/>
      <c r="P10065"/>
      <c r="Q10065" s="224"/>
      <c r="S10065" s="202"/>
      <c r="T10065"/>
    </row>
    <row r="10066" spans="15:20">
      <c r="O10066" s="247"/>
      <c r="P10066"/>
      <c r="Q10066" s="224"/>
      <c r="S10066" s="202"/>
      <c r="T10066"/>
    </row>
    <row r="10067" spans="15:20">
      <c r="O10067" s="247"/>
      <c r="P10067"/>
      <c r="Q10067" s="224"/>
      <c r="S10067" s="202"/>
      <c r="T10067"/>
    </row>
    <row r="10068" spans="15:20">
      <c r="O10068" s="247"/>
      <c r="P10068"/>
      <c r="Q10068" s="224"/>
      <c r="S10068" s="202"/>
      <c r="T10068"/>
    </row>
    <row r="10069" spans="15:20">
      <c r="O10069" s="247"/>
      <c r="P10069"/>
      <c r="Q10069" s="224"/>
      <c r="S10069" s="202"/>
      <c r="T10069"/>
    </row>
    <row r="10070" spans="15:20">
      <c r="O10070" s="247"/>
      <c r="P10070"/>
      <c r="Q10070" s="224"/>
      <c r="S10070" s="202"/>
      <c r="T10070"/>
    </row>
    <row r="10071" spans="15:20">
      <c r="O10071" s="247"/>
      <c r="P10071"/>
      <c r="Q10071" s="224"/>
      <c r="S10071" s="202"/>
      <c r="T10071"/>
    </row>
    <row r="10072" spans="15:20">
      <c r="O10072" s="247"/>
      <c r="P10072"/>
      <c r="Q10072" s="224"/>
      <c r="S10072" s="202"/>
      <c r="T10072"/>
    </row>
    <row r="10073" spans="15:20">
      <c r="O10073" s="247"/>
      <c r="P10073"/>
      <c r="Q10073" s="224"/>
      <c r="S10073" s="202"/>
      <c r="T10073"/>
    </row>
    <row r="10074" spans="15:20">
      <c r="O10074" s="247"/>
      <c r="P10074"/>
      <c r="Q10074" s="224"/>
      <c r="S10074" s="202"/>
      <c r="T10074"/>
    </row>
    <row r="10075" spans="15:20">
      <c r="O10075" s="247"/>
      <c r="P10075"/>
      <c r="Q10075" s="224"/>
      <c r="S10075" s="202"/>
      <c r="T10075"/>
    </row>
    <row r="10076" spans="15:20">
      <c r="O10076" s="247"/>
      <c r="P10076"/>
      <c r="Q10076" s="224"/>
      <c r="S10076" s="202"/>
      <c r="T10076"/>
    </row>
    <row r="10077" spans="15:20">
      <c r="O10077" s="247"/>
      <c r="P10077"/>
      <c r="Q10077" s="224"/>
      <c r="S10077" s="202"/>
      <c r="T10077"/>
    </row>
    <row r="10078" spans="15:20">
      <c r="O10078" s="247"/>
      <c r="P10078"/>
      <c r="Q10078" s="224"/>
      <c r="S10078" s="202"/>
      <c r="T10078"/>
    </row>
    <row r="10079" spans="15:20">
      <c r="O10079" s="247"/>
      <c r="P10079"/>
      <c r="Q10079" s="224"/>
      <c r="S10079" s="202"/>
      <c r="T10079"/>
    </row>
    <row r="10080" spans="15:20">
      <c r="O10080" s="247"/>
      <c r="P10080"/>
      <c r="Q10080" s="224"/>
      <c r="S10080" s="202"/>
      <c r="T10080"/>
    </row>
    <row r="10081" spans="15:20">
      <c r="O10081" s="247"/>
      <c r="P10081"/>
      <c r="Q10081" s="224"/>
      <c r="S10081" s="202"/>
      <c r="T10081"/>
    </row>
    <row r="10082" spans="15:20">
      <c r="O10082" s="247"/>
      <c r="P10082"/>
      <c r="Q10082" s="224"/>
      <c r="S10082" s="202"/>
      <c r="T10082"/>
    </row>
    <row r="10083" spans="15:20">
      <c r="O10083" s="247"/>
      <c r="P10083"/>
      <c r="Q10083" s="224"/>
      <c r="S10083" s="202"/>
      <c r="T10083"/>
    </row>
    <row r="10084" spans="15:20">
      <c r="O10084" s="247"/>
      <c r="P10084"/>
      <c r="Q10084" s="224"/>
      <c r="S10084" s="202"/>
      <c r="T10084"/>
    </row>
    <row r="10085" spans="15:20">
      <c r="O10085" s="247"/>
      <c r="P10085"/>
      <c r="Q10085" s="224"/>
      <c r="S10085" s="202"/>
      <c r="T10085"/>
    </row>
    <row r="10086" spans="15:20">
      <c r="O10086" s="247"/>
      <c r="P10086"/>
      <c r="Q10086" s="224"/>
      <c r="S10086" s="202"/>
      <c r="T10086"/>
    </row>
    <row r="10087" spans="15:20">
      <c r="O10087" s="247"/>
      <c r="P10087"/>
      <c r="Q10087" s="224"/>
      <c r="S10087" s="202"/>
      <c r="T10087"/>
    </row>
    <row r="10088" spans="15:20">
      <c r="O10088" s="247"/>
      <c r="P10088"/>
      <c r="Q10088" s="224"/>
      <c r="S10088" s="202"/>
      <c r="T10088"/>
    </row>
    <row r="10089" spans="15:20">
      <c r="O10089" s="247"/>
      <c r="P10089"/>
      <c r="Q10089" s="224"/>
      <c r="S10089" s="202"/>
      <c r="T10089"/>
    </row>
    <row r="10090" spans="15:20">
      <c r="O10090" s="247"/>
      <c r="P10090"/>
      <c r="Q10090" s="224"/>
      <c r="S10090" s="202"/>
      <c r="T10090"/>
    </row>
    <row r="10091" spans="15:20">
      <c r="O10091" s="247"/>
      <c r="P10091"/>
      <c r="Q10091" s="224"/>
      <c r="S10091" s="202"/>
      <c r="T10091"/>
    </row>
    <row r="10092" spans="15:20">
      <c r="O10092" s="247"/>
      <c r="P10092"/>
      <c r="Q10092" s="224"/>
      <c r="S10092" s="202"/>
      <c r="T10092"/>
    </row>
    <row r="10093" spans="15:20">
      <c r="O10093" s="247"/>
      <c r="P10093"/>
      <c r="Q10093" s="224"/>
      <c r="S10093" s="202"/>
      <c r="T10093"/>
    </row>
    <row r="10094" spans="15:20">
      <c r="O10094" s="247"/>
      <c r="P10094"/>
      <c r="Q10094" s="224"/>
      <c r="S10094" s="202"/>
      <c r="T10094"/>
    </row>
    <row r="10095" spans="15:20">
      <c r="O10095" s="247"/>
      <c r="P10095"/>
      <c r="Q10095" s="224"/>
      <c r="S10095" s="202"/>
      <c r="T10095"/>
    </row>
    <row r="10096" spans="15:20">
      <c r="O10096" s="247"/>
      <c r="P10096"/>
      <c r="Q10096" s="224"/>
      <c r="S10096" s="202"/>
      <c r="T10096"/>
    </row>
    <row r="10097" spans="15:20">
      <c r="O10097" s="247"/>
      <c r="P10097"/>
      <c r="Q10097" s="224"/>
      <c r="S10097" s="202"/>
      <c r="T10097"/>
    </row>
    <row r="10098" spans="15:20">
      <c r="O10098" s="247"/>
      <c r="P10098"/>
      <c r="Q10098" s="224"/>
      <c r="S10098" s="202"/>
      <c r="T10098"/>
    </row>
    <row r="10099" spans="15:20">
      <c r="O10099" s="247"/>
      <c r="P10099"/>
      <c r="Q10099" s="224"/>
      <c r="S10099" s="202"/>
      <c r="T10099"/>
    </row>
    <row r="10100" spans="15:20">
      <c r="O10100" s="247"/>
      <c r="P10100"/>
      <c r="Q10100" s="224"/>
      <c r="S10100" s="202"/>
      <c r="T10100"/>
    </row>
    <row r="10101" spans="15:20">
      <c r="O10101" s="247"/>
      <c r="P10101"/>
      <c r="Q10101" s="224"/>
      <c r="S10101" s="202"/>
      <c r="T10101"/>
    </row>
    <row r="10102" spans="15:20">
      <c r="O10102" s="247"/>
      <c r="P10102"/>
      <c r="Q10102" s="224"/>
      <c r="S10102" s="202"/>
      <c r="T10102"/>
    </row>
    <row r="10103" spans="15:20">
      <c r="O10103" s="247"/>
      <c r="P10103"/>
      <c r="Q10103" s="224"/>
      <c r="S10103" s="202"/>
      <c r="T10103"/>
    </row>
    <row r="10104" spans="15:20">
      <c r="O10104" s="247"/>
      <c r="P10104"/>
      <c r="Q10104" s="224"/>
      <c r="S10104" s="202"/>
      <c r="T10104"/>
    </row>
    <row r="10105" spans="15:20">
      <c r="O10105" s="247"/>
      <c r="P10105"/>
      <c r="Q10105" s="224"/>
      <c r="S10105" s="202"/>
      <c r="T10105"/>
    </row>
    <row r="10106" spans="15:20">
      <c r="O10106" s="247"/>
      <c r="P10106"/>
      <c r="Q10106" s="224"/>
      <c r="S10106" s="202"/>
      <c r="T10106"/>
    </row>
    <row r="10107" spans="15:20">
      <c r="O10107" s="247"/>
      <c r="P10107"/>
      <c r="Q10107" s="224"/>
      <c r="S10107" s="202"/>
      <c r="T10107"/>
    </row>
    <row r="10108" spans="15:20">
      <c r="O10108" s="247"/>
      <c r="P10108"/>
      <c r="Q10108" s="224"/>
      <c r="S10108" s="202"/>
      <c r="T10108"/>
    </row>
    <row r="10109" spans="15:20">
      <c r="O10109" s="247"/>
      <c r="P10109"/>
      <c r="Q10109" s="224"/>
      <c r="S10109" s="202"/>
      <c r="T10109"/>
    </row>
    <row r="10110" spans="15:20">
      <c r="O10110" s="247"/>
      <c r="P10110"/>
      <c r="Q10110" s="224"/>
      <c r="S10110" s="202"/>
      <c r="T10110"/>
    </row>
    <row r="10111" spans="15:20">
      <c r="O10111" s="247"/>
      <c r="P10111"/>
      <c r="Q10111" s="224"/>
      <c r="S10111" s="202"/>
      <c r="T10111"/>
    </row>
    <row r="10112" spans="15:20">
      <c r="O10112" s="247"/>
      <c r="P10112"/>
      <c r="Q10112" s="224"/>
      <c r="S10112" s="202"/>
      <c r="T10112"/>
    </row>
    <row r="10113" spans="15:20">
      <c r="O10113" s="247"/>
      <c r="P10113"/>
      <c r="Q10113" s="224"/>
      <c r="S10113" s="202"/>
      <c r="T10113"/>
    </row>
    <row r="10114" spans="15:20">
      <c r="O10114" s="247"/>
      <c r="P10114"/>
      <c r="Q10114" s="224"/>
      <c r="S10114" s="202"/>
      <c r="T10114"/>
    </row>
    <row r="10115" spans="15:20">
      <c r="O10115" s="247"/>
      <c r="P10115"/>
      <c r="Q10115" s="224"/>
      <c r="S10115" s="202"/>
      <c r="T10115"/>
    </row>
    <row r="10116" spans="15:20">
      <c r="O10116" s="247"/>
      <c r="P10116"/>
      <c r="Q10116" s="224"/>
      <c r="S10116" s="202"/>
      <c r="T10116"/>
    </row>
    <row r="10117" spans="15:20">
      <c r="O10117" s="247"/>
      <c r="P10117"/>
      <c r="Q10117" s="224"/>
      <c r="S10117" s="202"/>
      <c r="T10117"/>
    </row>
    <row r="10118" spans="15:20">
      <c r="O10118" s="247"/>
      <c r="P10118"/>
      <c r="Q10118" s="224"/>
      <c r="S10118" s="202"/>
      <c r="T10118"/>
    </row>
    <row r="10119" spans="15:20">
      <c r="O10119" s="247"/>
      <c r="P10119"/>
      <c r="Q10119" s="224"/>
      <c r="S10119" s="202"/>
      <c r="T10119"/>
    </row>
    <row r="10120" spans="15:20">
      <c r="O10120" s="247"/>
      <c r="P10120"/>
      <c r="Q10120" s="224"/>
      <c r="S10120" s="202"/>
      <c r="T10120"/>
    </row>
    <row r="10121" spans="15:20">
      <c r="O10121" s="247"/>
      <c r="P10121"/>
      <c r="Q10121" s="224"/>
      <c r="S10121" s="202"/>
      <c r="T10121"/>
    </row>
    <row r="10122" spans="15:20">
      <c r="O10122" s="247"/>
      <c r="P10122"/>
      <c r="Q10122" s="224"/>
      <c r="S10122" s="202"/>
      <c r="T10122"/>
    </row>
    <row r="10123" spans="15:20">
      <c r="O10123" s="247"/>
      <c r="P10123"/>
      <c r="Q10123" s="224"/>
      <c r="S10123" s="202"/>
      <c r="T10123"/>
    </row>
    <row r="10124" spans="15:20">
      <c r="O10124" s="247"/>
      <c r="P10124"/>
      <c r="Q10124" s="224"/>
      <c r="S10124" s="202"/>
      <c r="T10124"/>
    </row>
    <row r="10125" spans="15:20">
      <c r="O10125" s="247"/>
      <c r="P10125"/>
      <c r="Q10125" s="224"/>
      <c r="S10125" s="202"/>
      <c r="T10125"/>
    </row>
    <row r="10126" spans="15:20">
      <c r="O10126" s="247"/>
      <c r="P10126"/>
      <c r="Q10126" s="224"/>
      <c r="S10126" s="202"/>
      <c r="T10126"/>
    </row>
    <row r="10127" spans="15:20">
      <c r="O10127" s="247"/>
      <c r="P10127"/>
      <c r="Q10127" s="224"/>
      <c r="S10127" s="202"/>
      <c r="T10127"/>
    </row>
    <row r="10128" spans="15:20">
      <c r="O10128" s="247"/>
      <c r="P10128"/>
      <c r="Q10128" s="224"/>
      <c r="S10128" s="202"/>
      <c r="T10128"/>
    </row>
    <row r="10129" spans="15:20">
      <c r="O10129" s="247"/>
      <c r="P10129"/>
      <c r="Q10129" s="224"/>
      <c r="S10129" s="202"/>
      <c r="T10129"/>
    </row>
    <row r="10130" spans="15:20">
      <c r="O10130" s="247"/>
      <c r="P10130"/>
      <c r="Q10130" s="224"/>
      <c r="S10130" s="202"/>
      <c r="T10130"/>
    </row>
    <row r="10131" spans="15:20">
      <c r="O10131" s="247"/>
      <c r="P10131"/>
      <c r="Q10131" s="224"/>
      <c r="S10131" s="202"/>
      <c r="T10131"/>
    </row>
    <row r="10132" spans="15:20">
      <c r="O10132" s="247"/>
      <c r="P10132"/>
      <c r="Q10132" s="224"/>
      <c r="S10132" s="202"/>
      <c r="T10132"/>
    </row>
    <row r="10133" spans="15:20">
      <c r="O10133" s="247"/>
      <c r="P10133"/>
      <c r="Q10133" s="224"/>
      <c r="S10133" s="202"/>
      <c r="T10133"/>
    </row>
    <row r="10134" spans="15:20">
      <c r="O10134" s="247"/>
      <c r="P10134"/>
      <c r="Q10134" s="224"/>
      <c r="S10134" s="202"/>
      <c r="T10134"/>
    </row>
    <row r="10135" spans="15:20">
      <c r="O10135" s="247"/>
      <c r="P10135"/>
      <c r="Q10135" s="224"/>
      <c r="S10135" s="202"/>
      <c r="T10135"/>
    </row>
    <row r="10136" spans="15:20">
      <c r="O10136" s="247"/>
      <c r="P10136"/>
      <c r="Q10136" s="224"/>
      <c r="S10136" s="202"/>
      <c r="T10136"/>
    </row>
    <row r="10137" spans="15:20">
      <c r="O10137" s="247"/>
      <c r="P10137"/>
      <c r="Q10137" s="224"/>
      <c r="S10137" s="202"/>
      <c r="T10137"/>
    </row>
    <row r="10138" spans="15:20">
      <c r="O10138" s="247"/>
      <c r="P10138"/>
      <c r="Q10138" s="224"/>
      <c r="S10138" s="202"/>
      <c r="T10138"/>
    </row>
    <row r="10139" spans="15:20">
      <c r="O10139" s="247"/>
      <c r="P10139"/>
      <c r="Q10139" s="224"/>
      <c r="S10139" s="202"/>
      <c r="T10139"/>
    </row>
    <row r="10140" spans="15:20">
      <c r="O10140" s="247"/>
      <c r="P10140"/>
      <c r="Q10140" s="224"/>
      <c r="S10140" s="202"/>
      <c r="T10140"/>
    </row>
    <row r="10141" spans="15:20">
      <c r="O10141" s="247"/>
      <c r="P10141"/>
      <c r="Q10141" s="224"/>
      <c r="S10141" s="202"/>
      <c r="T10141"/>
    </row>
    <row r="10142" spans="15:20">
      <c r="O10142" s="247"/>
      <c r="P10142"/>
      <c r="Q10142" s="224"/>
      <c r="S10142" s="202"/>
      <c r="T10142"/>
    </row>
    <row r="10143" spans="15:20">
      <c r="O10143" s="247"/>
      <c r="P10143"/>
      <c r="Q10143" s="224"/>
      <c r="S10143" s="202"/>
      <c r="T10143"/>
    </row>
    <row r="10144" spans="15:20">
      <c r="O10144" s="247"/>
      <c r="P10144"/>
      <c r="Q10144" s="224"/>
      <c r="S10144" s="202"/>
      <c r="T10144"/>
    </row>
    <row r="10145" spans="15:20">
      <c r="O10145" s="247"/>
      <c r="P10145"/>
      <c r="Q10145" s="224"/>
      <c r="S10145" s="202"/>
      <c r="T10145"/>
    </row>
    <row r="10146" spans="15:20">
      <c r="O10146" s="247"/>
      <c r="P10146"/>
      <c r="Q10146" s="224"/>
      <c r="S10146" s="202"/>
      <c r="T10146"/>
    </row>
    <row r="10147" spans="15:20">
      <c r="O10147" s="247"/>
      <c r="P10147"/>
      <c r="Q10147" s="224"/>
      <c r="S10147" s="202"/>
      <c r="T10147"/>
    </row>
    <row r="10148" spans="15:20">
      <c r="O10148" s="247"/>
      <c r="P10148"/>
      <c r="Q10148" s="224"/>
      <c r="S10148" s="202"/>
      <c r="T10148"/>
    </row>
    <row r="10149" spans="15:20">
      <c r="O10149" s="247"/>
      <c r="P10149"/>
      <c r="Q10149" s="224"/>
      <c r="S10149" s="202"/>
      <c r="T10149"/>
    </row>
    <row r="10150" spans="15:20">
      <c r="O10150" s="247"/>
      <c r="P10150"/>
      <c r="Q10150" s="224"/>
      <c r="S10150" s="202"/>
      <c r="T10150"/>
    </row>
    <row r="10151" spans="15:20">
      <c r="O10151" s="247"/>
      <c r="P10151"/>
      <c r="Q10151" s="224"/>
      <c r="S10151" s="202"/>
      <c r="T10151"/>
    </row>
    <row r="10152" spans="15:20">
      <c r="O10152" s="247"/>
      <c r="P10152"/>
      <c r="Q10152" s="224"/>
      <c r="S10152" s="202"/>
      <c r="T10152"/>
    </row>
    <row r="10153" spans="15:20">
      <c r="O10153" s="247"/>
      <c r="P10153"/>
      <c r="Q10153" s="224"/>
      <c r="S10153" s="202"/>
      <c r="T10153"/>
    </row>
    <row r="10154" spans="15:20">
      <c r="O10154" s="247"/>
      <c r="P10154"/>
      <c r="Q10154" s="224"/>
      <c r="S10154" s="202"/>
      <c r="T10154"/>
    </row>
    <row r="10155" spans="15:20">
      <c r="O10155" s="247"/>
      <c r="P10155"/>
      <c r="Q10155" s="224"/>
      <c r="S10155" s="202"/>
      <c r="T10155"/>
    </row>
    <row r="10156" spans="15:20">
      <c r="O10156" s="247"/>
      <c r="P10156"/>
      <c r="Q10156" s="224"/>
      <c r="S10156" s="202"/>
      <c r="T10156"/>
    </row>
    <row r="10157" spans="15:20">
      <c r="O10157" s="247"/>
      <c r="P10157"/>
      <c r="Q10157" s="224"/>
      <c r="S10157" s="202"/>
      <c r="T10157"/>
    </row>
    <row r="10158" spans="15:20">
      <c r="O10158" s="247"/>
      <c r="P10158"/>
      <c r="Q10158" s="224"/>
      <c r="S10158" s="202"/>
      <c r="T10158"/>
    </row>
    <row r="10159" spans="15:20">
      <c r="O10159" s="247"/>
      <c r="P10159"/>
      <c r="Q10159" s="224"/>
      <c r="S10159" s="202"/>
      <c r="T10159"/>
    </row>
    <row r="10160" spans="15:20">
      <c r="O10160" s="247"/>
      <c r="P10160"/>
      <c r="Q10160" s="224"/>
      <c r="S10160" s="202"/>
      <c r="T10160"/>
    </row>
    <row r="10161" spans="15:20">
      <c r="O10161" s="247"/>
      <c r="P10161"/>
      <c r="Q10161" s="224"/>
      <c r="S10161" s="202"/>
      <c r="T10161"/>
    </row>
    <row r="10162" spans="15:20">
      <c r="O10162" s="247"/>
      <c r="P10162"/>
      <c r="Q10162" s="224"/>
      <c r="S10162" s="202"/>
      <c r="T10162"/>
    </row>
    <row r="10163" spans="15:20">
      <c r="O10163" s="247"/>
      <c r="P10163"/>
      <c r="Q10163" s="224"/>
      <c r="S10163" s="202"/>
      <c r="T10163"/>
    </row>
    <row r="10164" spans="15:20">
      <c r="O10164" s="247"/>
      <c r="P10164"/>
      <c r="Q10164" s="224"/>
      <c r="S10164" s="202"/>
      <c r="T10164"/>
    </row>
    <row r="10165" spans="15:20">
      <c r="O10165" s="247"/>
      <c r="P10165"/>
      <c r="Q10165" s="224"/>
      <c r="S10165" s="202"/>
      <c r="T10165"/>
    </row>
    <row r="10166" spans="15:20">
      <c r="O10166" s="247"/>
      <c r="P10166"/>
      <c r="Q10166" s="224"/>
      <c r="S10166" s="202"/>
      <c r="T10166"/>
    </row>
    <row r="10167" spans="15:20">
      <c r="O10167" s="247"/>
      <c r="P10167"/>
      <c r="Q10167" s="224"/>
      <c r="S10167" s="202"/>
      <c r="T10167"/>
    </row>
    <row r="10168" spans="15:20">
      <c r="O10168" s="247"/>
      <c r="P10168"/>
      <c r="Q10168" s="224"/>
      <c r="S10168" s="202"/>
      <c r="T10168"/>
    </row>
    <row r="10169" spans="15:20">
      <c r="O10169" s="247"/>
      <c r="P10169"/>
      <c r="Q10169" s="224"/>
      <c r="S10169" s="202"/>
      <c r="T10169"/>
    </row>
    <row r="10170" spans="15:20">
      <c r="O10170" s="247"/>
      <c r="P10170"/>
      <c r="Q10170" s="224"/>
      <c r="S10170" s="202"/>
      <c r="T10170"/>
    </row>
    <row r="10171" spans="15:20">
      <c r="O10171" s="247"/>
      <c r="P10171"/>
      <c r="Q10171" s="224"/>
      <c r="S10171" s="202"/>
      <c r="T10171"/>
    </row>
    <row r="10172" spans="15:20">
      <c r="O10172" s="247"/>
      <c r="P10172"/>
      <c r="Q10172" s="224"/>
      <c r="S10172" s="202"/>
      <c r="T10172"/>
    </row>
    <row r="10173" spans="15:20">
      <c r="O10173" s="247"/>
      <c r="P10173"/>
      <c r="Q10173" s="224"/>
      <c r="S10173" s="202"/>
      <c r="T10173"/>
    </row>
    <row r="10174" spans="15:20">
      <c r="O10174" s="247"/>
      <c r="P10174"/>
      <c r="Q10174" s="224"/>
      <c r="S10174" s="202"/>
      <c r="T10174"/>
    </row>
    <row r="10175" spans="15:20">
      <c r="O10175" s="247"/>
      <c r="P10175"/>
      <c r="Q10175" s="224"/>
      <c r="S10175" s="202"/>
      <c r="T10175"/>
    </row>
    <row r="10176" spans="15:20">
      <c r="O10176" s="247"/>
      <c r="P10176"/>
      <c r="Q10176" s="224"/>
      <c r="S10176" s="202"/>
      <c r="T10176"/>
    </row>
    <row r="10177" spans="15:20">
      <c r="O10177" s="247"/>
      <c r="P10177"/>
      <c r="Q10177" s="224"/>
      <c r="S10177" s="202"/>
      <c r="T10177"/>
    </row>
    <row r="10178" spans="15:20">
      <c r="O10178" s="247"/>
      <c r="P10178"/>
      <c r="Q10178" s="224"/>
      <c r="S10178" s="202"/>
      <c r="T10178"/>
    </row>
    <row r="10179" spans="15:20">
      <c r="O10179" s="247"/>
      <c r="P10179"/>
      <c r="Q10179" s="224"/>
      <c r="S10179" s="202"/>
      <c r="T10179"/>
    </row>
    <row r="10180" spans="15:20">
      <c r="O10180" s="247"/>
      <c r="P10180"/>
      <c r="Q10180" s="224"/>
      <c r="S10180" s="202"/>
      <c r="T10180"/>
    </row>
    <row r="10181" spans="15:20">
      <c r="O10181" s="247"/>
      <c r="P10181"/>
      <c r="Q10181" s="224"/>
      <c r="S10181" s="202"/>
      <c r="T10181"/>
    </row>
    <row r="10182" spans="15:20">
      <c r="O10182" s="247"/>
      <c r="P10182"/>
      <c r="Q10182" s="224"/>
      <c r="S10182" s="202"/>
      <c r="T10182"/>
    </row>
    <row r="10183" spans="15:20">
      <c r="O10183" s="247"/>
      <c r="P10183"/>
      <c r="Q10183" s="224"/>
      <c r="S10183" s="202"/>
      <c r="T10183"/>
    </row>
    <row r="10184" spans="15:20">
      <c r="O10184" s="247"/>
      <c r="P10184"/>
      <c r="Q10184" s="224"/>
      <c r="S10184" s="202"/>
      <c r="T10184"/>
    </row>
    <row r="10185" spans="15:20">
      <c r="O10185" s="247"/>
      <c r="P10185"/>
      <c r="Q10185" s="224"/>
      <c r="S10185" s="202"/>
      <c r="T10185"/>
    </row>
    <row r="10186" spans="15:20">
      <c r="O10186" s="247"/>
      <c r="P10186"/>
      <c r="Q10186" s="224"/>
      <c r="S10186" s="202"/>
      <c r="T10186"/>
    </row>
    <row r="10187" spans="15:20">
      <c r="O10187" s="247"/>
      <c r="P10187"/>
      <c r="Q10187" s="224"/>
      <c r="S10187" s="202"/>
      <c r="T10187"/>
    </row>
    <row r="10188" spans="15:20">
      <c r="O10188" s="247"/>
      <c r="P10188"/>
      <c r="Q10188" s="224"/>
      <c r="S10188" s="202"/>
      <c r="T10188"/>
    </row>
    <row r="10189" spans="15:20">
      <c r="O10189" s="247"/>
      <c r="P10189"/>
      <c r="Q10189" s="224"/>
      <c r="S10189" s="202"/>
      <c r="T10189"/>
    </row>
    <row r="10190" spans="15:20">
      <c r="O10190" s="247"/>
      <c r="P10190"/>
      <c r="Q10190" s="224"/>
      <c r="S10190" s="202"/>
      <c r="T10190"/>
    </row>
    <row r="10191" spans="15:20">
      <c r="O10191" s="247"/>
      <c r="P10191"/>
      <c r="Q10191" s="224"/>
      <c r="S10191" s="202"/>
      <c r="T10191"/>
    </row>
    <row r="10192" spans="15:20">
      <c r="O10192" s="247"/>
      <c r="P10192"/>
      <c r="Q10192" s="224"/>
      <c r="S10192" s="202"/>
      <c r="T10192"/>
    </row>
    <row r="10193" spans="15:20">
      <c r="O10193" s="247"/>
      <c r="P10193"/>
      <c r="Q10193" s="224"/>
      <c r="S10193" s="202"/>
      <c r="T10193"/>
    </row>
    <row r="10194" spans="15:20">
      <c r="O10194" s="247"/>
      <c r="P10194"/>
      <c r="Q10194" s="224"/>
      <c r="S10194" s="202"/>
      <c r="T10194"/>
    </row>
    <row r="10195" spans="15:20">
      <c r="O10195" s="247"/>
      <c r="P10195"/>
      <c r="Q10195" s="224"/>
      <c r="S10195" s="202"/>
      <c r="T10195"/>
    </row>
    <row r="10196" spans="15:20">
      <c r="O10196" s="247"/>
      <c r="P10196"/>
      <c r="Q10196" s="224"/>
      <c r="S10196" s="202"/>
      <c r="T10196"/>
    </row>
    <row r="10197" spans="15:20">
      <c r="O10197" s="247"/>
      <c r="P10197"/>
      <c r="Q10197" s="224"/>
      <c r="S10197" s="202"/>
      <c r="T10197"/>
    </row>
    <row r="10198" spans="15:20">
      <c r="O10198" s="247"/>
      <c r="P10198"/>
      <c r="Q10198" s="224"/>
      <c r="S10198" s="202"/>
      <c r="T10198"/>
    </row>
    <row r="10199" spans="15:20">
      <c r="O10199" s="247"/>
      <c r="P10199"/>
      <c r="Q10199" s="224"/>
      <c r="S10199" s="202"/>
      <c r="T10199"/>
    </row>
    <row r="10200" spans="15:20">
      <c r="O10200" s="247"/>
      <c r="P10200"/>
      <c r="Q10200" s="224"/>
      <c r="S10200" s="202"/>
      <c r="T10200"/>
    </row>
    <row r="10201" spans="15:20">
      <c r="O10201" s="247"/>
      <c r="P10201"/>
      <c r="Q10201" s="224"/>
      <c r="S10201" s="202"/>
      <c r="T10201"/>
    </row>
    <row r="10202" spans="15:20">
      <c r="O10202" s="247"/>
      <c r="P10202"/>
      <c r="Q10202" s="224"/>
      <c r="S10202" s="202"/>
      <c r="T10202"/>
    </row>
    <row r="10203" spans="15:20">
      <c r="O10203" s="247"/>
      <c r="P10203"/>
      <c r="Q10203" s="224"/>
      <c r="S10203" s="202"/>
      <c r="T10203"/>
    </row>
    <row r="10204" spans="15:20">
      <c r="O10204" s="247"/>
      <c r="P10204"/>
      <c r="Q10204" s="224"/>
      <c r="S10204" s="202"/>
      <c r="T10204"/>
    </row>
    <row r="10205" spans="15:20">
      <c r="O10205" s="247"/>
      <c r="P10205"/>
      <c r="Q10205" s="224"/>
      <c r="S10205" s="202"/>
      <c r="T10205"/>
    </row>
    <row r="10206" spans="15:20">
      <c r="O10206" s="247"/>
      <c r="P10206"/>
      <c r="Q10206" s="224"/>
      <c r="S10206" s="202"/>
      <c r="T10206"/>
    </row>
    <row r="10207" spans="15:20">
      <c r="O10207" s="247"/>
      <c r="P10207"/>
      <c r="Q10207" s="224"/>
      <c r="S10207" s="202"/>
      <c r="T10207"/>
    </row>
    <row r="10208" spans="15:20">
      <c r="O10208" s="247"/>
      <c r="P10208"/>
      <c r="Q10208" s="224"/>
      <c r="S10208" s="202"/>
      <c r="T10208"/>
    </row>
    <row r="10209" spans="15:20">
      <c r="O10209" s="247"/>
      <c r="P10209"/>
      <c r="Q10209" s="224"/>
      <c r="S10209" s="202"/>
      <c r="T10209"/>
    </row>
    <row r="10210" spans="15:20">
      <c r="O10210" s="247"/>
      <c r="P10210"/>
      <c r="Q10210" s="224"/>
      <c r="S10210" s="202"/>
      <c r="T10210"/>
    </row>
    <row r="10211" spans="15:20">
      <c r="O10211" s="247"/>
      <c r="P10211"/>
      <c r="Q10211" s="224"/>
      <c r="S10211" s="202"/>
      <c r="T10211"/>
    </row>
    <row r="10212" spans="15:20">
      <c r="O10212" s="247"/>
      <c r="P10212"/>
      <c r="Q10212" s="224"/>
      <c r="S10212" s="202"/>
      <c r="T10212"/>
    </row>
    <row r="10213" spans="15:20">
      <c r="O10213" s="247"/>
      <c r="P10213"/>
      <c r="Q10213" s="224"/>
      <c r="S10213" s="202"/>
      <c r="T10213"/>
    </row>
    <row r="10214" spans="15:20">
      <c r="O10214" s="247"/>
      <c r="P10214"/>
      <c r="Q10214" s="224"/>
      <c r="S10214" s="202"/>
      <c r="T10214"/>
    </row>
    <row r="10215" spans="15:20">
      <c r="O10215" s="247"/>
      <c r="P10215"/>
      <c r="Q10215" s="224"/>
      <c r="S10215" s="202"/>
      <c r="T10215"/>
    </row>
    <row r="10216" spans="15:20">
      <c r="O10216" s="247"/>
      <c r="P10216"/>
      <c r="Q10216" s="224"/>
      <c r="S10216" s="202"/>
      <c r="T10216"/>
    </row>
    <row r="10217" spans="15:20">
      <c r="O10217" s="247"/>
      <c r="P10217"/>
      <c r="Q10217" s="224"/>
      <c r="S10217" s="202"/>
      <c r="T10217"/>
    </row>
    <row r="10218" spans="15:20">
      <c r="O10218" s="247"/>
      <c r="P10218"/>
      <c r="Q10218" s="224"/>
      <c r="S10218" s="202"/>
      <c r="T10218"/>
    </row>
    <row r="10219" spans="15:20">
      <c r="O10219" s="247"/>
      <c r="P10219"/>
      <c r="Q10219" s="224"/>
      <c r="S10219" s="202"/>
      <c r="T10219"/>
    </row>
    <row r="10220" spans="15:20">
      <c r="O10220" s="247"/>
      <c r="P10220"/>
      <c r="Q10220" s="224"/>
      <c r="S10220" s="202"/>
      <c r="T10220"/>
    </row>
    <row r="10221" spans="15:20">
      <c r="O10221" s="247"/>
      <c r="P10221"/>
      <c r="Q10221" s="224"/>
      <c r="S10221" s="202"/>
      <c r="T10221"/>
    </row>
    <row r="10222" spans="15:20">
      <c r="O10222" s="247"/>
      <c r="P10222"/>
      <c r="Q10222" s="224"/>
      <c r="S10222" s="202"/>
      <c r="T10222"/>
    </row>
    <row r="10223" spans="15:20">
      <c r="O10223" s="247"/>
      <c r="P10223"/>
      <c r="Q10223" s="224"/>
      <c r="S10223" s="202"/>
      <c r="T10223"/>
    </row>
    <row r="10224" spans="15:20">
      <c r="O10224" s="247"/>
      <c r="P10224"/>
      <c r="Q10224" s="224"/>
      <c r="S10224" s="202"/>
      <c r="T10224"/>
    </row>
    <row r="10225" spans="15:20">
      <c r="O10225" s="247"/>
      <c r="P10225"/>
      <c r="Q10225" s="224"/>
      <c r="S10225" s="202"/>
      <c r="T10225"/>
    </row>
    <row r="10226" spans="15:20">
      <c r="O10226" s="247"/>
      <c r="P10226"/>
      <c r="Q10226" s="224"/>
      <c r="S10226" s="202"/>
      <c r="T10226"/>
    </row>
    <row r="10227" spans="15:20">
      <c r="O10227" s="247"/>
      <c r="P10227"/>
      <c r="Q10227" s="224"/>
      <c r="S10227" s="202"/>
      <c r="T10227"/>
    </row>
    <row r="10228" spans="15:20">
      <c r="O10228" s="247"/>
      <c r="P10228"/>
      <c r="Q10228" s="224"/>
      <c r="S10228" s="202"/>
      <c r="T10228"/>
    </row>
    <row r="10229" spans="15:20">
      <c r="O10229" s="247"/>
      <c r="P10229"/>
      <c r="Q10229" s="224"/>
      <c r="S10229" s="202"/>
      <c r="T10229"/>
    </row>
    <row r="10230" spans="15:20">
      <c r="O10230" s="247"/>
      <c r="P10230"/>
      <c r="Q10230" s="224"/>
      <c r="S10230" s="202"/>
      <c r="T10230"/>
    </row>
    <row r="10231" spans="15:20">
      <c r="O10231" s="247"/>
      <c r="P10231"/>
      <c r="Q10231" s="224"/>
      <c r="S10231" s="202"/>
      <c r="T10231"/>
    </row>
    <row r="10232" spans="15:20">
      <c r="O10232" s="247"/>
      <c r="P10232"/>
      <c r="Q10232" s="224"/>
      <c r="S10232" s="202"/>
      <c r="T10232"/>
    </row>
    <row r="10233" spans="15:20">
      <c r="O10233" s="247"/>
      <c r="P10233"/>
      <c r="Q10233" s="224"/>
      <c r="S10233" s="202"/>
      <c r="T10233"/>
    </row>
    <row r="10234" spans="15:20">
      <c r="O10234" s="247"/>
      <c r="P10234"/>
      <c r="Q10234" s="224"/>
      <c r="S10234" s="202"/>
      <c r="T10234"/>
    </row>
    <row r="10235" spans="15:20">
      <c r="O10235" s="247"/>
      <c r="P10235"/>
      <c r="Q10235" s="224"/>
      <c r="S10235" s="202"/>
      <c r="T10235"/>
    </row>
    <row r="10236" spans="15:20">
      <c r="O10236" s="247"/>
      <c r="P10236"/>
      <c r="Q10236" s="224"/>
      <c r="S10236" s="202"/>
      <c r="T10236"/>
    </row>
    <row r="10237" spans="15:20">
      <c r="O10237" s="247"/>
      <c r="P10237"/>
      <c r="Q10237" s="224"/>
      <c r="S10237" s="202"/>
      <c r="T10237"/>
    </row>
    <row r="10238" spans="15:20">
      <c r="O10238" s="247"/>
      <c r="P10238"/>
      <c r="Q10238" s="224"/>
      <c r="S10238" s="202"/>
      <c r="T10238"/>
    </row>
    <row r="10239" spans="15:20">
      <c r="O10239" s="247"/>
      <c r="P10239"/>
      <c r="Q10239" s="224"/>
      <c r="S10239" s="202"/>
      <c r="T10239"/>
    </row>
    <row r="10240" spans="15:20">
      <c r="O10240" s="247"/>
      <c r="P10240"/>
      <c r="Q10240" s="224"/>
      <c r="S10240" s="202"/>
      <c r="T10240"/>
    </row>
    <row r="10241" spans="15:20">
      <c r="O10241" s="247"/>
      <c r="P10241"/>
      <c r="Q10241" s="224"/>
      <c r="S10241" s="202"/>
      <c r="T10241"/>
    </row>
    <row r="10242" spans="15:20">
      <c r="O10242" s="247"/>
      <c r="P10242"/>
      <c r="Q10242" s="224"/>
      <c r="S10242" s="202"/>
      <c r="T10242"/>
    </row>
    <row r="10243" spans="15:20">
      <c r="O10243" s="247"/>
      <c r="P10243"/>
      <c r="Q10243" s="224"/>
      <c r="S10243" s="202"/>
      <c r="T10243"/>
    </row>
    <row r="10244" spans="15:20">
      <c r="O10244" s="247"/>
      <c r="P10244"/>
      <c r="Q10244" s="224"/>
      <c r="S10244" s="202"/>
      <c r="T10244"/>
    </row>
    <row r="10245" spans="15:20">
      <c r="O10245" s="247"/>
      <c r="P10245"/>
      <c r="Q10245" s="224"/>
      <c r="S10245" s="202"/>
      <c r="T10245"/>
    </row>
    <row r="10246" spans="15:20">
      <c r="O10246" s="247"/>
      <c r="P10246"/>
      <c r="Q10246" s="224"/>
      <c r="S10246" s="202"/>
      <c r="T10246"/>
    </row>
    <row r="10247" spans="15:20">
      <c r="O10247" s="247"/>
      <c r="P10247"/>
      <c r="Q10247" s="224"/>
      <c r="S10247" s="202"/>
      <c r="T10247"/>
    </row>
    <row r="10248" spans="15:20">
      <c r="O10248" s="247"/>
      <c r="P10248"/>
      <c r="Q10248" s="224"/>
      <c r="S10248" s="202"/>
      <c r="T10248"/>
    </row>
    <row r="10249" spans="15:20">
      <c r="O10249" s="247"/>
      <c r="P10249"/>
      <c r="Q10249" s="224"/>
      <c r="S10249" s="202"/>
      <c r="T10249"/>
    </row>
    <row r="10250" spans="15:20">
      <c r="O10250" s="247"/>
      <c r="P10250"/>
      <c r="Q10250" s="224"/>
      <c r="S10250" s="202"/>
      <c r="T10250"/>
    </row>
    <row r="10251" spans="15:20">
      <c r="O10251" s="247"/>
      <c r="P10251"/>
      <c r="Q10251" s="224"/>
      <c r="S10251" s="202"/>
      <c r="T10251"/>
    </row>
    <row r="10252" spans="15:20">
      <c r="O10252" s="247"/>
      <c r="P10252"/>
      <c r="Q10252" s="224"/>
      <c r="S10252" s="202"/>
      <c r="T10252"/>
    </row>
    <row r="10253" spans="15:20">
      <c r="O10253" s="247"/>
      <c r="P10253"/>
      <c r="Q10253" s="224"/>
      <c r="S10253" s="202"/>
      <c r="T10253"/>
    </row>
    <row r="10254" spans="15:20">
      <c r="O10254" s="247"/>
      <c r="P10254"/>
      <c r="Q10254" s="224"/>
      <c r="S10254" s="202"/>
      <c r="T10254"/>
    </row>
    <row r="10255" spans="15:20">
      <c r="O10255" s="247"/>
      <c r="P10255"/>
      <c r="Q10255" s="224"/>
      <c r="S10255" s="202"/>
      <c r="T10255"/>
    </row>
    <row r="10256" spans="15:20">
      <c r="O10256" s="247"/>
      <c r="P10256"/>
      <c r="Q10256" s="224"/>
      <c r="S10256" s="202"/>
      <c r="T10256"/>
    </row>
    <row r="10257" spans="15:20">
      <c r="O10257" s="247"/>
      <c r="P10257"/>
      <c r="Q10257" s="224"/>
      <c r="S10257" s="202"/>
      <c r="T10257"/>
    </row>
    <row r="10258" spans="15:20">
      <c r="O10258" s="247"/>
      <c r="P10258"/>
      <c r="Q10258" s="224"/>
      <c r="S10258" s="202"/>
      <c r="T10258"/>
    </row>
    <row r="10259" spans="15:20">
      <c r="O10259" s="247"/>
      <c r="P10259"/>
      <c r="Q10259" s="224"/>
      <c r="S10259" s="202"/>
      <c r="T10259"/>
    </row>
    <row r="10260" spans="15:20">
      <c r="O10260" s="247"/>
      <c r="P10260"/>
      <c r="Q10260" s="224"/>
      <c r="S10260" s="202"/>
      <c r="T10260"/>
    </row>
    <row r="10261" spans="15:20">
      <c r="O10261" s="247"/>
      <c r="P10261"/>
      <c r="Q10261" s="224"/>
      <c r="S10261" s="202"/>
      <c r="T10261"/>
    </row>
    <row r="10262" spans="15:20">
      <c r="O10262" s="247"/>
      <c r="P10262"/>
      <c r="Q10262" s="224"/>
      <c r="S10262" s="202"/>
      <c r="T10262"/>
    </row>
    <row r="10263" spans="15:20">
      <c r="O10263" s="247"/>
      <c r="P10263"/>
      <c r="Q10263" s="224"/>
      <c r="S10263" s="202"/>
      <c r="T10263"/>
    </row>
    <row r="10264" spans="15:20">
      <c r="O10264" s="247"/>
      <c r="P10264"/>
      <c r="Q10264" s="224"/>
      <c r="S10264" s="202"/>
      <c r="T10264"/>
    </row>
    <row r="10265" spans="15:20">
      <c r="O10265" s="247"/>
      <c r="P10265"/>
      <c r="Q10265" s="224"/>
      <c r="S10265" s="202"/>
      <c r="T10265"/>
    </row>
    <row r="10266" spans="15:20">
      <c r="O10266" s="247"/>
      <c r="P10266"/>
      <c r="Q10266" s="224"/>
      <c r="S10266" s="202"/>
      <c r="T10266"/>
    </row>
    <row r="10267" spans="15:20">
      <c r="O10267" s="247"/>
      <c r="P10267"/>
      <c r="Q10267" s="224"/>
      <c r="S10267" s="202"/>
      <c r="T10267"/>
    </row>
    <row r="10268" spans="15:20">
      <c r="O10268" s="247"/>
      <c r="P10268"/>
      <c r="Q10268" s="224"/>
      <c r="S10268" s="202"/>
      <c r="T10268"/>
    </row>
    <row r="10269" spans="15:20">
      <c r="O10269" s="247"/>
      <c r="P10269"/>
      <c r="Q10269" s="224"/>
      <c r="S10269" s="202"/>
      <c r="T10269"/>
    </row>
    <row r="10270" spans="15:20">
      <c r="O10270" s="247"/>
      <c r="P10270"/>
      <c r="Q10270" s="224"/>
      <c r="S10270" s="202"/>
      <c r="T10270"/>
    </row>
    <row r="10271" spans="15:20">
      <c r="O10271" s="247"/>
      <c r="P10271"/>
      <c r="Q10271" s="224"/>
      <c r="S10271" s="202"/>
      <c r="T10271"/>
    </row>
    <row r="10272" spans="15:20">
      <c r="O10272" s="247"/>
      <c r="P10272"/>
      <c r="Q10272" s="224"/>
      <c r="S10272" s="202"/>
      <c r="T10272"/>
    </row>
    <row r="10273" spans="15:20">
      <c r="O10273" s="247"/>
      <c r="P10273"/>
      <c r="Q10273" s="224"/>
      <c r="S10273" s="202"/>
      <c r="T10273"/>
    </row>
    <row r="10274" spans="15:20">
      <c r="O10274" s="247"/>
      <c r="P10274"/>
      <c r="Q10274" s="224"/>
      <c r="S10274" s="202"/>
      <c r="T10274"/>
    </row>
    <row r="10275" spans="15:20">
      <c r="O10275" s="247"/>
      <c r="P10275"/>
      <c r="Q10275" s="224"/>
      <c r="S10275" s="202"/>
      <c r="T10275"/>
    </row>
    <row r="10276" spans="15:20">
      <c r="O10276" s="247"/>
      <c r="P10276"/>
      <c r="Q10276" s="224"/>
      <c r="S10276" s="202"/>
      <c r="T10276"/>
    </row>
    <row r="10277" spans="15:20">
      <c r="O10277" s="247"/>
      <c r="P10277"/>
      <c r="Q10277" s="224"/>
      <c r="S10277" s="202"/>
      <c r="T10277"/>
    </row>
    <row r="10278" spans="15:20">
      <c r="O10278" s="247"/>
      <c r="P10278"/>
      <c r="Q10278" s="224"/>
      <c r="S10278" s="202"/>
      <c r="T10278"/>
    </row>
    <row r="10279" spans="15:20">
      <c r="O10279" s="247"/>
      <c r="P10279"/>
      <c r="Q10279" s="224"/>
      <c r="S10279" s="202"/>
      <c r="T10279"/>
    </row>
    <row r="10280" spans="15:20">
      <c r="O10280" s="247"/>
      <c r="P10280"/>
      <c r="Q10280" s="224"/>
      <c r="S10280" s="202"/>
      <c r="T10280"/>
    </row>
    <row r="10281" spans="15:20">
      <c r="O10281" s="247"/>
      <c r="P10281"/>
      <c r="Q10281" s="224"/>
      <c r="S10281" s="202"/>
      <c r="T10281"/>
    </row>
    <row r="10282" spans="15:20">
      <c r="O10282" s="247"/>
      <c r="P10282"/>
      <c r="Q10282" s="224"/>
      <c r="S10282" s="202"/>
      <c r="T10282"/>
    </row>
    <row r="10283" spans="15:20">
      <c r="O10283" s="247"/>
      <c r="P10283"/>
      <c r="Q10283" s="224"/>
      <c r="S10283" s="202"/>
      <c r="T10283"/>
    </row>
    <row r="10284" spans="15:20">
      <c r="O10284" s="247"/>
      <c r="P10284"/>
      <c r="Q10284" s="224"/>
      <c r="S10284" s="202"/>
      <c r="T10284"/>
    </row>
    <row r="10285" spans="15:20">
      <c r="O10285" s="247"/>
      <c r="P10285"/>
      <c r="Q10285" s="224"/>
      <c r="S10285" s="202"/>
      <c r="T10285"/>
    </row>
    <row r="10286" spans="15:20">
      <c r="O10286" s="247"/>
      <c r="P10286"/>
      <c r="Q10286" s="224"/>
      <c r="S10286" s="202"/>
      <c r="T10286"/>
    </row>
    <row r="10287" spans="15:20">
      <c r="O10287" s="247"/>
      <c r="P10287"/>
      <c r="Q10287" s="224"/>
      <c r="S10287" s="202"/>
      <c r="T10287"/>
    </row>
    <row r="10288" spans="15:20">
      <c r="O10288" s="247"/>
      <c r="P10288"/>
      <c r="Q10288" s="224"/>
      <c r="S10288" s="202"/>
      <c r="T10288"/>
    </row>
    <row r="10289" spans="15:20">
      <c r="O10289" s="247"/>
      <c r="P10289"/>
      <c r="Q10289" s="224"/>
      <c r="S10289" s="202"/>
      <c r="T10289"/>
    </row>
    <row r="10290" spans="15:20">
      <c r="O10290" s="247"/>
      <c r="P10290"/>
      <c r="Q10290" s="224"/>
      <c r="S10290" s="202"/>
      <c r="T10290"/>
    </row>
    <row r="10291" spans="15:20">
      <c r="O10291" s="247"/>
      <c r="P10291"/>
      <c r="Q10291" s="224"/>
      <c r="S10291" s="202"/>
      <c r="T10291"/>
    </row>
    <row r="10292" spans="15:20">
      <c r="O10292" s="247"/>
      <c r="P10292"/>
      <c r="Q10292" s="224"/>
      <c r="S10292" s="202"/>
      <c r="T10292"/>
    </row>
    <row r="10293" spans="15:20">
      <c r="O10293" s="247"/>
      <c r="P10293"/>
      <c r="Q10293" s="224"/>
      <c r="S10293" s="202"/>
      <c r="T10293"/>
    </row>
    <row r="10294" spans="15:20">
      <c r="O10294" s="247"/>
      <c r="P10294"/>
      <c r="Q10294" s="224"/>
      <c r="S10294" s="202"/>
      <c r="T10294"/>
    </row>
    <row r="10295" spans="15:20">
      <c r="O10295" s="247"/>
      <c r="P10295"/>
      <c r="Q10295" s="224"/>
      <c r="S10295" s="202"/>
      <c r="T10295"/>
    </row>
    <row r="10296" spans="15:20">
      <c r="O10296" s="247"/>
      <c r="P10296"/>
      <c r="Q10296" s="224"/>
      <c r="S10296" s="202"/>
      <c r="T10296"/>
    </row>
    <row r="10297" spans="15:20">
      <c r="O10297" s="247"/>
      <c r="P10297"/>
      <c r="Q10297" s="224"/>
      <c r="S10297" s="202"/>
      <c r="T10297"/>
    </row>
    <row r="10298" spans="15:20">
      <c r="O10298" s="247"/>
      <c r="P10298"/>
      <c r="Q10298" s="224"/>
      <c r="S10298" s="202"/>
      <c r="T10298"/>
    </row>
    <row r="10299" spans="15:20">
      <c r="O10299" s="247"/>
      <c r="P10299"/>
      <c r="Q10299" s="224"/>
      <c r="S10299" s="202"/>
      <c r="T10299"/>
    </row>
    <row r="10300" spans="15:20">
      <c r="O10300" s="247"/>
      <c r="P10300"/>
      <c r="Q10300" s="224"/>
      <c r="S10300" s="202"/>
      <c r="T10300"/>
    </row>
    <row r="10301" spans="15:20">
      <c r="O10301" s="247"/>
      <c r="P10301"/>
      <c r="Q10301" s="224"/>
      <c r="S10301" s="202"/>
      <c r="T10301"/>
    </row>
    <row r="10302" spans="15:20">
      <c r="O10302" s="247"/>
      <c r="P10302"/>
      <c r="Q10302" s="224"/>
      <c r="S10302" s="202"/>
      <c r="T10302"/>
    </row>
    <row r="10303" spans="15:20">
      <c r="O10303" s="247"/>
      <c r="P10303"/>
      <c r="Q10303" s="224"/>
      <c r="S10303" s="202"/>
      <c r="T10303"/>
    </row>
    <row r="10304" spans="15:20">
      <c r="O10304" s="247"/>
      <c r="P10304"/>
      <c r="Q10304" s="224"/>
      <c r="S10304" s="202"/>
      <c r="T10304"/>
    </row>
    <row r="10305" spans="15:20">
      <c r="O10305" s="247"/>
      <c r="P10305"/>
      <c r="Q10305" s="224"/>
      <c r="S10305" s="202"/>
      <c r="T10305"/>
    </row>
    <row r="10306" spans="15:20">
      <c r="O10306" s="247"/>
      <c r="P10306"/>
      <c r="Q10306" s="224"/>
      <c r="S10306" s="202"/>
      <c r="T10306"/>
    </row>
    <row r="10307" spans="15:20">
      <c r="O10307" s="247"/>
      <c r="P10307"/>
      <c r="Q10307" s="224"/>
      <c r="S10307" s="202"/>
      <c r="T10307"/>
    </row>
    <row r="10308" spans="15:20">
      <c r="O10308" s="247"/>
      <c r="P10308"/>
      <c r="Q10308" s="224"/>
      <c r="S10308" s="202"/>
      <c r="T10308"/>
    </row>
    <row r="10309" spans="15:20">
      <c r="O10309" s="247"/>
      <c r="P10309"/>
      <c r="Q10309" s="224"/>
      <c r="S10309" s="202"/>
      <c r="T10309"/>
    </row>
    <row r="10310" spans="15:20">
      <c r="O10310" s="247"/>
      <c r="P10310"/>
      <c r="Q10310" s="224"/>
      <c r="S10310" s="202"/>
      <c r="T10310"/>
    </row>
    <row r="10311" spans="15:20">
      <c r="O10311" s="247"/>
      <c r="P10311"/>
      <c r="Q10311" s="224"/>
      <c r="S10311" s="202"/>
      <c r="T10311"/>
    </row>
    <row r="10312" spans="15:20">
      <c r="O10312" s="247"/>
      <c r="P10312"/>
      <c r="Q10312" s="224"/>
      <c r="S10312" s="202"/>
      <c r="T10312"/>
    </row>
    <row r="10313" spans="15:20">
      <c r="O10313" s="247"/>
      <c r="P10313"/>
      <c r="Q10313" s="224"/>
      <c r="S10313" s="202"/>
      <c r="T10313"/>
    </row>
    <row r="10314" spans="15:20">
      <c r="O10314" s="247"/>
      <c r="P10314"/>
      <c r="Q10314" s="224"/>
      <c r="S10314" s="202"/>
      <c r="T10314"/>
    </row>
    <row r="10315" spans="15:20">
      <c r="O10315" s="247"/>
      <c r="P10315"/>
      <c r="Q10315" s="224"/>
      <c r="S10315" s="202"/>
      <c r="T10315"/>
    </row>
    <row r="10316" spans="15:20">
      <c r="O10316" s="247"/>
      <c r="P10316"/>
      <c r="Q10316" s="224"/>
      <c r="S10316" s="202"/>
      <c r="T10316"/>
    </row>
    <row r="10317" spans="15:20">
      <c r="O10317" s="247"/>
      <c r="P10317"/>
      <c r="Q10317" s="224"/>
      <c r="S10317" s="202"/>
      <c r="T10317"/>
    </row>
    <row r="10318" spans="15:20">
      <c r="O10318" s="247"/>
      <c r="P10318"/>
      <c r="Q10318" s="224"/>
      <c r="S10318" s="202"/>
      <c r="T10318"/>
    </row>
    <row r="10319" spans="15:20">
      <c r="O10319" s="247"/>
      <c r="P10319"/>
      <c r="Q10319" s="224"/>
      <c r="S10319" s="202"/>
      <c r="T10319"/>
    </row>
    <row r="10320" spans="15:20">
      <c r="O10320" s="247"/>
      <c r="P10320"/>
      <c r="Q10320" s="224"/>
      <c r="S10320" s="202"/>
      <c r="T10320"/>
    </row>
    <row r="10321" spans="15:20">
      <c r="O10321" s="247"/>
      <c r="P10321"/>
      <c r="Q10321" s="224"/>
      <c r="S10321" s="202"/>
      <c r="T10321"/>
    </row>
    <row r="10322" spans="15:20">
      <c r="O10322" s="247"/>
      <c r="P10322"/>
      <c r="Q10322" s="224"/>
      <c r="S10322" s="202"/>
      <c r="T10322"/>
    </row>
    <row r="10323" spans="15:20">
      <c r="O10323" s="247"/>
      <c r="P10323"/>
      <c r="Q10323" s="224"/>
      <c r="S10323" s="202"/>
      <c r="T10323"/>
    </row>
    <row r="10324" spans="15:20">
      <c r="O10324" s="247"/>
      <c r="P10324"/>
      <c r="Q10324" s="224"/>
      <c r="S10324" s="202"/>
      <c r="T10324"/>
    </row>
    <row r="10325" spans="15:20">
      <c r="O10325" s="247"/>
      <c r="P10325"/>
      <c r="Q10325" s="224"/>
      <c r="S10325" s="202"/>
      <c r="T10325"/>
    </row>
    <row r="10326" spans="15:20">
      <c r="O10326" s="247"/>
      <c r="P10326"/>
      <c r="Q10326" s="224"/>
      <c r="S10326" s="202"/>
      <c r="T10326"/>
    </row>
    <row r="10327" spans="15:20">
      <c r="O10327" s="247"/>
      <c r="P10327"/>
      <c r="Q10327" s="224"/>
      <c r="S10327" s="202"/>
      <c r="T10327"/>
    </row>
    <row r="10328" spans="15:20">
      <c r="O10328" s="247"/>
      <c r="P10328"/>
      <c r="Q10328" s="224"/>
      <c r="S10328" s="202"/>
      <c r="T10328"/>
    </row>
    <row r="10329" spans="15:20">
      <c r="O10329" s="247"/>
      <c r="P10329"/>
      <c r="Q10329" s="224"/>
      <c r="S10329" s="202"/>
      <c r="T10329"/>
    </row>
    <row r="10330" spans="15:20">
      <c r="O10330" s="247"/>
      <c r="P10330"/>
      <c r="Q10330" s="224"/>
      <c r="S10330" s="202"/>
      <c r="T10330"/>
    </row>
    <row r="10331" spans="15:20">
      <c r="O10331" s="247"/>
      <c r="P10331"/>
      <c r="Q10331" s="224"/>
      <c r="S10331" s="202"/>
      <c r="T10331"/>
    </row>
    <row r="10332" spans="15:20">
      <c r="O10332" s="247"/>
      <c r="P10332"/>
      <c r="Q10332" s="224"/>
      <c r="S10332" s="202"/>
      <c r="T10332"/>
    </row>
    <row r="10333" spans="15:20">
      <c r="O10333" s="247"/>
      <c r="P10333"/>
      <c r="Q10333" s="224"/>
      <c r="S10333" s="202"/>
      <c r="T10333"/>
    </row>
    <row r="10334" spans="15:20">
      <c r="O10334" s="247"/>
      <c r="P10334"/>
      <c r="Q10334" s="224"/>
      <c r="S10334" s="202"/>
      <c r="T10334"/>
    </row>
    <row r="10335" spans="15:20">
      <c r="O10335" s="247"/>
      <c r="P10335"/>
      <c r="Q10335" s="224"/>
      <c r="S10335" s="202"/>
      <c r="T10335"/>
    </row>
    <row r="10336" spans="15:20">
      <c r="O10336" s="247"/>
      <c r="P10336"/>
      <c r="Q10336" s="224"/>
      <c r="S10336" s="202"/>
      <c r="T10336"/>
    </row>
    <row r="10337" spans="15:20">
      <c r="O10337" s="247"/>
      <c r="P10337"/>
      <c r="Q10337" s="224"/>
      <c r="S10337" s="202"/>
      <c r="T10337"/>
    </row>
    <row r="10338" spans="15:20">
      <c r="O10338" s="247"/>
      <c r="P10338"/>
      <c r="Q10338" s="224"/>
      <c r="S10338" s="202"/>
      <c r="T10338"/>
    </row>
    <row r="10339" spans="15:20">
      <c r="O10339" s="247"/>
      <c r="P10339"/>
      <c r="Q10339" s="224"/>
      <c r="S10339" s="202"/>
      <c r="T10339"/>
    </row>
    <row r="10340" spans="15:20">
      <c r="O10340" s="247"/>
      <c r="P10340"/>
      <c r="Q10340" s="224"/>
      <c r="S10340" s="202"/>
      <c r="T10340"/>
    </row>
    <row r="10341" spans="15:20">
      <c r="O10341" s="247"/>
      <c r="P10341"/>
      <c r="Q10341" s="224"/>
      <c r="S10341" s="202"/>
      <c r="T10341"/>
    </row>
    <row r="10342" spans="15:20">
      <c r="O10342" s="247"/>
      <c r="P10342"/>
      <c r="Q10342" s="224"/>
      <c r="S10342" s="202"/>
      <c r="T10342"/>
    </row>
    <row r="10343" spans="15:20">
      <c r="O10343" s="247"/>
      <c r="P10343"/>
      <c r="Q10343" s="224"/>
      <c r="S10343" s="202"/>
      <c r="T10343"/>
    </row>
    <row r="10344" spans="15:20">
      <c r="O10344" s="247"/>
      <c r="P10344"/>
      <c r="Q10344" s="224"/>
      <c r="S10344" s="202"/>
      <c r="T10344"/>
    </row>
    <row r="10345" spans="15:20">
      <c r="O10345" s="247"/>
      <c r="P10345"/>
      <c r="Q10345" s="224"/>
      <c r="S10345" s="202"/>
      <c r="T10345"/>
    </row>
    <row r="10346" spans="15:20">
      <c r="O10346" s="247"/>
      <c r="P10346"/>
      <c r="Q10346" s="224"/>
      <c r="S10346" s="202"/>
      <c r="T10346"/>
    </row>
    <row r="10347" spans="15:20">
      <c r="O10347" s="247"/>
      <c r="P10347"/>
      <c r="Q10347" s="224"/>
      <c r="S10347" s="202"/>
      <c r="T10347"/>
    </row>
    <row r="10348" spans="15:20">
      <c r="O10348" s="247"/>
      <c r="P10348"/>
      <c r="Q10348" s="224"/>
      <c r="S10348" s="202"/>
      <c r="T10348"/>
    </row>
    <row r="10349" spans="15:20">
      <c r="O10349" s="247"/>
      <c r="P10349"/>
      <c r="Q10349" s="224"/>
      <c r="S10349" s="202"/>
      <c r="T10349"/>
    </row>
    <row r="10350" spans="15:20">
      <c r="O10350" s="247"/>
      <c r="P10350"/>
      <c r="Q10350" s="224"/>
      <c r="S10350" s="202"/>
      <c r="T10350"/>
    </row>
    <row r="10351" spans="15:20">
      <c r="O10351" s="247"/>
      <c r="P10351"/>
      <c r="Q10351" s="224"/>
      <c r="S10351" s="202"/>
      <c r="T10351"/>
    </row>
    <row r="10352" spans="15:20">
      <c r="O10352" s="247"/>
      <c r="P10352"/>
      <c r="Q10352" s="224"/>
      <c r="S10352" s="202"/>
      <c r="T10352"/>
    </row>
    <row r="10353" spans="15:20">
      <c r="O10353" s="247"/>
      <c r="P10353"/>
      <c r="Q10353" s="224"/>
      <c r="S10353" s="202"/>
      <c r="T10353"/>
    </row>
    <row r="10354" spans="15:20">
      <c r="O10354" s="247"/>
      <c r="P10354"/>
      <c r="Q10354" s="224"/>
      <c r="S10354" s="202"/>
      <c r="T10354"/>
    </row>
    <row r="10355" spans="15:20">
      <c r="O10355" s="247"/>
      <c r="P10355"/>
      <c r="Q10355" s="224"/>
      <c r="S10355" s="202"/>
      <c r="T10355"/>
    </row>
    <row r="10356" spans="15:20">
      <c r="O10356" s="247"/>
      <c r="P10356"/>
      <c r="Q10356" s="224"/>
      <c r="S10356" s="202"/>
      <c r="T10356"/>
    </row>
    <row r="10357" spans="15:20">
      <c r="O10357" s="247"/>
      <c r="P10357"/>
      <c r="Q10357" s="224"/>
      <c r="S10357" s="202"/>
      <c r="T10357"/>
    </row>
    <row r="10358" spans="15:20">
      <c r="O10358" s="247"/>
      <c r="P10358"/>
      <c r="Q10358" s="224"/>
      <c r="S10358" s="202"/>
      <c r="T10358"/>
    </row>
    <row r="10359" spans="15:20">
      <c r="O10359" s="247"/>
      <c r="P10359"/>
      <c r="Q10359" s="224"/>
      <c r="S10359" s="202"/>
      <c r="T10359"/>
    </row>
    <row r="10360" spans="15:20">
      <c r="O10360" s="247"/>
      <c r="P10360"/>
      <c r="Q10360" s="224"/>
      <c r="S10360" s="202"/>
      <c r="T10360"/>
    </row>
    <row r="10361" spans="15:20">
      <c r="O10361" s="247"/>
      <c r="P10361"/>
      <c r="Q10361" s="224"/>
      <c r="S10361" s="202"/>
      <c r="T10361"/>
    </row>
    <row r="10362" spans="15:20">
      <c r="O10362" s="247"/>
      <c r="P10362"/>
      <c r="Q10362" s="224"/>
      <c r="S10362" s="202"/>
      <c r="T10362"/>
    </row>
    <row r="10363" spans="15:20">
      <c r="O10363" s="247"/>
      <c r="P10363"/>
      <c r="Q10363" s="224"/>
      <c r="S10363" s="202"/>
      <c r="T10363"/>
    </row>
    <row r="10364" spans="15:20">
      <c r="O10364" s="247"/>
      <c r="P10364"/>
      <c r="Q10364" s="224"/>
      <c r="S10364" s="202"/>
      <c r="T10364"/>
    </row>
    <row r="10365" spans="15:20">
      <c r="O10365" s="247"/>
      <c r="P10365"/>
      <c r="Q10365" s="224"/>
      <c r="S10365" s="202"/>
      <c r="T10365"/>
    </row>
    <row r="10366" spans="15:20">
      <c r="O10366" s="247"/>
      <c r="P10366"/>
      <c r="Q10366" s="224"/>
      <c r="S10366" s="202"/>
      <c r="T10366"/>
    </row>
    <row r="10367" spans="15:20">
      <c r="O10367" s="247"/>
      <c r="P10367"/>
      <c r="Q10367" s="224"/>
      <c r="S10367" s="202"/>
      <c r="T10367"/>
    </row>
    <row r="10368" spans="15:20">
      <c r="O10368" s="247"/>
      <c r="P10368"/>
      <c r="Q10368" s="224"/>
      <c r="S10368" s="202"/>
      <c r="T10368"/>
    </row>
    <row r="10369" spans="15:20">
      <c r="O10369" s="247"/>
      <c r="P10369"/>
      <c r="Q10369" s="224"/>
      <c r="S10369" s="202"/>
      <c r="T10369"/>
    </row>
    <row r="10370" spans="15:20">
      <c r="O10370" s="247"/>
      <c r="P10370"/>
      <c r="Q10370" s="224"/>
      <c r="S10370" s="202"/>
      <c r="T10370"/>
    </row>
    <row r="10371" spans="15:20">
      <c r="O10371" s="247"/>
      <c r="P10371"/>
      <c r="Q10371" s="224"/>
      <c r="S10371" s="202"/>
      <c r="T10371"/>
    </row>
    <row r="10372" spans="15:20">
      <c r="O10372" s="247"/>
      <c r="P10372"/>
      <c r="Q10372" s="224"/>
      <c r="S10372" s="202"/>
      <c r="T10372"/>
    </row>
    <row r="10373" spans="15:20">
      <c r="O10373" s="247"/>
      <c r="P10373"/>
      <c r="Q10373" s="224"/>
      <c r="S10373" s="202"/>
      <c r="T10373"/>
    </row>
    <row r="10374" spans="15:20">
      <c r="O10374" s="247"/>
      <c r="P10374"/>
      <c r="Q10374" s="224"/>
      <c r="S10374" s="202"/>
      <c r="T10374"/>
    </row>
    <row r="10375" spans="15:20">
      <c r="O10375" s="247"/>
      <c r="P10375"/>
      <c r="Q10375" s="224"/>
      <c r="S10375" s="202"/>
      <c r="T10375"/>
    </row>
    <row r="10376" spans="15:20">
      <c r="O10376" s="247"/>
      <c r="P10376"/>
      <c r="Q10376" s="224"/>
      <c r="S10376" s="202"/>
      <c r="T10376"/>
    </row>
    <row r="10377" spans="15:20">
      <c r="O10377" s="247"/>
      <c r="P10377"/>
      <c r="Q10377" s="224"/>
      <c r="S10377" s="202"/>
      <c r="T10377"/>
    </row>
    <row r="10378" spans="15:20">
      <c r="O10378" s="247"/>
      <c r="P10378"/>
      <c r="Q10378" s="224"/>
      <c r="S10378" s="202"/>
      <c r="T10378"/>
    </row>
    <row r="10379" spans="15:20">
      <c r="O10379" s="247"/>
      <c r="P10379"/>
      <c r="Q10379" s="224"/>
      <c r="S10379" s="202"/>
      <c r="T10379"/>
    </row>
    <row r="10380" spans="15:20">
      <c r="O10380" s="247"/>
      <c r="P10380"/>
      <c r="Q10380" s="224"/>
      <c r="S10380" s="202"/>
      <c r="T10380"/>
    </row>
    <row r="10381" spans="15:20">
      <c r="O10381" s="247"/>
      <c r="P10381"/>
      <c r="Q10381" s="224"/>
      <c r="S10381" s="202"/>
      <c r="T10381"/>
    </row>
    <row r="10382" spans="15:20">
      <c r="O10382" s="247"/>
      <c r="P10382"/>
      <c r="Q10382" s="224"/>
      <c r="S10382" s="202"/>
      <c r="T10382"/>
    </row>
    <row r="10383" spans="15:20">
      <c r="O10383" s="247"/>
      <c r="P10383"/>
      <c r="Q10383" s="224"/>
      <c r="S10383" s="202"/>
      <c r="T10383"/>
    </row>
    <row r="10384" spans="15:20">
      <c r="O10384" s="247"/>
      <c r="P10384"/>
      <c r="Q10384" s="224"/>
      <c r="S10384" s="202"/>
      <c r="T10384"/>
    </row>
    <row r="10385" spans="15:20">
      <c r="O10385" s="247"/>
      <c r="P10385"/>
      <c r="Q10385" s="224"/>
      <c r="S10385" s="202"/>
      <c r="T10385"/>
    </row>
    <row r="10386" spans="15:20">
      <c r="O10386" s="247"/>
      <c r="P10386"/>
      <c r="Q10386" s="224"/>
      <c r="S10386" s="202"/>
      <c r="T10386"/>
    </row>
    <row r="10387" spans="15:20">
      <c r="O10387" s="247"/>
      <c r="P10387"/>
      <c r="Q10387" s="224"/>
      <c r="S10387" s="202"/>
      <c r="T10387"/>
    </row>
    <row r="10388" spans="15:20">
      <c r="O10388" s="247"/>
      <c r="P10388"/>
      <c r="Q10388" s="224"/>
      <c r="S10388" s="202"/>
      <c r="T10388"/>
    </row>
    <row r="10389" spans="15:20">
      <c r="O10389" s="247"/>
      <c r="P10389"/>
      <c r="Q10389" s="224"/>
      <c r="S10389" s="202"/>
      <c r="T10389"/>
    </row>
    <row r="10390" spans="15:20">
      <c r="O10390" s="247"/>
      <c r="P10390"/>
      <c r="Q10390" s="224"/>
      <c r="S10390" s="202"/>
      <c r="T10390"/>
    </row>
    <row r="10391" spans="15:20">
      <c r="O10391" s="247"/>
      <c r="P10391"/>
      <c r="Q10391" s="224"/>
      <c r="S10391" s="202"/>
      <c r="T10391"/>
    </row>
    <row r="10392" spans="15:20">
      <c r="O10392" s="247"/>
      <c r="P10392"/>
      <c r="Q10392" s="224"/>
      <c r="S10392" s="202"/>
      <c r="T10392"/>
    </row>
    <row r="10393" spans="15:20">
      <c r="O10393" s="247"/>
      <c r="P10393"/>
      <c r="Q10393" s="224"/>
      <c r="S10393" s="202"/>
      <c r="T10393"/>
    </row>
    <row r="10394" spans="15:20">
      <c r="O10394" s="247"/>
      <c r="P10394"/>
      <c r="Q10394" s="224"/>
      <c r="S10394" s="202"/>
      <c r="T10394"/>
    </row>
    <row r="10395" spans="15:20">
      <c r="O10395" s="247"/>
      <c r="P10395"/>
      <c r="Q10395" s="224"/>
      <c r="S10395" s="202"/>
      <c r="T10395"/>
    </row>
    <row r="10396" spans="15:20">
      <c r="O10396" s="247"/>
      <c r="P10396"/>
      <c r="Q10396" s="224"/>
      <c r="S10396" s="202"/>
      <c r="T10396"/>
    </row>
    <row r="10397" spans="15:20">
      <c r="O10397" s="247"/>
      <c r="P10397"/>
      <c r="Q10397" s="224"/>
      <c r="S10397" s="202"/>
      <c r="T10397"/>
    </row>
    <row r="10398" spans="15:20">
      <c r="O10398" s="247"/>
      <c r="P10398"/>
      <c r="Q10398" s="224"/>
      <c r="S10398" s="202"/>
      <c r="T10398"/>
    </row>
    <row r="10399" spans="15:20">
      <c r="O10399" s="247"/>
      <c r="P10399"/>
      <c r="Q10399" s="224"/>
      <c r="S10399" s="202"/>
      <c r="T10399"/>
    </row>
    <row r="10400" spans="15:20">
      <c r="O10400" s="247"/>
      <c r="P10400"/>
      <c r="Q10400" s="224"/>
      <c r="S10400" s="202"/>
      <c r="T10400"/>
    </row>
    <row r="10401" spans="15:20">
      <c r="O10401" s="247"/>
      <c r="P10401"/>
      <c r="Q10401" s="224"/>
      <c r="S10401" s="202"/>
      <c r="T10401"/>
    </row>
    <row r="10402" spans="15:20">
      <c r="O10402" s="247"/>
      <c r="P10402"/>
      <c r="Q10402" s="224"/>
      <c r="S10402" s="202"/>
      <c r="T10402"/>
    </row>
    <row r="10403" spans="15:20">
      <c r="O10403" s="247"/>
      <c r="P10403"/>
      <c r="Q10403" s="224"/>
      <c r="S10403" s="202"/>
      <c r="T10403"/>
    </row>
    <row r="10404" spans="15:20">
      <c r="O10404" s="247"/>
      <c r="P10404"/>
      <c r="Q10404" s="224"/>
      <c r="S10404" s="202"/>
      <c r="T10404"/>
    </row>
    <row r="10405" spans="15:20">
      <c r="O10405" s="247"/>
      <c r="P10405"/>
      <c r="Q10405" s="224"/>
      <c r="S10405" s="202"/>
      <c r="T10405"/>
    </row>
    <row r="10406" spans="15:20">
      <c r="O10406" s="247"/>
      <c r="P10406"/>
      <c r="Q10406" s="224"/>
      <c r="S10406" s="202"/>
      <c r="T10406"/>
    </row>
    <row r="10407" spans="15:20">
      <c r="O10407" s="247"/>
      <c r="P10407"/>
      <c r="Q10407" s="224"/>
      <c r="S10407" s="202"/>
      <c r="T10407"/>
    </row>
    <row r="10408" spans="15:20">
      <c r="O10408" s="247"/>
      <c r="P10408"/>
      <c r="Q10408" s="224"/>
      <c r="S10408" s="202"/>
      <c r="T10408"/>
    </row>
    <row r="10409" spans="15:20">
      <c r="O10409" s="247"/>
      <c r="P10409"/>
      <c r="Q10409" s="224"/>
      <c r="S10409" s="202"/>
      <c r="T10409"/>
    </row>
    <row r="10410" spans="15:20">
      <c r="O10410" s="247"/>
      <c r="P10410"/>
      <c r="Q10410" s="224"/>
      <c r="S10410" s="202"/>
      <c r="T10410"/>
    </row>
    <row r="10411" spans="15:20">
      <c r="O10411" s="247"/>
      <c r="P10411"/>
      <c r="Q10411" s="224"/>
      <c r="S10411" s="202"/>
      <c r="T10411"/>
    </row>
    <row r="10412" spans="15:20">
      <c r="O10412" s="247"/>
      <c r="P10412"/>
      <c r="Q10412" s="224"/>
      <c r="S10412" s="202"/>
      <c r="T10412"/>
    </row>
    <row r="10413" spans="15:20">
      <c r="O10413" s="247"/>
      <c r="P10413"/>
      <c r="Q10413" s="224"/>
      <c r="S10413" s="202"/>
      <c r="T10413"/>
    </row>
    <row r="10414" spans="15:20">
      <c r="O10414" s="247"/>
      <c r="P10414"/>
      <c r="Q10414" s="224"/>
      <c r="S10414" s="202"/>
      <c r="T10414"/>
    </row>
    <row r="10415" spans="15:20">
      <c r="O10415" s="247"/>
      <c r="P10415"/>
      <c r="Q10415" s="224"/>
      <c r="S10415" s="202"/>
      <c r="T10415"/>
    </row>
    <row r="10416" spans="15:20">
      <c r="O10416" s="247"/>
      <c r="P10416"/>
      <c r="Q10416" s="224"/>
      <c r="S10416" s="202"/>
      <c r="T10416"/>
    </row>
    <row r="10417" spans="15:20">
      <c r="O10417" s="247"/>
      <c r="P10417"/>
      <c r="Q10417" s="224"/>
      <c r="S10417" s="202"/>
      <c r="T10417"/>
    </row>
    <row r="10418" spans="15:20">
      <c r="O10418" s="247"/>
      <c r="P10418"/>
      <c r="Q10418" s="224"/>
      <c r="S10418" s="202"/>
      <c r="T10418"/>
    </row>
    <row r="10419" spans="15:20">
      <c r="O10419" s="247"/>
      <c r="P10419"/>
      <c r="Q10419" s="224"/>
      <c r="S10419" s="202"/>
      <c r="T10419"/>
    </row>
    <row r="10420" spans="15:20">
      <c r="O10420" s="247"/>
      <c r="P10420"/>
      <c r="Q10420" s="224"/>
      <c r="S10420" s="202"/>
      <c r="T10420"/>
    </row>
    <row r="10421" spans="15:20">
      <c r="O10421" s="247"/>
      <c r="P10421"/>
      <c r="Q10421" s="224"/>
      <c r="S10421" s="202"/>
      <c r="T10421"/>
    </row>
    <row r="10422" spans="15:20">
      <c r="O10422" s="247"/>
      <c r="P10422"/>
      <c r="Q10422" s="224"/>
      <c r="S10422" s="202"/>
      <c r="T10422"/>
    </row>
    <row r="10423" spans="15:20">
      <c r="O10423" s="247"/>
      <c r="P10423"/>
      <c r="Q10423" s="224"/>
      <c r="S10423" s="202"/>
      <c r="T10423"/>
    </row>
    <row r="10424" spans="15:20">
      <c r="O10424" s="247"/>
      <c r="P10424"/>
      <c r="Q10424" s="224"/>
      <c r="S10424" s="202"/>
      <c r="T10424"/>
    </row>
    <row r="10425" spans="15:20">
      <c r="O10425" s="247"/>
      <c r="P10425"/>
      <c r="Q10425" s="224"/>
      <c r="S10425" s="202"/>
      <c r="T10425"/>
    </row>
    <row r="10426" spans="15:20">
      <c r="O10426" s="247"/>
      <c r="P10426"/>
      <c r="Q10426" s="224"/>
      <c r="S10426" s="202"/>
      <c r="T10426"/>
    </row>
    <row r="10427" spans="15:20">
      <c r="O10427" s="247"/>
      <c r="P10427"/>
      <c r="Q10427" s="224"/>
      <c r="S10427" s="202"/>
      <c r="T10427"/>
    </row>
    <row r="10428" spans="15:20">
      <c r="O10428" s="247"/>
      <c r="P10428"/>
      <c r="Q10428" s="224"/>
      <c r="S10428" s="202"/>
      <c r="T10428"/>
    </row>
    <row r="10429" spans="15:20">
      <c r="O10429" s="247"/>
      <c r="P10429"/>
      <c r="Q10429" s="224"/>
      <c r="S10429" s="202"/>
      <c r="T10429"/>
    </row>
    <row r="10430" spans="15:20">
      <c r="O10430" s="247"/>
      <c r="P10430"/>
      <c r="Q10430" s="224"/>
      <c r="S10430" s="202"/>
      <c r="T10430"/>
    </row>
    <row r="10431" spans="15:20">
      <c r="O10431" s="247"/>
      <c r="P10431"/>
      <c r="Q10431" s="224"/>
      <c r="S10431" s="202"/>
      <c r="T10431"/>
    </row>
    <row r="10432" spans="15:20">
      <c r="O10432" s="247"/>
      <c r="P10432"/>
      <c r="Q10432" s="224"/>
      <c r="S10432" s="202"/>
      <c r="T10432"/>
    </row>
    <row r="10433" spans="15:20">
      <c r="O10433" s="247"/>
      <c r="P10433"/>
      <c r="Q10433" s="224"/>
      <c r="S10433" s="202"/>
      <c r="T10433"/>
    </row>
    <row r="10434" spans="15:20">
      <c r="O10434" s="247"/>
      <c r="P10434"/>
      <c r="Q10434" s="224"/>
      <c r="S10434" s="202"/>
      <c r="T10434"/>
    </row>
    <row r="10435" spans="15:20">
      <c r="O10435" s="247"/>
      <c r="P10435"/>
      <c r="Q10435" s="224"/>
      <c r="S10435" s="202"/>
      <c r="T10435"/>
    </row>
    <row r="10436" spans="15:20">
      <c r="O10436" s="247"/>
      <c r="P10436"/>
      <c r="Q10436" s="224"/>
      <c r="S10436" s="202"/>
      <c r="T10436"/>
    </row>
    <row r="10437" spans="15:20">
      <c r="O10437" s="247"/>
      <c r="P10437"/>
      <c r="Q10437" s="224"/>
      <c r="S10437" s="202"/>
      <c r="T10437"/>
    </row>
    <row r="10438" spans="15:20">
      <c r="O10438" s="247"/>
      <c r="P10438"/>
      <c r="Q10438" s="224"/>
      <c r="S10438" s="202"/>
      <c r="T10438"/>
    </row>
    <row r="10439" spans="15:20">
      <c r="O10439" s="247"/>
      <c r="P10439"/>
      <c r="Q10439" s="224"/>
      <c r="S10439" s="202"/>
      <c r="T10439"/>
    </row>
    <row r="10440" spans="15:20">
      <c r="O10440" s="247"/>
      <c r="P10440"/>
      <c r="Q10440" s="224"/>
      <c r="S10440" s="202"/>
      <c r="T10440"/>
    </row>
    <row r="10441" spans="15:20">
      <c r="O10441" s="247"/>
      <c r="P10441"/>
      <c r="Q10441" s="224"/>
      <c r="S10441" s="202"/>
      <c r="T10441"/>
    </row>
    <row r="10442" spans="15:20">
      <c r="O10442" s="247"/>
      <c r="P10442"/>
      <c r="Q10442" s="224"/>
      <c r="S10442" s="202"/>
      <c r="T10442"/>
    </row>
    <row r="10443" spans="15:20">
      <c r="O10443" s="247"/>
      <c r="P10443"/>
      <c r="Q10443" s="224"/>
      <c r="S10443" s="202"/>
      <c r="T10443"/>
    </row>
    <row r="10444" spans="15:20">
      <c r="O10444" s="247"/>
      <c r="P10444"/>
      <c r="Q10444" s="224"/>
      <c r="S10444" s="202"/>
      <c r="T10444"/>
    </row>
    <row r="10445" spans="15:20">
      <c r="O10445" s="247"/>
      <c r="P10445"/>
      <c r="Q10445" s="224"/>
      <c r="S10445" s="202"/>
      <c r="T10445"/>
    </row>
    <row r="10446" spans="15:20">
      <c r="O10446" s="247"/>
      <c r="P10446"/>
      <c r="Q10446" s="224"/>
      <c r="S10446" s="202"/>
      <c r="T10446"/>
    </row>
    <row r="10447" spans="15:20">
      <c r="O10447" s="247"/>
      <c r="P10447"/>
      <c r="Q10447" s="224"/>
      <c r="S10447" s="202"/>
      <c r="T10447"/>
    </row>
    <row r="10448" spans="15:20">
      <c r="O10448" s="247"/>
      <c r="P10448"/>
      <c r="Q10448" s="224"/>
      <c r="S10448" s="202"/>
      <c r="T10448"/>
    </row>
    <row r="10449" spans="15:20">
      <c r="O10449" s="247"/>
      <c r="P10449"/>
      <c r="Q10449" s="224"/>
      <c r="S10449" s="202"/>
      <c r="T10449"/>
    </row>
    <row r="10450" spans="15:20">
      <c r="O10450" s="247"/>
      <c r="P10450"/>
      <c r="Q10450" s="224"/>
      <c r="S10450" s="202"/>
      <c r="T10450"/>
    </row>
    <row r="10451" spans="15:20">
      <c r="O10451" s="247"/>
      <c r="P10451"/>
      <c r="Q10451" s="224"/>
      <c r="S10451" s="202"/>
      <c r="T10451"/>
    </row>
    <row r="10452" spans="15:20">
      <c r="O10452" s="247"/>
      <c r="P10452"/>
      <c r="Q10452" s="224"/>
      <c r="S10452" s="202"/>
      <c r="T10452"/>
    </row>
    <row r="10453" spans="15:20">
      <c r="O10453" s="247"/>
      <c r="P10453"/>
      <c r="Q10453" s="224"/>
      <c r="S10453" s="202"/>
      <c r="T10453"/>
    </row>
    <row r="10454" spans="15:20">
      <c r="O10454" s="247"/>
      <c r="P10454"/>
      <c r="Q10454" s="224"/>
      <c r="S10454" s="202"/>
      <c r="T10454"/>
    </row>
    <row r="10455" spans="15:20">
      <c r="O10455" s="247"/>
      <c r="P10455"/>
      <c r="Q10455" s="224"/>
      <c r="S10455" s="202"/>
      <c r="T10455"/>
    </row>
    <row r="10456" spans="15:20">
      <c r="O10456" s="247"/>
      <c r="P10456"/>
      <c r="Q10456" s="224"/>
      <c r="S10456" s="202"/>
      <c r="T10456"/>
    </row>
    <row r="10457" spans="15:20">
      <c r="O10457" s="247"/>
      <c r="P10457"/>
      <c r="Q10457" s="224"/>
      <c r="S10457" s="202"/>
      <c r="T10457"/>
    </row>
    <row r="10458" spans="15:20">
      <c r="O10458" s="247"/>
      <c r="P10458"/>
      <c r="Q10458" s="224"/>
      <c r="S10458" s="202"/>
      <c r="T10458"/>
    </row>
    <row r="10459" spans="15:20">
      <c r="O10459" s="247"/>
      <c r="P10459"/>
      <c r="Q10459" s="224"/>
      <c r="S10459" s="202"/>
      <c r="T10459"/>
    </row>
    <row r="10460" spans="15:20">
      <c r="O10460" s="247"/>
      <c r="P10460"/>
      <c r="Q10460" s="224"/>
      <c r="S10460" s="202"/>
      <c r="T10460"/>
    </row>
    <row r="10461" spans="15:20">
      <c r="O10461" s="247"/>
      <c r="P10461"/>
      <c r="Q10461" s="224"/>
      <c r="S10461" s="202"/>
      <c r="T10461"/>
    </row>
    <row r="10462" spans="15:20">
      <c r="O10462" s="247"/>
      <c r="P10462"/>
      <c r="Q10462" s="224"/>
      <c r="S10462" s="202"/>
      <c r="T10462"/>
    </row>
    <row r="10463" spans="15:20">
      <c r="O10463" s="247"/>
      <c r="P10463"/>
      <c r="Q10463" s="224"/>
      <c r="S10463" s="202"/>
      <c r="T10463"/>
    </row>
    <row r="10464" spans="15:20">
      <c r="O10464" s="247"/>
      <c r="P10464"/>
      <c r="Q10464" s="224"/>
      <c r="S10464" s="202"/>
      <c r="T10464"/>
    </row>
    <row r="10465" spans="15:20">
      <c r="O10465" s="247"/>
      <c r="P10465"/>
      <c r="Q10465" s="224"/>
      <c r="S10465" s="202"/>
      <c r="T10465"/>
    </row>
    <row r="10466" spans="15:20">
      <c r="O10466" s="247"/>
      <c r="P10466"/>
      <c r="Q10466" s="224"/>
      <c r="S10466" s="202"/>
      <c r="T10466"/>
    </row>
    <row r="10467" spans="15:20">
      <c r="O10467" s="247"/>
      <c r="P10467"/>
      <c r="Q10467" s="224"/>
      <c r="S10467" s="202"/>
      <c r="T10467"/>
    </row>
    <row r="10468" spans="15:20">
      <c r="O10468" s="247"/>
      <c r="P10468"/>
      <c r="Q10468" s="224"/>
      <c r="S10468" s="202"/>
      <c r="T10468"/>
    </row>
    <row r="10469" spans="15:20">
      <c r="O10469" s="247"/>
      <c r="P10469"/>
      <c r="Q10469" s="224"/>
      <c r="S10469" s="202"/>
      <c r="T10469"/>
    </row>
    <row r="10470" spans="15:20">
      <c r="O10470" s="247"/>
      <c r="P10470"/>
      <c r="Q10470" s="224"/>
      <c r="S10470" s="202"/>
      <c r="T10470"/>
    </row>
    <row r="10471" spans="15:20">
      <c r="O10471" s="247"/>
      <c r="P10471"/>
      <c r="Q10471" s="224"/>
      <c r="S10471" s="202"/>
      <c r="T10471"/>
    </row>
    <row r="10472" spans="15:20">
      <c r="O10472" s="247"/>
      <c r="P10472"/>
      <c r="Q10472" s="224"/>
      <c r="S10472" s="202"/>
      <c r="T10472"/>
    </row>
    <row r="10473" spans="15:20">
      <c r="O10473" s="247"/>
      <c r="P10473"/>
      <c r="Q10473" s="224"/>
      <c r="S10473" s="202"/>
      <c r="T10473"/>
    </row>
    <row r="10474" spans="15:20">
      <c r="O10474" s="247"/>
      <c r="P10474"/>
      <c r="Q10474" s="224"/>
      <c r="S10474" s="202"/>
      <c r="T10474"/>
    </row>
    <row r="10475" spans="15:20">
      <c r="O10475" s="247"/>
      <c r="P10475"/>
      <c r="Q10475" s="224"/>
      <c r="S10475" s="202"/>
      <c r="T10475"/>
    </row>
    <row r="10476" spans="15:20">
      <c r="O10476" s="247"/>
      <c r="P10476"/>
      <c r="Q10476" s="224"/>
      <c r="S10476" s="202"/>
      <c r="T10476"/>
    </row>
    <row r="10477" spans="15:20">
      <c r="O10477" s="247"/>
      <c r="P10477"/>
      <c r="Q10477" s="224"/>
      <c r="S10477" s="202"/>
      <c r="T10477"/>
    </row>
    <row r="10478" spans="15:20">
      <c r="O10478" s="247"/>
      <c r="P10478"/>
      <c r="Q10478" s="224"/>
      <c r="S10478" s="202"/>
      <c r="T10478"/>
    </row>
    <row r="10479" spans="15:20">
      <c r="O10479" s="247"/>
      <c r="P10479"/>
      <c r="Q10479" s="224"/>
      <c r="S10479" s="202"/>
      <c r="T10479"/>
    </row>
    <row r="10480" spans="15:20">
      <c r="O10480" s="247"/>
      <c r="P10480"/>
      <c r="Q10480" s="224"/>
      <c r="S10480" s="202"/>
      <c r="T10480"/>
    </row>
    <row r="10481" spans="15:20">
      <c r="O10481" s="247"/>
      <c r="P10481"/>
      <c r="Q10481" s="224"/>
      <c r="S10481" s="202"/>
      <c r="T10481"/>
    </row>
    <row r="10482" spans="15:20">
      <c r="O10482" s="247"/>
      <c r="P10482"/>
      <c r="Q10482" s="224"/>
      <c r="S10482" s="202"/>
      <c r="T10482"/>
    </row>
    <row r="10483" spans="15:20">
      <c r="O10483" s="247"/>
      <c r="P10483"/>
      <c r="Q10483" s="224"/>
      <c r="S10483" s="202"/>
      <c r="T10483"/>
    </row>
    <row r="10484" spans="15:20">
      <c r="O10484" s="247"/>
      <c r="P10484"/>
      <c r="Q10484" s="224"/>
      <c r="S10484" s="202"/>
      <c r="T10484"/>
    </row>
    <row r="10485" spans="15:20">
      <c r="O10485" s="247"/>
      <c r="P10485"/>
      <c r="Q10485" s="224"/>
      <c r="S10485" s="202"/>
      <c r="T10485"/>
    </row>
    <row r="10486" spans="15:20">
      <c r="O10486" s="247"/>
      <c r="P10486"/>
      <c r="Q10486" s="224"/>
      <c r="S10486" s="202"/>
      <c r="T10486"/>
    </row>
    <row r="10487" spans="15:20">
      <c r="O10487" s="247"/>
      <c r="P10487"/>
      <c r="Q10487" s="224"/>
      <c r="S10487" s="202"/>
      <c r="T10487"/>
    </row>
    <row r="10488" spans="15:20">
      <c r="O10488" s="247"/>
      <c r="P10488"/>
      <c r="Q10488" s="224"/>
      <c r="S10488" s="202"/>
      <c r="T10488"/>
    </row>
    <row r="10489" spans="15:20">
      <c r="O10489" s="247"/>
      <c r="P10489"/>
      <c r="Q10489" s="224"/>
      <c r="S10489" s="202"/>
      <c r="T10489"/>
    </row>
    <row r="10490" spans="15:20">
      <c r="O10490" s="247"/>
      <c r="P10490"/>
      <c r="Q10490" s="224"/>
      <c r="S10490" s="202"/>
      <c r="T10490"/>
    </row>
    <row r="10491" spans="15:20">
      <c r="O10491" s="247"/>
      <c r="P10491"/>
      <c r="Q10491" s="224"/>
      <c r="S10491" s="202"/>
      <c r="T10491"/>
    </row>
    <row r="10492" spans="15:20">
      <c r="O10492" s="247"/>
      <c r="P10492"/>
      <c r="Q10492" s="224"/>
      <c r="S10492" s="202"/>
      <c r="T10492"/>
    </row>
    <row r="10493" spans="15:20">
      <c r="O10493" s="247"/>
      <c r="P10493"/>
      <c r="Q10493" s="224"/>
      <c r="S10493" s="202"/>
      <c r="T10493"/>
    </row>
    <row r="10494" spans="15:20">
      <c r="O10494" s="247"/>
      <c r="P10494"/>
      <c r="Q10494" s="224"/>
      <c r="S10494" s="202"/>
      <c r="T10494"/>
    </row>
    <row r="10495" spans="15:20">
      <c r="O10495" s="247"/>
      <c r="P10495"/>
      <c r="Q10495" s="224"/>
      <c r="S10495" s="202"/>
      <c r="T10495"/>
    </row>
    <row r="10496" spans="15:20">
      <c r="O10496" s="247"/>
      <c r="P10496"/>
      <c r="Q10496" s="224"/>
      <c r="S10496" s="202"/>
      <c r="T10496"/>
    </row>
    <row r="10497" spans="15:20">
      <c r="O10497" s="247"/>
      <c r="P10497"/>
      <c r="Q10497" s="224"/>
      <c r="S10497" s="202"/>
      <c r="T10497"/>
    </row>
    <row r="10498" spans="15:20">
      <c r="O10498" s="247"/>
      <c r="P10498"/>
      <c r="Q10498" s="224"/>
      <c r="S10498" s="202"/>
      <c r="T10498"/>
    </row>
    <row r="10499" spans="15:20">
      <c r="O10499" s="247"/>
      <c r="P10499"/>
      <c r="Q10499" s="224"/>
      <c r="S10499" s="202"/>
      <c r="T10499"/>
    </row>
    <row r="10500" spans="15:20">
      <c r="O10500" s="247"/>
      <c r="P10500"/>
      <c r="Q10500" s="224"/>
      <c r="S10500" s="202"/>
      <c r="T10500"/>
    </row>
    <row r="10501" spans="15:20">
      <c r="O10501" s="247"/>
      <c r="P10501"/>
      <c r="Q10501" s="224"/>
      <c r="S10501" s="202"/>
      <c r="T10501"/>
    </row>
    <row r="10502" spans="15:20">
      <c r="O10502" s="247"/>
      <c r="P10502"/>
      <c r="Q10502" s="224"/>
      <c r="S10502" s="202"/>
      <c r="T10502"/>
    </row>
    <row r="10503" spans="15:20">
      <c r="O10503" s="247"/>
      <c r="P10503"/>
      <c r="Q10503" s="224"/>
      <c r="S10503" s="202"/>
      <c r="T10503"/>
    </row>
    <row r="10504" spans="15:20">
      <c r="O10504" s="247"/>
      <c r="P10504"/>
      <c r="Q10504" s="224"/>
      <c r="S10504" s="202"/>
      <c r="T10504"/>
    </row>
    <row r="10505" spans="15:20">
      <c r="O10505" s="247"/>
      <c r="P10505"/>
      <c r="Q10505" s="224"/>
      <c r="S10505" s="202"/>
      <c r="T10505"/>
    </row>
    <row r="10506" spans="15:20">
      <c r="O10506" s="247"/>
      <c r="P10506"/>
      <c r="Q10506" s="224"/>
      <c r="S10506" s="202"/>
      <c r="T10506"/>
    </row>
    <row r="10507" spans="15:20">
      <c r="O10507" s="247"/>
      <c r="P10507"/>
      <c r="Q10507" s="224"/>
      <c r="S10507" s="202"/>
      <c r="T10507"/>
    </row>
    <row r="10508" spans="15:20">
      <c r="O10508" s="247"/>
      <c r="P10508"/>
      <c r="Q10508" s="224"/>
      <c r="S10508" s="202"/>
      <c r="T10508"/>
    </row>
    <row r="10509" spans="15:20">
      <c r="O10509" s="247"/>
      <c r="P10509"/>
      <c r="Q10509" s="224"/>
      <c r="S10509" s="202"/>
      <c r="T10509"/>
    </row>
    <row r="10510" spans="15:20">
      <c r="O10510" s="247"/>
      <c r="P10510"/>
      <c r="Q10510" s="224"/>
      <c r="S10510" s="202"/>
      <c r="T10510"/>
    </row>
    <row r="10511" spans="15:20">
      <c r="O10511" s="247"/>
      <c r="P10511"/>
      <c r="Q10511" s="224"/>
      <c r="S10511" s="202"/>
      <c r="T10511"/>
    </row>
    <row r="10512" spans="15:20">
      <c r="O10512" s="247"/>
      <c r="P10512"/>
      <c r="Q10512" s="224"/>
      <c r="S10512" s="202"/>
      <c r="T10512"/>
    </row>
    <row r="10513" spans="15:20">
      <c r="O10513" s="247"/>
      <c r="P10513"/>
      <c r="Q10513" s="224"/>
      <c r="S10513" s="202"/>
      <c r="T10513"/>
    </row>
    <row r="10514" spans="15:20">
      <c r="O10514" s="247"/>
      <c r="P10514"/>
      <c r="Q10514" s="224"/>
      <c r="S10514" s="202"/>
      <c r="T10514"/>
    </row>
    <row r="10515" spans="15:20">
      <c r="O10515" s="247"/>
      <c r="P10515"/>
      <c r="Q10515" s="224"/>
      <c r="S10515" s="202"/>
      <c r="T10515"/>
    </row>
    <row r="10516" spans="15:20">
      <c r="O10516" s="247"/>
      <c r="P10516"/>
      <c r="Q10516" s="224"/>
      <c r="S10516" s="202"/>
      <c r="T10516"/>
    </row>
    <row r="10517" spans="15:20">
      <c r="O10517" s="247"/>
      <c r="P10517"/>
      <c r="Q10517" s="224"/>
      <c r="S10517" s="202"/>
      <c r="T10517"/>
    </row>
    <row r="10518" spans="15:20">
      <c r="O10518" s="247"/>
      <c r="P10518"/>
      <c r="Q10518" s="224"/>
      <c r="S10518" s="202"/>
      <c r="T10518"/>
    </row>
    <row r="10519" spans="15:20">
      <c r="O10519" s="247"/>
      <c r="P10519"/>
      <c r="Q10519" s="224"/>
      <c r="S10519" s="202"/>
      <c r="T10519"/>
    </row>
    <row r="10520" spans="15:20">
      <c r="O10520" s="247"/>
      <c r="P10520"/>
      <c r="Q10520" s="224"/>
      <c r="S10520" s="202"/>
      <c r="T10520"/>
    </row>
    <row r="10521" spans="15:20">
      <c r="O10521" s="247"/>
      <c r="P10521"/>
      <c r="Q10521" s="224"/>
      <c r="S10521" s="202"/>
      <c r="T10521"/>
    </row>
    <row r="10522" spans="15:20">
      <c r="O10522" s="247"/>
      <c r="P10522"/>
      <c r="Q10522" s="224"/>
      <c r="S10522" s="202"/>
      <c r="T10522"/>
    </row>
    <row r="10523" spans="15:20">
      <c r="O10523" s="247"/>
      <c r="P10523"/>
      <c r="Q10523" s="224"/>
      <c r="S10523" s="202"/>
      <c r="T10523"/>
    </row>
    <row r="10524" spans="15:20">
      <c r="O10524" s="247"/>
      <c r="P10524"/>
      <c r="Q10524" s="224"/>
      <c r="S10524" s="202"/>
      <c r="T10524"/>
    </row>
    <row r="10525" spans="15:20">
      <c r="O10525" s="247"/>
      <c r="P10525"/>
      <c r="Q10525" s="224"/>
      <c r="S10525" s="202"/>
      <c r="T10525"/>
    </row>
    <row r="10526" spans="15:20">
      <c r="O10526" s="247"/>
      <c r="P10526"/>
      <c r="Q10526" s="224"/>
      <c r="S10526" s="202"/>
      <c r="T10526"/>
    </row>
    <row r="10527" spans="15:20">
      <c r="O10527" s="247"/>
      <c r="P10527"/>
      <c r="Q10527" s="224"/>
      <c r="S10527" s="202"/>
      <c r="T10527"/>
    </row>
    <row r="10528" spans="15:20">
      <c r="O10528" s="247"/>
      <c r="P10528"/>
      <c r="Q10528" s="224"/>
      <c r="S10528" s="202"/>
      <c r="T10528"/>
    </row>
    <row r="10529" spans="15:20">
      <c r="O10529" s="247"/>
      <c r="P10529"/>
      <c r="Q10529" s="224"/>
      <c r="S10529" s="202"/>
      <c r="T10529"/>
    </row>
    <row r="10530" spans="15:20">
      <c r="O10530" s="247"/>
      <c r="P10530"/>
      <c r="Q10530" s="224"/>
      <c r="S10530" s="202"/>
      <c r="T10530"/>
    </row>
    <row r="10531" spans="15:20">
      <c r="O10531" s="247"/>
      <c r="P10531"/>
      <c r="Q10531" s="224"/>
      <c r="S10531" s="202"/>
      <c r="T10531"/>
    </row>
    <row r="10532" spans="15:20">
      <c r="O10532" s="247"/>
      <c r="P10532"/>
      <c r="Q10532" s="224"/>
      <c r="S10532" s="202"/>
      <c r="T10532"/>
    </row>
    <row r="10533" spans="15:20">
      <c r="O10533" s="247"/>
      <c r="P10533"/>
      <c r="Q10533" s="224"/>
      <c r="S10533" s="202"/>
      <c r="T10533"/>
    </row>
    <row r="10534" spans="15:20">
      <c r="O10534" s="247"/>
      <c r="P10534"/>
      <c r="Q10534" s="224"/>
      <c r="S10534" s="202"/>
      <c r="T10534"/>
    </row>
    <row r="10535" spans="15:20">
      <c r="O10535" s="247"/>
      <c r="P10535"/>
      <c r="Q10535" s="224"/>
      <c r="S10535" s="202"/>
      <c r="T10535"/>
    </row>
    <row r="10536" spans="15:20">
      <c r="O10536" s="247"/>
      <c r="P10536"/>
      <c r="Q10536" s="224"/>
      <c r="S10536" s="202"/>
      <c r="T10536"/>
    </row>
    <row r="10537" spans="15:20">
      <c r="O10537" s="247"/>
      <c r="P10537"/>
      <c r="Q10537" s="224"/>
      <c r="S10537" s="202"/>
      <c r="T10537"/>
    </row>
    <row r="10538" spans="15:20">
      <c r="O10538" s="247"/>
      <c r="P10538"/>
      <c r="Q10538" s="224"/>
      <c r="S10538" s="202"/>
      <c r="T10538"/>
    </row>
    <row r="10539" spans="15:20">
      <c r="O10539" s="247"/>
      <c r="P10539"/>
      <c r="Q10539" s="224"/>
      <c r="S10539" s="202"/>
      <c r="T10539"/>
    </row>
    <row r="10540" spans="15:20">
      <c r="O10540" s="247"/>
      <c r="P10540"/>
      <c r="Q10540" s="224"/>
      <c r="S10540" s="202"/>
      <c r="T10540"/>
    </row>
    <row r="10541" spans="15:20">
      <c r="O10541" s="247"/>
      <c r="P10541"/>
      <c r="Q10541" s="224"/>
      <c r="S10541" s="202"/>
      <c r="T10541"/>
    </row>
    <row r="10542" spans="15:20">
      <c r="O10542" s="247"/>
      <c r="P10542"/>
      <c r="Q10542" s="224"/>
      <c r="S10542" s="202"/>
      <c r="T10542"/>
    </row>
    <row r="10543" spans="15:20">
      <c r="O10543" s="247"/>
      <c r="P10543"/>
      <c r="Q10543" s="224"/>
      <c r="S10543" s="202"/>
      <c r="T10543"/>
    </row>
    <row r="10544" spans="15:20">
      <c r="O10544" s="247"/>
      <c r="P10544"/>
      <c r="Q10544" s="224"/>
      <c r="S10544" s="202"/>
      <c r="T10544"/>
    </row>
    <row r="10545" spans="15:20">
      <c r="O10545" s="247"/>
      <c r="P10545"/>
      <c r="Q10545" s="224"/>
      <c r="S10545" s="202"/>
      <c r="T10545"/>
    </row>
    <row r="10546" spans="15:20">
      <c r="O10546" s="247"/>
      <c r="P10546"/>
      <c r="Q10546" s="224"/>
      <c r="S10546" s="202"/>
      <c r="T10546"/>
    </row>
    <row r="10547" spans="15:20">
      <c r="O10547" s="247"/>
      <c r="P10547"/>
      <c r="Q10547" s="224"/>
      <c r="S10547" s="202"/>
      <c r="T10547"/>
    </row>
    <row r="10548" spans="15:20">
      <c r="O10548" s="247"/>
      <c r="P10548"/>
      <c r="Q10548" s="224"/>
      <c r="S10548" s="202"/>
      <c r="T10548"/>
    </row>
    <row r="10549" spans="15:20">
      <c r="O10549" s="247"/>
      <c r="P10549"/>
      <c r="Q10549" s="224"/>
      <c r="S10549" s="202"/>
      <c r="T10549"/>
    </row>
    <row r="10550" spans="15:20">
      <c r="O10550" s="247"/>
      <c r="P10550"/>
      <c r="Q10550" s="224"/>
      <c r="S10550" s="202"/>
      <c r="T10550"/>
    </row>
    <row r="10551" spans="15:20">
      <c r="O10551" s="247"/>
      <c r="P10551"/>
      <c r="Q10551" s="224"/>
      <c r="S10551" s="202"/>
      <c r="T10551"/>
    </row>
    <row r="10552" spans="15:20">
      <c r="O10552" s="247"/>
      <c r="P10552"/>
      <c r="Q10552" s="224"/>
      <c r="S10552" s="202"/>
      <c r="T10552"/>
    </row>
    <row r="10553" spans="15:20">
      <c r="O10553" s="247"/>
      <c r="P10553"/>
      <c r="Q10553" s="224"/>
      <c r="S10553" s="202"/>
      <c r="T10553"/>
    </row>
    <row r="10554" spans="15:20">
      <c r="O10554" s="247"/>
      <c r="P10554"/>
      <c r="Q10554" s="224"/>
      <c r="S10554" s="202"/>
      <c r="T10554"/>
    </row>
    <row r="10555" spans="15:20">
      <c r="O10555" s="247"/>
      <c r="P10555"/>
      <c r="Q10555" s="224"/>
      <c r="S10555" s="202"/>
      <c r="T10555"/>
    </row>
    <row r="10556" spans="15:20">
      <c r="O10556" s="247"/>
      <c r="P10556"/>
      <c r="Q10556" s="224"/>
      <c r="S10556" s="202"/>
      <c r="T10556"/>
    </row>
    <row r="10557" spans="15:20">
      <c r="O10557" s="247"/>
      <c r="P10557"/>
      <c r="Q10557" s="224"/>
      <c r="S10557" s="202"/>
      <c r="T10557"/>
    </row>
    <row r="10558" spans="15:20">
      <c r="O10558" s="247"/>
      <c r="P10558"/>
      <c r="Q10558" s="224"/>
      <c r="S10558" s="202"/>
      <c r="T10558"/>
    </row>
    <row r="10559" spans="15:20">
      <c r="O10559" s="247"/>
      <c r="P10559"/>
      <c r="Q10559" s="224"/>
      <c r="S10559" s="202"/>
      <c r="T10559"/>
    </row>
    <row r="10560" spans="15:20">
      <c r="O10560" s="247"/>
      <c r="P10560"/>
      <c r="Q10560" s="224"/>
      <c r="S10560" s="202"/>
      <c r="T10560"/>
    </row>
    <row r="10561" spans="15:20">
      <c r="O10561" s="247"/>
      <c r="P10561"/>
      <c r="Q10561" s="224"/>
      <c r="S10561" s="202"/>
      <c r="T10561"/>
    </row>
    <row r="10562" spans="15:20">
      <c r="O10562" s="247"/>
      <c r="P10562"/>
      <c r="Q10562" s="224"/>
      <c r="S10562" s="202"/>
      <c r="T10562"/>
    </row>
    <row r="10563" spans="15:20">
      <c r="O10563" s="247"/>
      <c r="P10563"/>
      <c r="Q10563" s="224"/>
      <c r="S10563" s="202"/>
      <c r="T10563"/>
    </row>
    <row r="10564" spans="15:20">
      <c r="O10564" s="247"/>
      <c r="P10564"/>
      <c r="Q10564" s="224"/>
      <c r="S10564" s="202"/>
      <c r="T10564"/>
    </row>
    <row r="10565" spans="15:20">
      <c r="O10565" s="247"/>
      <c r="P10565"/>
      <c r="Q10565" s="224"/>
      <c r="S10565" s="202"/>
      <c r="T10565"/>
    </row>
    <row r="10566" spans="15:20">
      <c r="O10566" s="247"/>
      <c r="P10566"/>
      <c r="Q10566" s="224"/>
      <c r="S10566" s="202"/>
      <c r="T10566"/>
    </row>
    <row r="10567" spans="15:20">
      <c r="O10567" s="247"/>
      <c r="P10567"/>
      <c r="Q10567" s="224"/>
      <c r="S10567" s="202"/>
      <c r="T10567"/>
    </row>
    <row r="10568" spans="15:20">
      <c r="O10568" s="247"/>
      <c r="P10568"/>
      <c r="Q10568" s="224"/>
      <c r="S10568" s="202"/>
      <c r="T10568"/>
    </row>
    <row r="10569" spans="15:20">
      <c r="O10569" s="247"/>
      <c r="P10569"/>
      <c r="Q10569" s="224"/>
      <c r="S10569" s="202"/>
      <c r="T10569"/>
    </row>
    <row r="10570" spans="15:20">
      <c r="O10570" s="247"/>
      <c r="P10570"/>
      <c r="Q10570" s="224"/>
      <c r="S10570" s="202"/>
      <c r="T10570"/>
    </row>
    <row r="10571" spans="15:20">
      <c r="O10571" s="247"/>
      <c r="P10571"/>
      <c r="Q10571" s="224"/>
      <c r="S10571" s="202"/>
      <c r="T10571"/>
    </row>
    <row r="10572" spans="15:20">
      <c r="O10572" s="247"/>
      <c r="P10572"/>
      <c r="Q10572" s="224"/>
      <c r="S10572" s="202"/>
      <c r="T10572"/>
    </row>
    <row r="10573" spans="15:20">
      <c r="O10573" s="247"/>
      <c r="P10573"/>
      <c r="Q10573" s="224"/>
      <c r="S10573" s="202"/>
      <c r="T10573"/>
    </row>
    <row r="10574" spans="15:20">
      <c r="O10574" s="247"/>
      <c r="P10574"/>
      <c r="Q10574" s="224"/>
      <c r="S10574" s="202"/>
      <c r="T10574"/>
    </row>
    <row r="10575" spans="15:20">
      <c r="O10575" s="247"/>
      <c r="P10575"/>
      <c r="Q10575" s="224"/>
      <c r="S10575" s="202"/>
      <c r="T10575"/>
    </row>
    <row r="10576" spans="15:20">
      <c r="O10576" s="247"/>
      <c r="P10576"/>
      <c r="Q10576" s="224"/>
      <c r="S10576" s="202"/>
      <c r="T10576"/>
    </row>
    <row r="10577" spans="15:20">
      <c r="O10577" s="247"/>
      <c r="P10577"/>
      <c r="Q10577" s="224"/>
      <c r="S10577" s="202"/>
      <c r="T10577"/>
    </row>
    <row r="10578" spans="15:20">
      <c r="O10578" s="247"/>
      <c r="P10578"/>
      <c r="Q10578" s="224"/>
      <c r="S10578" s="202"/>
      <c r="T10578"/>
    </row>
    <row r="10579" spans="15:20">
      <c r="O10579" s="247"/>
      <c r="P10579"/>
      <c r="Q10579" s="224"/>
      <c r="S10579" s="202"/>
      <c r="T10579"/>
    </row>
    <row r="10580" spans="15:20">
      <c r="O10580" s="247"/>
      <c r="P10580"/>
      <c r="Q10580" s="224"/>
      <c r="S10580" s="202"/>
      <c r="T10580"/>
    </row>
    <row r="10581" spans="15:20">
      <c r="O10581" s="247"/>
      <c r="P10581"/>
      <c r="Q10581" s="224"/>
      <c r="S10581" s="202"/>
      <c r="T10581"/>
    </row>
    <row r="10582" spans="15:20">
      <c r="O10582" s="247"/>
      <c r="P10582"/>
      <c r="Q10582" s="224"/>
      <c r="S10582" s="202"/>
      <c r="T10582"/>
    </row>
    <row r="10583" spans="15:20">
      <c r="O10583" s="247"/>
      <c r="P10583"/>
      <c r="Q10583" s="224"/>
      <c r="S10583" s="202"/>
      <c r="T10583"/>
    </row>
    <row r="10584" spans="15:20">
      <c r="O10584" s="247"/>
      <c r="P10584"/>
      <c r="Q10584" s="224"/>
      <c r="S10584" s="202"/>
      <c r="T10584"/>
    </row>
    <row r="10585" spans="15:20">
      <c r="O10585" s="247"/>
      <c r="P10585"/>
      <c r="Q10585" s="224"/>
      <c r="S10585" s="202"/>
      <c r="T10585"/>
    </row>
    <row r="10586" spans="15:20">
      <c r="O10586" s="247"/>
      <c r="P10586"/>
      <c r="Q10586" s="224"/>
      <c r="S10586" s="202"/>
      <c r="T10586"/>
    </row>
    <row r="10587" spans="15:20">
      <c r="O10587" s="247"/>
      <c r="P10587"/>
      <c r="Q10587" s="224"/>
      <c r="S10587" s="202"/>
      <c r="T10587"/>
    </row>
    <row r="10588" spans="15:20">
      <c r="O10588" s="247"/>
      <c r="P10588"/>
      <c r="Q10588" s="224"/>
      <c r="S10588" s="202"/>
      <c r="T10588"/>
    </row>
    <row r="10589" spans="15:20">
      <c r="O10589" s="247"/>
      <c r="P10589"/>
      <c r="Q10589" s="224"/>
      <c r="S10589" s="202"/>
      <c r="T10589"/>
    </row>
    <row r="10590" spans="15:20">
      <c r="O10590" s="247"/>
      <c r="P10590"/>
      <c r="Q10590" s="224"/>
      <c r="S10590" s="202"/>
      <c r="T10590"/>
    </row>
    <row r="10591" spans="15:20">
      <c r="O10591" s="247"/>
      <c r="P10591"/>
      <c r="Q10591" s="224"/>
      <c r="S10591" s="202"/>
      <c r="T10591"/>
    </row>
    <row r="10592" spans="15:20">
      <c r="O10592" s="247"/>
      <c r="P10592"/>
      <c r="Q10592" s="224"/>
      <c r="S10592" s="202"/>
      <c r="T10592"/>
    </row>
    <row r="10593" spans="15:20">
      <c r="O10593" s="247"/>
      <c r="P10593"/>
      <c r="Q10593" s="224"/>
      <c r="S10593" s="202"/>
      <c r="T10593"/>
    </row>
    <row r="10594" spans="15:20">
      <c r="O10594" s="247"/>
      <c r="P10594"/>
      <c r="Q10594" s="224"/>
      <c r="S10594" s="202"/>
      <c r="T10594"/>
    </row>
    <row r="10595" spans="15:20">
      <c r="O10595" s="247"/>
      <c r="P10595"/>
      <c r="Q10595" s="224"/>
      <c r="S10595" s="202"/>
      <c r="T10595"/>
    </row>
    <row r="10596" spans="15:20">
      <c r="O10596" s="247"/>
      <c r="P10596"/>
      <c r="Q10596" s="224"/>
      <c r="S10596" s="202"/>
      <c r="T10596"/>
    </row>
    <row r="10597" spans="15:20">
      <c r="O10597" s="247"/>
      <c r="P10597"/>
      <c r="Q10597" s="224"/>
      <c r="S10597" s="202"/>
      <c r="T10597"/>
    </row>
    <row r="10598" spans="15:20">
      <c r="O10598" s="247"/>
      <c r="P10598"/>
      <c r="Q10598" s="224"/>
      <c r="S10598" s="202"/>
      <c r="T10598"/>
    </row>
    <row r="10599" spans="15:20">
      <c r="O10599" s="247"/>
      <c r="P10599"/>
      <c r="Q10599" s="224"/>
      <c r="S10599" s="202"/>
      <c r="T10599"/>
    </row>
    <row r="10600" spans="15:20">
      <c r="O10600" s="247"/>
      <c r="P10600"/>
      <c r="Q10600" s="224"/>
      <c r="S10600" s="202"/>
      <c r="T10600"/>
    </row>
    <row r="10601" spans="15:20">
      <c r="O10601" s="247"/>
      <c r="P10601"/>
      <c r="Q10601" s="224"/>
      <c r="S10601" s="202"/>
      <c r="T10601"/>
    </row>
    <row r="10602" spans="15:20">
      <c r="O10602" s="247"/>
      <c r="P10602"/>
      <c r="Q10602" s="224"/>
      <c r="S10602" s="202"/>
      <c r="T10602"/>
    </row>
    <row r="10603" spans="15:20">
      <c r="O10603" s="247"/>
      <c r="P10603"/>
      <c r="Q10603" s="224"/>
      <c r="S10603" s="202"/>
      <c r="T10603"/>
    </row>
    <row r="10604" spans="15:20">
      <c r="O10604" s="247"/>
      <c r="P10604"/>
      <c r="Q10604" s="224"/>
      <c r="S10604" s="202"/>
      <c r="T10604"/>
    </row>
    <row r="10605" spans="15:20">
      <c r="O10605" s="247"/>
      <c r="P10605"/>
      <c r="Q10605" s="224"/>
      <c r="S10605" s="202"/>
      <c r="T10605"/>
    </row>
    <row r="10606" spans="15:20">
      <c r="O10606" s="247"/>
      <c r="P10606"/>
      <c r="Q10606" s="224"/>
      <c r="S10606" s="202"/>
      <c r="T10606"/>
    </row>
    <row r="10607" spans="15:20">
      <c r="O10607" s="247"/>
      <c r="P10607"/>
      <c r="Q10607" s="224"/>
      <c r="S10607" s="202"/>
      <c r="T10607"/>
    </row>
    <row r="10608" spans="15:20">
      <c r="O10608" s="247"/>
      <c r="P10608"/>
      <c r="Q10608" s="224"/>
      <c r="S10608" s="202"/>
      <c r="T10608"/>
    </row>
    <row r="10609" spans="15:20">
      <c r="O10609" s="247"/>
      <c r="P10609"/>
      <c r="Q10609" s="224"/>
      <c r="S10609" s="202"/>
      <c r="T10609"/>
    </row>
    <row r="10610" spans="15:20">
      <c r="O10610" s="247"/>
      <c r="P10610"/>
      <c r="Q10610" s="224"/>
      <c r="S10610" s="202"/>
      <c r="T10610"/>
    </row>
    <row r="10611" spans="15:20">
      <c r="O10611" s="247"/>
      <c r="P10611"/>
      <c r="Q10611" s="224"/>
      <c r="S10611" s="202"/>
      <c r="T10611"/>
    </row>
    <row r="10612" spans="15:20">
      <c r="O10612" s="247"/>
      <c r="P10612"/>
      <c r="Q10612" s="224"/>
      <c r="S10612" s="202"/>
      <c r="T10612"/>
    </row>
    <row r="10613" spans="15:20">
      <c r="O10613" s="247"/>
      <c r="P10613"/>
      <c r="Q10613" s="224"/>
      <c r="S10613" s="202"/>
      <c r="T10613"/>
    </row>
    <row r="10614" spans="15:20">
      <c r="O10614" s="247"/>
      <c r="P10614"/>
      <c r="Q10614" s="224"/>
      <c r="S10614" s="202"/>
      <c r="T10614"/>
    </row>
    <row r="10615" spans="15:20">
      <c r="O10615" s="247"/>
      <c r="P10615"/>
      <c r="Q10615" s="224"/>
      <c r="S10615" s="202"/>
      <c r="T10615"/>
    </row>
    <row r="10616" spans="15:20">
      <c r="O10616" s="247"/>
      <c r="P10616"/>
      <c r="Q10616" s="224"/>
      <c r="S10616" s="202"/>
      <c r="T10616"/>
    </row>
    <row r="10617" spans="15:20">
      <c r="O10617" s="247"/>
      <c r="P10617"/>
      <c r="Q10617" s="224"/>
      <c r="S10617" s="202"/>
      <c r="T10617"/>
    </row>
    <row r="10618" spans="15:20">
      <c r="O10618" s="247"/>
      <c r="P10618"/>
      <c r="Q10618" s="224"/>
      <c r="S10618" s="202"/>
      <c r="T10618"/>
    </row>
    <row r="10619" spans="15:20">
      <c r="O10619" s="247"/>
      <c r="P10619"/>
      <c r="Q10619" s="224"/>
      <c r="S10619" s="202"/>
      <c r="T10619"/>
    </row>
    <row r="10620" spans="15:20">
      <c r="O10620" s="247"/>
      <c r="P10620"/>
      <c r="Q10620" s="224"/>
      <c r="S10620" s="202"/>
      <c r="T10620"/>
    </row>
    <row r="10621" spans="15:20">
      <c r="O10621" s="247"/>
      <c r="P10621"/>
      <c r="Q10621" s="224"/>
      <c r="S10621" s="202"/>
      <c r="T10621"/>
    </row>
    <row r="10622" spans="15:20">
      <c r="O10622" s="247"/>
      <c r="P10622"/>
      <c r="Q10622" s="224"/>
      <c r="S10622" s="202"/>
      <c r="T10622"/>
    </row>
    <row r="10623" spans="15:20">
      <c r="O10623" s="247"/>
      <c r="P10623"/>
      <c r="Q10623" s="224"/>
      <c r="S10623" s="202"/>
      <c r="T10623"/>
    </row>
    <row r="10624" spans="15:20">
      <c r="O10624" s="247"/>
      <c r="P10624"/>
      <c r="Q10624" s="224"/>
      <c r="S10624" s="202"/>
      <c r="T10624"/>
    </row>
    <row r="10625" spans="15:20">
      <c r="O10625" s="247"/>
      <c r="P10625"/>
      <c r="Q10625" s="224"/>
      <c r="S10625" s="202"/>
      <c r="T10625"/>
    </row>
    <row r="10626" spans="15:20">
      <c r="O10626" s="247"/>
      <c r="P10626"/>
      <c r="Q10626" s="224"/>
      <c r="S10626" s="202"/>
      <c r="T10626"/>
    </row>
    <row r="10627" spans="15:20">
      <c r="O10627" s="247"/>
      <c r="P10627"/>
      <c r="Q10627" s="224"/>
      <c r="S10627" s="202"/>
      <c r="T10627"/>
    </row>
    <row r="10628" spans="15:20">
      <c r="O10628" s="247"/>
      <c r="P10628"/>
      <c r="Q10628" s="224"/>
      <c r="S10628" s="202"/>
      <c r="T10628"/>
    </row>
    <row r="10629" spans="15:20">
      <c r="O10629" s="247"/>
      <c r="P10629"/>
      <c r="Q10629" s="224"/>
      <c r="S10629" s="202"/>
      <c r="T10629"/>
    </row>
    <row r="10630" spans="15:20">
      <c r="O10630" s="247"/>
      <c r="P10630"/>
      <c r="Q10630" s="224"/>
      <c r="S10630" s="202"/>
      <c r="T10630"/>
    </row>
    <row r="10631" spans="15:20">
      <c r="O10631" s="247"/>
      <c r="P10631"/>
      <c r="Q10631" s="224"/>
      <c r="S10631" s="202"/>
      <c r="T10631"/>
    </row>
    <row r="10632" spans="15:20">
      <c r="O10632" s="247"/>
      <c r="P10632"/>
      <c r="Q10632" s="224"/>
      <c r="S10632" s="202"/>
      <c r="T10632"/>
    </row>
    <row r="10633" spans="15:20">
      <c r="O10633" s="247"/>
      <c r="P10633"/>
      <c r="Q10633" s="224"/>
      <c r="S10633" s="202"/>
      <c r="T10633"/>
    </row>
    <row r="10634" spans="15:20">
      <c r="O10634" s="247"/>
      <c r="P10634"/>
      <c r="Q10634" s="224"/>
      <c r="S10634" s="202"/>
      <c r="T10634"/>
    </row>
    <row r="10635" spans="15:20">
      <c r="O10635" s="247"/>
      <c r="P10635"/>
      <c r="Q10635" s="224"/>
      <c r="S10635" s="202"/>
      <c r="T10635"/>
    </row>
    <row r="10636" spans="15:20">
      <c r="O10636" s="247"/>
      <c r="P10636"/>
      <c r="Q10636" s="224"/>
      <c r="S10636" s="202"/>
      <c r="T10636"/>
    </row>
    <row r="10637" spans="15:20">
      <c r="O10637" s="247"/>
      <c r="P10637"/>
      <c r="Q10637" s="224"/>
      <c r="S10637" s="202"/>
      <c r="T10637"/>
    </row>
    <row r="10638" spans="15:20">
      <c r="O10638" s="247"/>
      <c r="P10638"/>
      <c r="Q10638" s="224"/>
      <c r="S10638" s="202"/>
      <c r="T10638"/>
    </row>
    <row r="10639" spans="15:20">
      <c r="O10639" s="247"/>
      <c r="P10639"/>
      <c r="Q10639" s="224"/>
      <c r="S10639" s="202"/>
      <c r="T10639"/>
    </row>
    <row r="10640" spans="15:20">
      <c r="O10640" s="247"/>
      <c r="P10640"/>
      <c r="Q10640" s="224"/>
      <c r="S10640" s="202"/>
      <c r="T10640"/>
    </row>
    <row r="10641" spans="15:20">
      <c r="O10641" s="247"/>
      <c r="P10641"/>
      <c r="Q10641" s="224"/>
      <c r="S10641" s="202"/>
      <c r="T10641"/>
    </row>
    <row r="10642" spans="15:20">
      <c r="O10642" s="247"/>
      <c r="P10642"/>
      <c r="Q10642" s="224"/>
      <c r="S10642" s="202"/>
      <c r="T10642"/>
    </row>
    <row r="10643" spans="15:20">
      <c r="O10643" s="247"/>
      <c r="P10643"/>
      <c r="Q10643" s="224"/>
      <c r="S10643" s="202"/>
      <c r="T10643"/>
    </row>
    <row r="10644" spans="15:20">
      <c r="O10644" s="247"/>
      <c r="P10644"/>
      <c r="Q10644" s="224"/>
      <c r="S10644" s="202"/>
      <c r="T10644"/>
    </row>
    <row r="10645" spans="15:20">
      <c r="O10645" s="247"/>
      <c r="P10645"/>
      <c r="Q10645" s="224"/>
      <c r="S10645" s="202"/>
      <c r="T10645"/>
    </row>
    <row r="10646" spans="15:20">
      <c r="O10646" s="247"/>
      <c r="P10646"/>
      <c r="Q10646" s="224"/>
      <c r="S10646" s="202"/>
      <c r="T10646"/>
    </row>
    <row r="10647" spans="15:20">
      <c r="O10647" s="247"/>
      <c r="P10647"/>
      <c r="Q10647" s="224"/>
      <c r="S10647" s="202"/>
      <c r="T10647"/>
    </row>
    <row r="10648" spans="15:20">
      <c r="O10648" s="247"/>
      <c r="P10648"/>
      <c r="Q10648" s="224"/>
      <c r="S10648" s="202"/>
      <c r="T10648"/>
    </row>
    <row r="10649" spans="15:20">
      <c r="O10649" s="247"/>
      <c r="P10649"/>
      <c r="Q10649" s="224"/>
      <c r="S10649" s="202"/>
      <c r="T10649"/>
    </row>
    <row r="10650" spans="15:20">
      <c r="O10650" s="247"/>
      <c r="P10650"/>
      <c r="Q10650" s="224"/>
      <c r="S10650" s="202"/>
      <c r="T10650"/>
    </row>
    <row r="10651" spans="15:20">
      <c r="O10651" s="247"/>
      <c r="P10651"/>
      <c r="Q10651" s="224"/>
      <c r="S10651" s="202"/>
      <c r="T10651"/>
    </row>
    <row r="10652" spans="15:20">
      <c r="O10652" s="247"/>
      <c r="P10652"/>
      <c r="Q10652" s="224"/>
      <c r="S10652" s="202"/>
      <c r="T10652"/>
    </row>
    <row r="10653" spans="15:20">
      <c r="O10653" s="247"/>
      <c r="P10653"/>
      <c r="Q10653" s="224"/>
      <c r="S10653" s="202"/>
      <c r="T10653"/>
    </row>
    <row r="10654" spans="15:20">
      <c r="O10654" s="247"/>
      <c r="P10654"/>
      <c r="Q10654" s="224"/>
      <c r="S10654" s="202"/>
      <c r="T10654"/>
    </row>
    <row r="10655" spans="15:20">
      <c r="O10655" s="247"/>
      <c r="P10655"/>
      <c r="Q10655" s="224"/>
      <c r="S10655" s="202"/>
      <c r="T10655"/>
    </row>
    <row r="10656" spans="15:20">
      <c r="O10656" s="247"/>
      <c r="P10656"/>
      <c r="Q10656" s="224"/>
      <c r="S10656" s="202"/>
      <c r="T10656"/>
    </row>
    <row r="10657" spans="15:20">
      <c r="O10657" s="247"/>
      <c r="P10657"/>
      <c r="Q10657" s="224"/>
      <c r="S10657" s="202"/>
      <c r="T10657"/>
    </row>
    <row r="10658" spans="15:20">
      <c r="O10658" s="247"/>
      <c r="P10658"/>
      <c r="Q10658" s="224"/>
      <c r="S10658" s="202"/>
      <c r="T10658"/>
    </row>
    <row r="10659" spans="15:20">
      <c r="O10659" s="247"/>
      <c r="P10659"/>
      <c r="Q10659" s="224"/>
      <c r="S10659" s="202"/>
      <c r="T10659"/>
    </row>
    <row r="10660" spans="15:20">
      <c r="O10660" s="247"/>
      <c r="P10660"/>
      <c r="Q10660" s="224"/>
      <c r="S10660" s="202"/>
      <c r="T10660"/>
    </row>
    <row r="10661" spans="15:20">
      <c r="O10661" s="247"/>
      <c r="P10661"/>
      <c r="Q10661" s="224"/>
      <c r="S10661" s="202"/>
      <c r="T10661"/>
    </row>
    <row r="10662" spans="15:20">
      <c r="O10662" s="247"/>
      <c r="P10662"/>
      <c r="Q10662" s="224"/>
      <c r="S10662" s="202"/>
      <c r="T10662"/>
    </row>
    <row r="10663" spans="15:20">
      <c r="O10663" s="247"/>
      <c r="P10663"/>
      <c r="Q10663" s="224"/>
      <c r="S10663" s="202"/>
      <c r="T10663"/>
    </row>
    <row r="10664" spans="15:20">
      <c r="O10664" s="247"/>
      <c r="P10664"/>
      <c r="Q10664" s="224"/>
      <c r="S10664" s="202"/>
      <c r="T10664"/>
    </row>
    <row r="10665" spans="15:20">
      <c r="O10665" s="247"/>
      <c r="P10665"/>
      <c r="Q10665" s="224"/>
      <c r="S10665" s="202"/>
      <c r="T10665"/>
    </row>
    <row r="10666" spans="15:20">
      <c r="O10666" s="247"/>
      <c r="P10666"/>
      <c r="Q10666" s="224"/>
      <c r="S10666" s="202"/>
      <c r="T10666"/>
    </row>
    <row r="10667" spans="15:20">
      <c r="O10667" s="247"/>
      <c r="P10667"/>
      <c r="Q10667" s="224"/>
      <c r="S10667" s="202"/>
      <c r="T10667"/>
    </row>
    <row r="10668" spans="15:20">
      <c r="O10668" s="247"/>
      <c r="P10668"/>
      <c r="Q10668" s="224"/>
      <c r="S10668" s="202"/>
      <c r="T10668"/>
    </row>
    <row r="10669" spans="15:20">
      <c r="O10669" s="247"/>
      <c r="P10669"/>
      <c r="Q10669" s="224"/>
      <c r="S10669" s="202"/>
      <c r="T10669"/>
    </row>
    <row r="10670" spans="15:20">
      <c r="O10670" s="247"/>
      <c r="P10670"/>
      <c r="Q10670" s="224"/>
      <c r="S10670" s="202"/>
      <c r="T10670"/>
    </row>
    <row r="10671" spans="15:20">
      <c r="O10671" s="247"/>
      <c r="P10671"/>
      <c r="Q10671" s="224"/>
      <c r="S10671" s="202"/>
      <c r="T10671"/>
    </row>
    <row r="10672" spans="15:20">
      <c r="O10672" s="247"/>
      <c r="P10672"/>
      <c r="Q10672" s="224"/>
      <c r="S10672" s="202"/>
      <c r="T10672"/>
    </row>
    <row r="10673" spans="15:20">
      <c r="O10673" s="247"/>
      <c r="P10673"/>
      <c r="Q10673" s="224"/>
      <c r="S10673" s="202"/>
      <c r="T10673"/>
    </row>
    <row r="10674" spans="15:20">
      <c r="O10674" s="247"/>
      <c r="P10674"/>
      <c r="Q10674" s="224"/>
      <c r="S10674" s="202"/>
      <c r="T10674"/>
    </row>
    <row r="10675" spans="15:20">
      <c r="O10675" s="247"/>
      <c r="P10675"/>
      <c r="Q10675" s="224"/>
      <c r="S10675" s="202"/>
      <c r="T10675"/>
    </row>
    <row r="10676" spans="15:20">
      <c r="O10676" s="247"/>
      <c r="P10676"/>
      <c r="Q10676" s="224"/>
      <c r="S10676" s="202"/>
      <c r="T10676"/>
    </row>
    <row r="10677" spans="15:20">
      <c r="O10677" s="247"/>
      <c r="P10677"/>
      <c r="Q10677" s="224"/>
      <c r="S10677" s="202"/>
      <c r="T10677"/>
    </row>
    <row r="10678" spans="15:20">
      <c r="O10678" s="247"/>
      <c r="P10678"/>
      <c r="Q10678" s="224"/>
      <c r="S10678" s="202"/>
      <c r="T10678"/>
    </row>
    <row r="10679" spans="15:20">
      <c r="O10679" s="247"/>
      <c r="P10679"/>
      <c r="Q10679" s="224"/>
      <c r="S10679" s="202"/>
      <c r="T10679"/>
    </row>
    <row r="10680" spans="15:20">
      <c r="O10680" s="247"/>
      <c r="P10680"/>
      <c r="Q10680" s="224"/>
      <c r="S10680" s="202"/>
      <c r="T10680"/>
    </row>
    <row r="10681" spans="15:20">
      <c r="O10681" s="247"/>
      <c r="P10681"/>
      <c r="Q10681" s="224"/>
      <c r="S10681" s="202"/>
      <c r="T10681"/>
    </row>
    <row r="10682" spans="15:20">
      <c r="O10682" s="247"/>
      <c r="P10682"/>
      <c r="Q10682" s="224"/>
      <c r="S10682" s="202"/>
      <c r="T10682"/>
    </row>
    <row r="10683" spans="15:20">
      <c r="O10683" s="247"/>
      <c r="P10683"/>
      <c r="Q10683" s="224"/>
      <c r="S10683" s="202"/>
      <c r="T10683"/>
    </row>
    <row r="10684" spans="15:20">
      <c r="O10684" s="247"/>
      <c r="P10684"/>
      <c r="Q10684" s="224"/>
      <c r="S10684" s="202"/>
      <c r="T10684"/>
    </row>
    <row r="10685" spans="15:20">
      <c r="O10685" s="247"/>
      <c r="P10685"/>
      <c r="Q10685" s="224"/>
      <c r="S10685" s="202"/>
      <c r="T10685"/>
    </row>
    <row r="10686" spans="15:20">
      <c r="O10686" s="247"/>
      <c r="P10686"/>
      <c r="Q10686" s="224"/>
      <c r="S10686" s="202"/>
      <c r="T10686"/>
    </row>
    <row r="10687" spans="15:20">
      <c r="O10687" s="247"/>
      <c r="P10687"/>
      <c r="Q10687" s="224"/>
      <c r="S10687" s="202"/>
      <c r="T10687"/>
    </row>
    <row r="10688" spans="15:20">
      <c r="O10688" s="247"/>
      <c r="P10688"/>
      <c r="Q10688" s="224"/>
      <c r="S10688" s="202"/>
      <c r="T10688"/>
    </row>
    <row r="10689" spans="15:20">
      <c r="O10689" s="247"/>
      <c r="P10689"/>
      <c r="Q10689" s="224"/>
      <c r="S10689" s="202"/>
      <c r="T10689"/>
    </row>
    <row r="10690" spans="15:20">
      <c r="O10690" s="247"/>
      <c r="P10690"/>
      <c r="Q10690" s="224"/>
      <c r="S10690" s="202"/>
      <c r="T10690"/>
    </row>
    <row r="10691" spans="15:20">
      <c r="O10691" s="247"/>
      <c r="P10691"/>
      <c r="Q10691" s="224"/>
      <c r="S10691" s="202"/>
      <c r="T10691"/>
    </row>
    <row r="10692" spans="15:20">
      <c r="O10692" s="247"/>
      <c r="P10692"/>
      <c r="Q10692" s="224"/>
      <c r="S10692" s="202"/>
      <c r="T10692"/>
    </row>
    <row r="10693" spans="15:20">
      <c r="O10693" s="247"/>
      <c r="P10693"/>
      <c r="Q10693" s="224"/>
      <c r="S10693" s="202"/>
      <c r="T10693"/>
    </row>
    <row r="10694" spans="15:20">
      <c r="O10694" s="247"/>
      <c r="P10694"/>
      <c r="Q10694" s="224"/>
      <c r="S10694" s="202"/>
      <c r="T10694"/>
    </row>
    <row r="10695" spans="15:20">
      <c r="O10695" s="247"/>
      <c r="P10695"/>
      <c r="Q10695" s="224"/>
      <c r="S10695" s="202"/>
      <c r="T10695"/>
    </row>
    <row r="10696" spans="15:20">
      <c r="O10696" s="247"/>
      <c r="P10696"/>
      <c r="Q10696" s="224"/>
      <c r="S10696" s="202"/>
      <c r="T10696"/>
    </row>
    <row r="10697" spans="15:20">
      <c r="O10697" s="247"/>
      <c r="P10697"/>
      <c r="Q10697" s="224"/>
      <c r="S10697" s="202"/>
      <c r="T10697"/>
    </row>
    <row r="10698" spans="15:20">
      <c r="O10698" s="247"/>
      <c r="P10698"/>
      <c r="Q10698" s="224"/>
      <c r="S10698" s="202"/>
      <c r="T10698"/>
    </row>
    <row r="10699" spans="15:20">
      <c r="O10699" s="247"/>
      <c r="P10699"/>
      <c r="Q10699" s="224"/>
      <c r="S10699" s="202"/>
      <c r="T10699"/>
    </row>
    <row r="10700" spans="15:20">
      <c r="O10700" s="247"/>
      <c r="P10700"/>
      <c r="Q10700" s="224"/>
      <c r="S10700" s="202"/>
      <c r="T10700"/>
    </row>
    <row r="10701" spans="15:20">
      <c r="O10701" s="247"/>
      <c r="P10701"/>
      <c r="Q10701" s="224"/>
      <c r="S10701" s="202"/>
      <c r="T10701"/>
    </row>
    <row r="10702" spans="15:20">
      <c r="O10702" s="247"/>
      <c r="P10702"/>
      <c r="Q10702" s="224"/>
      <c r="S10702" s="202"/>
      <c r="T10702"/>
    </row>
    <row r="10703" spans="15:20">
      <c r="O10703" s="247"/>
      <c r="P10703"/>
      <c r="Q10703" s="224"/>
      <c r="S10703" s="202"/>
      <c r="T10703"/>
    </row>
    <row r="10704" spans="15:20">
      <c r="O10704" s="247"/>
      <c r="P10704"/>
      <c r="Q10704" s="224"/>
      <c r="S10704" s="202"/>
      <c r="T10704"/>
    </row>
    <row r="10705" spans="15:20">
      <c r="O10705" s="247"/>
      <c r="P10705"/>
      <c r="Q10705" s="224"/>
      <c r="S10705" s="202"/>
      <c r="T10705"/>
    </row>
    <row r="10706" spans="15:20">
      <c r="O10706" s="247"/>
      <c r="P10706"/>
      <c r="Q10706" s="224"/>
      <c r="S10706" s="202"/>
      <c r="T10706"/>
    </row>
    <row r="10707" spans="15:20">
      <c r="O10707" s="247"/>
      <c r="P10707"/>
      <c r="Q10707" s="224"/>
      <c r="S10707" s="202"/>
      <c r="T10707"/>
    </row>
    <row r="10708" spans="15:20">
      <c r="O10708" s="247"/>
      <c r="P10708"/>
      <c r="Q10708" s="224"/>
      <c r="S10708" s="202"/>
      <c r="T10708"/>
    </row>
    <row r="10709" spans="15:20">
      <c r="O10709" s="247"/>
      <c r="P10709"/>
      <c r="Q10709" s="224"/>
      <c r="S10709" s="202"/>
      <c r="T10709"/>
    </row>
    <row r="10710" spans="15:20">
      <c r="O10710" s="247"/>
      <c r="P10710"/>
      <c r="Q10710" s="224"/>
      <c r="S10710" s="202"/>
      <c r="T10710"/>
    </row>
    <row r="10711" spans="15:20">
      <c r="O10711" s="247"/>
      <c r="P10711"/>
      <c r="Q10711" s="224"/>
      <c r="S10711" s="202"/>
      <c r="T10711"/>
    </row>
    <row r="10712" spans="15:20">
      <c r="O10712" s="247"/>
      <c r="P10712"/>
      <c r="Q10712" s="224"/>
      <c r="S10712" s="202"/>
      <c r="T10712"/>
    </row>
    <row r="10713" spans="15:20">
      <c r="O10713" s="247"/>
      <c r="P10713"/>
      <c r="Q10713" s="224"/>
      <c r="S10713" s="202"/>
      <c r="T10713"/>
    </row>
    <row r="10714" spans="15:20">
      <c r="O10714" s="247"/>
      <c r="P10714"/>
      <c r="Q10714" s="224"/>
      <c r="S10714" s="202"/>
      <c r="T10714"/>
    </row>
    <row r="10715" spans="15:20">
      <c r="O10715" s="247"/>
      <c r="P10715"/>
      <c r="Q10715" s="224"/>
      <c r="S10715" s="202"/>
      <c r="T10715"/>
    </row>
    <row r="10716" spans="15:20">
      <c r="O10716" s="247"/>
      <c r="P10716"/>
      <c r="Q10716" s="224"/>
      <c r="S10716" s="202"/>
      <c r="T10716"/>
    </row>
    <row r="10717" spans="15:20">
      <c r="O10717" s="247"/>
      <c r="P10717"/>
      <c r="Q10717" s="224"/>
      <c r="S10717" s="202"/>
      <c r="T10717"/>
    </row>
    <row r="10718" spans="15:20">
      <c r="O10718" s="247"/>
      <c r="P10718"/>
      <c r="Q10718" s="224"/>
      <c r="S10718" s="202"/>
      <c r="T10718"/>
    </row>
    <row r="10719" spans="15:20">
      <c r="O10719" s="247"/>
      <c r="P10719"/>
      <c r="Q10719" s="224"/>
      <c r="S10719" s="202"/>
      <c r="T10719"/>
    </row>
    <row r="10720" spans="15:20">
      <c r="O10720" s="247"/>
      <c r="P10720"/>
      <c r="Q10720" s="224"/>
      <c r="S10720" s="202"/>
      <c r="T10720"/>
    </row>
    <row r="10721" spans="15:20">
      <c r="O10721" s="247"/>
      <c r="P10721"/>
      <c r="Q10721" s="224"/>
      <c r="S10721" s="202"/>
      <c r="T10721"/>
    </row>
    <row r="10722" spans="15:20">
      <c r="O10722" s="247"/>
      <c r="P10722"/>
      <c r="Q10722" s="224"/>
      <c r="S10722" s="202"/>
      <c r="T10722"/>
    </row>
    <row r="10723" spans="15:20">
      <c r="O10723" s="247"/>
      <c r="P10723"/>
      <c r="Q10723" s="224"/>
      <c r="S10723" s="202"/>
      <c r="T10723"/>
    </row>
    <row r="10724" spans="15:20">
      <c r="O10724" s="247"/>
      <c r="P10724"/>
      <c r="Q10724" s="224"/>
      <c r="S10724" s="202"/>
      <c r="T10724"/>
    </row>
    <row r="10725" spans="15:20">
      <c r="O10725" s="247"/>
      <c r="P10725"/>
      <c r="Q10725" s="224"/>
      <c r="S10725" s="202"/>
      <c r="T10725"/>
    </row>
    <row r="10726" spans="15:20">
      <c r="O10726" s="247"/>
      <c r="P10726"/>
      <c r="Q10726" s="224"/>
      <c r="S10726" s="202"/>
      <c r="T10726"/>
    </row>
    <row r="10727" spans="15:20">
      <c r="O10727" s="247"/>
      <c r="P10727"/>
      <c r="Q10727" s="224"/>
      <c r="S10727" s="202"/>
      <c r="T10727"/>
    </row>
    <row r="10728" spans="15:20">
      <c r="O10728" s="247"/>
      <c r="P10728"/>
      <c r="Q10728" s="224"/>
      <c r="S10728" s="202"/>
      <c r="T10728"/>
    </row>
    <row r="10729" spans="15:20">
      <c r="O10729" s="247"/>
      <c r="P10729"/>
      <c r="Q10729" s="224"/>
      <c r="S10729" s="202"/>
      <c r="T10729"/>
    </row>
    <row r="10730" spans="15:20">
      <c r="O10730" s="247"/>
      <c r="P10730"/>
      <c r="Q10730" s="224"/>
      <c r="S10730" s="202"/>
      <c r="T10730"/>
    </row>
    <row r="10731" spans="15:20">
      <c r="O10731" s="247"/>
      <c r="P10731"/>
      <c r="Q10731" s="224"/>
      <c r="S10731" s="202"/>
      <c r="T10731"/>
    </row>
    <row r="10732" spans="15:20">
      <c r="O10732" s="247"/>
      <c r="P10732"/>
      <c r="Q10732" s="224"/>
      <c r="S10732" s="202"/>
      <c r="T10732"/>
    </row>
    <row r="10733" spans="15:20">
      <c r="O10733" s="247"/>
      <c r="P10733"/>
      <c r="Q10733" s="224"/>
      <c r="S10733" s="202"/>
      <c r="T10733"/>
    </row>
    <row r="10734" spans="15:20">
      <c r="O10734" s="247"/>
      <c r="P10734"/>
      <c r="Q10734" s="224"/>
      <c r="S10734" s="202"/>
      <c r="T10734"/>
    </row>
    <row r="10735" spans="15:20">
      <c r="O10735" s="247"/>
      <c r="P10735"/>
      <c r="Q10735" s="224"/>
      <c r="S10735" s="202"/>
      <c r="T10735"/>
    </row>
    <row r="10736" spans="15:20">
      <c r="O10736" s="247"/>
      <c r="P10736"/>
      <c r="Q10736" s="224"/>
      <c r="S10736" s="202"/>
      <c r="T10736"/>
    </row>
    <row r="10737" spans="15:20">
      <c r="O10737" s="247"/>
      <c r="P10737"/>
      <c r="Q10737" s="224"/>
      <c r="S10737" s="202"/>
      <c r="T10737"/>
    </row>
    <row r="10738" spans="15:20">
      <c r="O10738" s="247"/>
      <c r="P10738"/>
      <c r="Q10738" s="224"/>
      <c r="S10738" s="202"/>
      <c r="T10738"/>
    </row>
    <row r="10739" spans="15:20">
      <c r="O10739" s="247"/>
      <c r="P10739"/>
      <c r="Q10739" s="224"/>
      <c r="S10739" s="202"/>
      <c r="T10739"/>
    </row>
    <row r="10740" spans="15:20">
      <c r="O10740" s="247"/>
      <c r="P10740"/>
      <c r="Q10740" s="224"/>
      <c r="S10740" s="202"/>
      <c r="T10740"/>
    </row>
    <row r="10741" spans="15:20">
      <c r="O10741" s="247"/>
      <c r="P10741"/>
      <c r="Q10741" s="224"/>
      <c r="S10741" s="202"/>
      <c r="T10741"/>
    </row>
    <row r="10742" spans="15:20">
      <c r="O10742" s="247"/>
      <c r="P10742"/>
      <c r="Q10742" s="224"/>
      <c r="S10742" s="202"/>
      <c r="T10742"/>
    </row>
    <row r="10743" spans="15:20">
      <c r="O10743" s="247"/>
      <c r="P10743"/>
      <c r="Q10743" s="224"/>
      <c r="S10743" s="202"/>
      <c r="T10743"/>
    </row>
    <row r="10744" spans="15:20">
      <c r="O10744" s="247"/>
      <c r="P10744"/>
      <c r="Q10744" s="224"/>
      <c r="S10744" s="202"/>
      <c r="T10744"/>
    </row>
    <row r="10745" spans="15:20">
      <c r="O10745" s="247"/>
      <c r="P10745"/>
      <c r="Q10745" s="224"/>
      <c r="S10745" s="202"/>
      <c r="T10745"/>
    </row>
    <row r="10746" spans="15:20">
      <c r="O10746" s="247"/>
      <c r="P10746"/>
      <c r="Q10746" s="224"/>
      <c r="S10746" s="202"/>
      <c r="T10746"/>
    </row>
    <row r="10747" spans="15:20">
      <c r="O10747" s="247"/>
      <c r="P10747"/>
      <c r="Q10747" s="224"/>
      <c r="S10747" s="202"/>
      <c r="T10747"/>
    </row>
    <row r="10748" spans="15:20">
      <c r="O10748" s="247"/>
      <c r="P10748"/>
      <c r="Q10748" s="224"/>
      <c r="S10748" s="202"/>
      <c r="T10748"/>
    </row>
    <row r="10749" spans="15:20">
      <c r="O10749" s="247"/>
      <c r="P10749"/>
      <c r="Q10749" s="224"/>
      <c r="S10749" s="202"/>
      <c r="T10749"/>
    </row>
    <row r="10750" spans="15:20">
      <c r="O10750" s="247"/>
      <c r="P10750"/>
      <c r="Q10750" s="224"/>
      <c r="S10750" s="202"/>
      <c r="T10750"/>
    </row>
    <row r="10751" spans="15:20">
      <c r="O10751" s="247"/>
      <c r="P10751"/>
      <c r="Q10751" s="224"/>
      <c r="S10751" s="202"/>
      <c r="T10751"/>
    </row>
    <row r="10752" spans="15:20">
      <c r="O10752" s="247"/>
      <c r="P10752"/>
      <c r="Q10752" s="224"/>
      <c r="S10752" s="202"/>
      <c r="T10752"/>
    </row>
    <row r="10753" spans="15:20">
      <c r="O10753" s="247"/>
      <c r="P10753"/>
      <c r="Q10753" s="224"/>
      <c r="S10753" s="202"/>
      <c r="T10753"/>
    </row>
    <row r="10754" spans="15:20">
      <c r="O10754" s="247"/>
      <c r="P10754"/>
      <c r="Q10754" s="224"/>
      <c r="S10754" s="202"/>
      <c r="T10754"/>
    </row>
    <row r="10755" spans="15:20">
      <c r="O10755" s="247"/>
      <c r="P10755"/>
      <c r="Q10755" s="224"/>
      <c r="S10755" s="202"/>
      <c r="T10755"/>
    </row>
    <row r="10756" spans="15:20">
      <c r="O10756" s="247"/>
      <c r="P10756"/>
      <c r="Q10756" s="224"/>
      <c r="S10756" s="202"/>
      <c r="T10756"/>
    </row>
    <row r="10757" spans="15:20">
      <c r="O10757" s="247"/>
      <c r="P10757"/>
      <c r="Q10757" s="224"/>
      <c r="S10757" s="202"/>
      <c r="T10757"/>
    </row>
    <row r="10758" spans="15:20">
      <c r="O10758" s="247"/>
      <c r="P10758"/>
      <c r="Q10758" s="224"/>
      <c r="S10758" s="202"/>
      <c r="T10758"/>
    </row>
    <row r="10759" spans="15:20">
      <c r="O10759" s="247"/>
      <c r="P10759"/>
      <c r="Q10759" s="224"/>
      <c r="S10759" s="202"/>
      <c r="T10759"/>
    </row>
    <row r="10760" spans="15:20">
      <c r="O10760" s="247"/>
      <c r="P10760"/>
      <c r="Q10760" s="224"/>
      <c r="S10760" s="202"/>
      <c r="T10760"/>
    </row>
    <row r="10761" spans="15:20">
      <c r="O10761" s="247"/>
      <c r="P10761"/>
      <c r="Q10761" s="224"/>
      <c r="S10761" s="202"/>
      <c r="T10761"/>
    </row>
    <row r="10762" spans="15:20">
      <c r="O10762" s="247"/>
      <c r="P10762"/>
      <c r="Q10762" s="224"/>
      <c r="S10762" s="202"/>
      <c r="T10762"/>
    </row>
    <row r="10763" spans="15:20">
      <c r="O10763" s="247"/>
      <c r="P10763"/>
      <c r="Q10763" s="224"/>
      <c r="S10763" s="202"/>
      <c r="T10763"/>
    </row>
    <row r="10764" spans="15:20">
      <c r="O10764" s="247"/>
      <c r="P10764"/>
      <c r="Q10764" s="224"/>
      <c r="S10764" s="202"/>
      <c r="T10764"/>
    </row>
    <row r="10765" spans="15:20">
      <c r="O10765" s="247"/>
      <c r="P10765"/>
      <c r="Q10765" s="224"/>
      <c r="S10765" s="202"/>
      <c r="T10765"/>
    </row>
    <row r="10766" spans="15:20">
      <c r="O10766" s="247"/>
      <c r="P10766"/>
      <c r="Q10766" s="224"/>
      <c r="S10766" s="202"/>
      <c r="T10766"/>
    </row>
    <row r="10767" spans="15:20">
      <c r="O10767" s="247"/>
      <c r="P10767"/>
      <c r="Q10767" s="224"/>
      <c r="S10767" s="202"/>
      <c r="T10767"/>
    </row>
    <row r="10768" spans="15:20">
      <c r="O10768" s="247"/>
      <c r="P10768"/>
      <c r="Q10768" s="224"/>
      <c r="S10768" s="202"/>
      <c r="T10768"/>
    </row>
    <row r="10769" spans="15:20">
      <c r="O10769" s="247"/>
      <c r="P10769"/>
      <c r="Q10769" s="224"/>
      <c r="S10769" s="202"/>
      <c r="T10769"/>
    </row>
    <row r="10770" spans="15:20">
      <c r="O10770" s="247"/>
      <c r="P10770"/>
      <c r="Q10770" s="224"/>
      <c r="S10770" s="202"/>
      <c r="T10770"/>
    </row>
    <row r="10771" spans="15:20">
      <c r="O10771" s="247"/>
      <c r="P10771"/>
      <c r="Q10771" s="224"/>
      <c r="S10771" s="202"/>
      <c r="T10771"/>
    </row>
    <row r="10772" spans="15:20">
      <c r="O10772" s="247"/>
      <c r="P10772"/>
      <c r="Q10772" s="224"/>
      <c r="S10772" s="202"/>
      <c r="T10772"/>
    </row>
    <row r="10773" spans="15:20">
      <c r="O10773" s="247"/>
      <c r="P10773"/>
      <c r="Q10773" s="224"/>
      <c r="S10773" s="202"/>
      <c r="T10773"/>
    </row>
    <row r="10774" spans="15:20">
      <c r="O10774" s="247"/>
      <c r="P10774"/>
      <c r="Q10774" s="224"/>
      <c r="S10774" s="202"/>
      <c r="T10774"/>
    </row>
    <row r="10775" spans="15:20">
      <c r="O10775" s="247"/>
      <c r="P10775"/>
      <c r="Q10775" s="224"/>
      <c r="S10775" s="202"/>
      <c r="T10775"/>
    </row>
    <row r="10776" spans="15:20">
      <c r="O10776" s="247"/>
      <c r="P10776"/>
      <c r="Q10776" s="224"/>
      <c r="S10776" s="202"/>
      <c r="T10776"/>
    </row>
    <row r="10777" spans="15:20">
      <c r="O10777" s="247"/>
      <c r="P10777"/>
      <c r="Q10777" s="224"/>
      <c r="S10777" s="202"/>
      <c r="T10777"/>
    </row>
    <row r="10778" spans="15:20">
      <c r="O10778" s="247"/>
      <c r="P10778"/>
      <c r="Q10778" s="224"/>
      <c r="S10778" s="202"/>
      <c r="T10778"/>
    </row>
    <row r="10779" spans="15:20">
      <c r="O10779" s="247"/>
      <c r="P10779"/>
      <c r="Q10779" s="224"/>
      <c r="S10779" s="202"/>
      <c r="T10779"/>
    </row>
    <row r="10780" spans="15:20">
      <c r="O10780" s="247"/>
      <c r="P10780"/>
      <c r="Q10780" s="224"/>
      <c r="S10780" s="202"/>
      <c r="T10780"/>
    </row>
    <row r="10781" spans="15:20">
      <c r="O10781" s="247"/>
      <c r="P10781"/>
      <c r="Q10781" s="224"/>
      <c r="S10781" s="202"/>
      <c r="T10781"/>
    </row>
    <row r="10782" spans="15:20">
      <c r="O10782" s="247"/>
      <c r="P10782"/>
      <c r="Q10782" s="224"/>
      <c r="S10782" s="202"/>
      <c r="T10782"/>
    </row>
    <row r="10783" spans="15:20">
      <c r="O10783" s="247"/>
      <c r="P10783"/>
      <c r="Q10783" s="224"/>
      <c r="S10783" s="202"/>
      <c r="T10783"/>
    </row>
    <row r="10784" spans="15:20">
      <c r="O10784" s="247"/>
      <c r="P10784"/>
      <c r="Q10784" s="224"/>
      <c r="S10784" s="202"/>
      <c r="T10784"/>
    </row>
    <row r="10785" spans="15:20">
      <c r="O10785" s="247"/>
      <c r="P10785"/>
      <c r="Q10785" s="224"/>
      <c r="S10785" s="202"/>
      <c r="T10785"/>
    </row>
    <row r="10786" spans="15:20">
      <c r="O10786" s="247"/>
      <c r="P10786"/>
      <c r="Q10786" s="224"/>
      <c r="S10786" s="202"/>
      <c r="T10786"/>
    </row>
    <row r="10787" spans="15:20">
      <c r="O10787" s="247"/>
      <c r="P10787"/>
      <c r="Q10787" s="224"/>
      <c r="S10787" s="202"/>
      <c r="T10787"/>
    </row>
    <row r="10788" spans="15:20">
      <c r="O10788" s="247"/>
      <c r="P10788"/>
      <c r="Q10788" s="224"/>
      <c r="S10788" s="202"/>
      <c r="T10788"/>
    </row>
    <row r="10789" spans="15:20">
      <c r="O10789" s="247"/>
      <c r="P10789"/>
      <c r="Q10789" s="224"/>
      <c r="S10789" s="202"/>
      <c r="T10789"/>
    </row>
    <row r="10790" spans="15:20">
      <c r="O10790" s="247"/>
      <c r="P10790"/>
      <c r="Q10790" s="224"/>
      <c r="S10790" s="202"/>
      <c r="T10790"/>
    </row>
    <row r="10791" spans="15:20">
      <c r="O10791" s="247"/>
      <c r="P10791"/>
      <c r="Q10791" s="224"/>
      <c r="S10791" s="202"/>
      <c r="T10791"/>
    </row>
    <row r="10792" spans="15:20">
      <c r="O10792" s="247"/>
      <c r="P10792"/>
      <c r="Q10792" s="224"/>
      <c r="S10792" s="202"/>
      <c r="T10792"/>
    </row>
    <row r="10793" spans="15:20">
      <c r="O10793" s="247"/>
      <c r="P10793"/>
      <c r="Q10793" s="224"/>
      <c r="S10793" s="202"/>
      <c r="T10793"/>
    </row>
    <row r="10794" spans="15:20">
      <c r="O10794" s="247"/>
      <c r="P10794"/>
      <c r="Q10794" s="224"/>
      <c r="S10794" s="202"/>
      <c r="T10794"/>
    </row>
    <row r="10795" spans="15:20">
      <c r="O10795" s="247"/>
      <c r="P10795"/>
      <c r="Q10795" s="224"/>
      <c r="S10795" s="202"/>
      <c r="T10795"/>
    </row>
    <row r="10796" spans="15:20">
      <c r="O10796" s="247"/>
      <c r="P10796"/>
      <c r="Q10796" s="224"/>
      <c r="S10796" s="202"/>
      <c r="T10796"/>
    </row>
    <row r="10797" spans="15:20">
      <c r="O10797" s="247"/>
      <c r="P10797"/>
      <c r="Q10797" s="224"/>
      <c r="S10797" s="202"/>
      <c r="T10797"/>
    </row>
    <row r="10798" spans="15:20">
      <c r="O10798" s="247"/>
      <c r="P10798"/>
      <c r="Q10798" s="224"/>
      <c r="S10798" s="202"/>
      <c r="T10798"/>
    </row>
    <row r="10799" spans="15:20">
      <c r="O10799" s="247"/>
      <c r="P10799"/>
      <c r="Q10799" s="224"/>
      <c r="S10799" s="202"/>
      <c r="T10799"/>
    </row>
    <row r="10800" spans="15:20">
      <c r="O10800" s="247"/>
      <c r="P10800"/>
      <c r="Q10800" s="224"/>
      <c r="S10800" s="202"/>
      <c r="T10800"/>
    </row>
    <row r="10801" spans="15:20">
      <c r="O10801" s="247"/>
      <c r="P10801"/>
      <c r="Q10801" s="224"/>
      <c r="S10801" s="202"/>
      <c r="T10801"/>
    </row>
    <row r="10802" spans="15:20">
      <c r="O10802" s="247"/>
      <c r="P10802"/>
      <c r="Q10802" s="224"/>
      <c r="S10802" s="202"/>
      <c r="T10802"/>
    </row>
    <row r="10803" spans="15:20">
      <c r="O10803" s="247"/>
      <c r="P10803"/>
      <c r="Q10803" s="224"/>
      <c r="S10803" s="202"/>
      <c r="T10803"/>
    </row>
    <row r="10804" spans="15:20">
      <c r="O10804" s="247"/>
      <c r="P10804"/>
      <c r="Q10804" s="224"/>
      <c r="S10804" s="202"/>
      <c r="T10804"/>
    </row>
    <row r="10805" spans="15:20">
      <c r="O10805" s="247"/>
      <c r="P10805"/>
      <c r="Q10805" s="224"/>
      <c r="S10805" s="202"/>
      <c r="T10805"/>
    </row>
    <row r="10806" spans="15:20">
      <c r="O10806" s="247"/>
      <c r="P10806"/>
      <c r="Q10806" s="224"/>
      <c r="S10806" s="202"/>
      <c r="T10806"/>
    </row>
    <row r="10807" spans="15:20">
      <c r="O10807" s="247"/>
      <c r="P10807"/>
      <c r="Q10807" s="224"/>
      <c r="S10807" s="202"/>
      <c r="T10807"/>
    </row>
    <row r="10808" spans="15:20">
      <c r="O10808" s="247"/>
      <c r="P10808"/>
      <c r="Q10808" s="224"/>
      <c r="S10808" s="202"/>
      <c r="T10808"/>
    </row>
    <row r="10809" spans="15:20">
      <c r="O10809" s="247"/>
      <c r="P10809"/>
      <c r="Q10809" s="224"/>
      <c r="S10809" s="202"/>
      <c r="T10809"/>
    </row>
    <row r="10810" spans="15:20">
      <c r="O10810" s="247"/>
      <c r="P10810"/>
      <c r="Q10810" s="224"/>
      <c r="S10810" s="202"/>
      <c r="T10810"/>
    </row>
    <row r="10811" spans="15:20">
      <c r="O10811" s="247"/>
      <c r="P10811"/>
      <c r="Q10811" s="224"/>
      <c r="S10811" s="202"/>
      <c r="T10811"/>
    </row>
    <row r="10812" spans="15:20">
      <c r="O10812" s="247"/>
      <c r="P10812"/>
      <c r="Q10812" s="224"/>
      <c r="S10812" s="202"/>
      <c r="T10812"/>
    </row>
    <row r="10813" spans="15:20">
      <c r="O10813" s="247"/>
      <c r="P10813"/>
      <c r="Q10813" s="224"/>
      <c r="S10813" s="202"/>
      <c r="T10813"/>
    </row>
    <row r="10814" spans="15:20">
      <c r="O10814" s="247"/>
      <c r="P10814"/>
      <c r="Q10814" s="224"/>
      <c r="S10814" s="202"/>
      <c r="T10814"/>
    </row>
    <row r="10815" spans="15:20">
      <c r="O10815" s="247"/>
      <c r="P10815"/>
      <c r="Q10815" s="224"/>
      <c r="S10815" s="202"/>
      <c r="T10815"/>
    </row>
    <row r="10816" spans="15:20">
      <c r="O10816" s="247"/>
      <c r="P10816"/>
      <c r="Q10816" s="224"/>
      <c r="S10816" s="202"/>
      <c r="T10816"/>
    </row>
    <row r="10817" spans="15:20">
      <c r="O10817" s="247"/>
      <c r="P10817"/>
      <c r="Q10817" s="224"/>
      <c r="S10817" s="202"/>
      <c r="T10817"/>
    </row>
    <row r="10818" spans="15:20">
      <c r="O10818" s="247"/>
      <c r="P10818"/>
      <c r="Q10818" s="224"/>
      <c r="S10818" s="202"/>
      <c r="T10818"/>
    </row>
    <row r="10819" spans="15:20">
      <c r="O10819" s="247"/>
      <c r="P10819"/>
      <c r="Q10819" s="224"/>
      <c r="S10819" s="202"/>
      <c r="T10819"/>
    </row>
    <row r="10820" spans="15:20">
      <c r="O10820" s="247"/>
      <c r="P10820"/>
      <c r="Q10820" s="224"/>
      <c r="S10820" s="202"/>
      <c r="T10820"/>
    </row>
    <row r="10821" spans="15:20">
      <c r="O10821" s="247"/>
      <c r="P10821"/>
      <c r="Q10821" s="224"/>
      <c r="S10821" s="202"/>
      <c r="T10821"/>
    </row>
    <row r="10822" spans="15:20">
      <c r="O10822" s="247"/>
      <c r="P10822"/>
      <c r="Q10822" s="224"/>
      <c r="S10822" s="202"/>
      <c r="T10822"/>
    </row>
    <row r="10823" spans="15:20">
      <c r="O10823" s="247"/>
      <c r="P10823"/>
      <c r="Q10823" s="224"/>
      <c r="S10823" s="202"/>
      <c r="T10823"/>
    </row>
    <row r="10824" spans="15:20">
      <c r="O10824" s="247"/>
      <c r="P10824"/>
      <c r="Q10824" s="224"/>
      <c r="S10824" s="202"/>
      <c r="T10824"/>
    </row>
    <row r="10825" spans="15:20">
      <c r="O10825" s="247"/>
      <c r="P10825"/>
      <c r="Q10825" s="224"/>
      <c r="S10825" s="202"/>
      <c r="T10825"/>
    </row>
    <row r="10826" spans="15:20">
      <c r="O10826" s="247"/>
      <c r="P10826"/>
      <c r="Q10826" s="224"/>
      <c r="S10826" s="202"/>
      <c r="T10826"/>
    </row>
    <row r="10827" spans="15:20">
      <c r="O10827" s="247"/>
      <c r="P10827"/>
      <c r="Q10827" s="224"/>
      <c r="S10827" s="202"/>
      <c r="T10827"/>
    </row>
    <row r="10828" spans="15:20">
      <c r="O10828" s="247"/>
      <c r="P10828"/>
      <c r="Q10828" s="224"/>
      <c r="S10828" s="202"/>
      <c r="T10828"/>
    </row>
    <row r="10829" spans="15:20">
      <c r="O10829" s="247"/>
      <c r="P10829"/>
      <c r="Q10829" s="224"/>
      <c r="S10829" s="202"/>
      <c r="T10829"/>
    </row>
    <row r="10830" spans="15:20">
      <c r="O10830" s="247"/>
      <c r="P10830"/>
      <c r="Q10830" s="224"/>
      <c r="S10830" s="202"/>
      <c r="T10830"/>
    </row>
    <row r="10831" spans="15:20">
      <c r="O10831" s="247"/>
      <c r="P10831"/>
      <c r="Q10831" s="224"/>
      <c r="S10831" s="202"/>
      <c r="T10831"/>
    </row>
    <row r="10832" spans="15:20">
      <c r="O10832" s="247"/>
      <c r="P10832"/>
      <c r="Q10832" s="224"/>
      <c r="S10832" s="202"/>
      <c r="T10832"/>
    </row>
    <row r="10833" spans="15:20">
      <c r="O10833" s="247"/>
      <c r="P10833"/>
      <c r="Q10833" s="224"/>
      <c r="S10833" s="202"/>
      <c r="T10833"/>
    </row>
    <row r="10834" spans="15:20">
      <c r="O10834" s="247"/>
      <c r="P10834"/>
      <c r="Q10834" s="224"/>
      <c r="S10834" s="202"/>
      <c r="T10834"/>
    </row>
    <row r="10835" spans="15:20">
      <c r="O10835" s="247"/>
      <c r="P10835"/>
      <c r="Q10835" s="224"/>
      <c r="S10835" s="202"/>
      <c r="T10835"/>
    </row>
    <row r="10836" spans="15:20">
      <c r="O10836" s="247"/>
      <c r="P10836"/>
      <c r="Q10836" s="224"/>
      <c r="S10836" s="202"/>
      <c r="T10836"/>
    </row>
    <row r="10837" spans="15:20">
      <c r="O10837" s="247"/>
      <c r="P10837"/>
      <c r="Q10837" s="224"/>
      <c r="S10837" s="202"/>
      <c r="T10837"/>
    </row>
    <row r="10838" spans="15:20">
      <c r="O10838" s="247"/>
      <c r="P10838"/>
      <c r="Q10838" s="224"/>
      <c r="S10838" s="202"/>
      <c r="T10838"/>
    </row>
    <row r="10839" spans="15:20">
      <c r="O10839" s="247"/>
      <c r="P10839"/>
      <c r="Q10839" s="224"/>
      <c r="S10839" s="202"/>
      <c r="T10839"/>
    </row>
    <row r="10840" spans="15:20">
      <c r="O10840" s="247"/>
      <c r="P10840"/>
      <c r="Q10840" s="224"/>
      <c r="S10840" s="202"/>
      <c r="T10840"/>
    </row>
    <row r="10841" spans="15:20">
      <c r="O10841" s="247"/>
      <c r="P10841"/>
      <c r="Q10841" s="224"/>
      <c r="S10841" s="202"/>
      <c r="T10841"/>
    </row>
    <row r="10842" spans="15:20">
      <c r="O10842" s="247"/>
      <c r="P10842"/>
      <c r="Q10842" s="224"/>
      <c r="S10842" s="202"/>
      <c r="T10842"/>
    </row>
    <row r="10843" spans="15:20">
      <c r="O10843" s="247"/>
      <c r="P10843"/>
      <c r="Q10843" s="224"/>
      <c r="S10843" s="202"/>
      <c r="T10843"/>
    </row>
    <row r="10844" spans="15:20">
      <c r="O10844" s="247"/>
      <c r="P10844"/>
      <c r="Q10844" s="224"/>
      <c r="S10844" s="202"/>
      <c r="T10844"/>
    </row>
    <row r="10845" spans="15:20">
      <c r="O10845" s="247"/>
      <c r="P10845"/>
      <c r="Q10845" s="224"/>
      <c r="S10845" s="202"/>
      <c r="T10845"/>
    </row>
    <row r="10846" spans="15:20">
      <c r="O10846" s="247"/>
      <c r="P10846"/>
      <c r="Q10846" s="224"/>
      <c r="S10846" s="202"/>
      <c r="T10846"/>
    </row>
    <row r="10847" spans="15:20">
      <c r="O10847" s="247"/>
      <c r="P10847"/>
      <c r="Q10847" s="224"/>
      <c r="S10847" s="202"/>
      <c r="T10847"/>
    </row>
    <row r="10848" spans="15:20">
      <c r="O10848" s="247"/>
      <c r="P10848"/>
      <c r="Q10848" s="224"/>
      <c r="S10848" s="202"/>
      <c r="T10848"/>
    </row>
    <row r="10849" spans="15:20">
      <c r="O10849" s="247"/>
      <c r="P10849"/>
      <c r="Q10849" s="224"/>
      <c r="S10849" s="202"/>
      <c r="T10849"/>
    </row>
    <row r="10850" spans="15:20">
      <c r="O10850" s="247"/>
      <c r="P10850"/>
      <c r="Q10850" s="224"/>
      <c r="S10850" s="202"/>
      <c r="T10850"/>
    </row>
    <row r="10851" spans="15:20">
      <c r="O10851" s="247"/>
      <c r="P10851"/>
      <c r="Q10851" s="224"/>
      <c r="S10851" s="202"/>
      <c r="T10851"/>
    </row>
    <row r="10852" spans="15:20">
      <c r="O10852" s="247"/>
      <c r="P10852"/>
      <c r="Q10852" s="224"/>
      <c r="S10852" s="202"/>
      <c r="T10852"/>
    </row>
    <row r="10853" spans="15:20">
      <c r="O10853" s="247"/>
      <c r="P10853"/>
      <c r="Q10853" s="224"/>
      <c r="S10853" s="202"/>
      <c r="T10853"/>
    </row>
    <row r="10854" spans="15:20">
      <c r="O10854" s="247"/>
      <c r="P10854"/>
      <c r="Q10854" s="224"/>
      <c r="S10854" s="202"/>
      <c r="T10854"/>
    </row>
    <row r="10855" spans="15:20">
      <c r="O10855" s="247"/>
      <c r="P10855"/>
      <c r="Q10855" s="224"/>
      <c r="S10855" s="202"/>
      <c r="T10855"/>
    </row>
    <row r="10856" spans="15:20">
      <c r="O10856" s="247"/>
      <c r="P10856"/>
      <c r="Q10856" s="224"/>
      <c r="S10856" s="202"/>
      <c r="T10856"/>
    </row>
    <row r="10857" spans="15:20">
      <c r="O10857" s="247"/>
      <c r="P10857"/>
      <c r="Q10857" s="224"/>
      <c r="S10857" s="202"/>
      <c r="T10857"/>
    </row>
    <row r="10858" spans="15:20">
      <c r="O10858" s="247"/>
      <c r="P10858"/>
      <c r="Q10858" s="224"/>
      <c r="S10858" s="202"/>
      <c r="T10858"/>
    </row>
    <row r="10859" spans="15:20">
      <c r="O10859" s="247"/>
      <c r="P10859"/>
      <c r="Q10859" s="224"/>
      <c r="S10859" s="202"/>
      <c r="T10859"/>
    </row>
    <row r="10860" spans="15:20">
      <c r="O10860" s="247"/>
      <c r="P10860"/>
      <c r="Q10860" s="224"/>
      <c r="S10860" s="202"/>
      <c r="T10860"/>
    </row>
    <row r="10861" spans="15:20">
      <c r="O10861" s="247"/>
      <c r="P10861"/>
      <c r="Q10861" s="224"/>
      <c r="S10861" s="202"/>
      <c r="T10861"/>
    </row>
    <row r="10862" spans="15:20">
      <c r="O10862" s="247"/>
      <c r="P10862"/>
      <c r="Q10862" s="224"/>
      <c r="S10862" s="202"/>
      <c r="T10862"/>
    </row>
    <row r="10863" spans="15:20">
      <c r="O10863" s="247"/>
      <c r="P10863"/>
      <c r="Q10863" s="224"/>
      <c r="S10863" s="202"/>
      <c r="T10863"/>
    </row>
    <row r="10864" spans="15:20">
      <c r="O10864" s="247"/>
      <c r="P10864"/>
      <c r="Q10864" s="224"/>
      <c r="S10864" s="202"/>
      <c r="T10864"/>
    </row>
    <row r="10865" spans="15:20">
      <c r="O10865" s="247"/>
      <c r="P10865"/>
      <c r="Q10865" s="224"/>
      <c r="S10865" s="202"/>
      <c r="T10865"/>
    </row>
    <row r="10866" spans="15:20">
      <c r="O10866" s="247"/>
      <c r="P10866"/>
      <c r="Q10866" s="224"/>
      <c r="S10866" s="202"/>
      <c r="T10866"/>
    </row>
    <row r="10867" spans="15:20">
      <c r="O10867" s="247"/>
      <c r="P10867"/>
      <c r="Q10867" s="224"/>
      <c r="S10867" s="202"/>
      <c r="T10867"/>
    </row>
    <row r="10868" spans="15:20">
      <c r="O10868" s="247"/>
      <c r="P10868"/>
      <c r="Q10868" s="224"/>
      <c r="S10868" s="202"/>
      <c r="T10868"/>
    </row>
    <row r="10869" spans="15:20">
      <c r="O10869" s="247"/>
      <c r="P10869"/>
      <c r="Q10869" s="224"/>
      <c r="S10869" s="202"/>
      <c r="T10869"/>
    </row>
    <row r="10870" spans="15:20">
      <c r="O10870" s="247"/>
      <c r="P10870"/>
      <c r="Q10870" s="224"/>
      <c r="S10870" s="202"/>
      <c r="T10870"/>
    </row>
    <row r="10871" spans="15:20">
      <c r="O10871" s="247"/>
      <c r="P10871"/>
      <c r="Q10871" s="224"/>
      <c r="S10871" s="202"/>
      <c r="T10871"/>
    </row>
    <row r="10872" spans="15:20">
      <c r="O10872" s="247"/>
      <c r="P10872"/>
      <c r="Q10872" s="224"/>
      <c r="S10872" s="202"/>
      <c r="T10872"/>
    </row>
    <row r="10873" spans="15:20">
      <c r="O10873" s="247"/>
      <c r="P10873"/>
      <c r="Q10873" s="224"/>
      <c r="S10873" s="202"/>
      <c r="T10873"/>
    </row>
    <row r="10874" spans="15:20">
      <c r="O10874" s="247"/>
      <c r="P10874"/>
      <c r="Q10874" s="224"/>
      <c r="S10874" s="202"/>
      <c r="T10874"/>
    </row>
    <row r="10875" spans="15:20">
      <c r="O10875" s="247"/>
      <c r="P10875"/>
      <c r="Q10875" s="224"/>
      <c r="S10875" s="202"/>
      <c r="T10875"/>
    </row>
    <row r="10876" spans="15:20">
      <c r="O10876" s="247"/>
      <c r="P10876"/>
      <c r="Q10876" s="224"/>
      <c r="S10876" s="202"/>
      <c r="T10876"/>
    </row>
    <row r="10877" spans="15:20">
      <c r="O10877" s="247"/>
      <c r="P10877"/>
      <c r="Q10877" s="224"/>
      <c r="S10877" s="202"/>
      <c r="T10877"/>
    </row>
    <row r="10878" spans="15:20">
      <c r="O10878" s="247"/>
      <c r="P10878"/>
      <c r="Q10878" s="224"/>
      <c r="S10878" s="202"/>
      <c r="T10878"/>
    </row>
    <row r="10879" spans="15:20">
      <c r="O10879" s="247"/>
      <c r="P10879"/>
      <c r="Q10879" s="224"/>
      <c r="S10879" s="202"/>
      <c r="T10879"/>
    </row>
    <row r="10880" spans="15:20">
      <c r="O10880" s="247"/>
      <c r="P10880"/>
      <c r="Q10880" s="224"/>
      <c r="S10880" s="202"/>
      <c r="T10880"/>
    </row>
    <row r="10881" spans="15:20">
      <c r="O10881" s="247"/>
      <c r="P10881"/>
      <c r="Q10881" s="224"/>
      <c r="S10881" s="202"/>
      <c r="T10881"/>
    </row>
    <row r="10882" spans="15:20">
      <c r="O10882" s="247"/>
      <c r="P10882"/>
      <c r="Q10882" s="224"/>
      <c r="S10882" s="202"/>
      <c r="T10882"/>
    </row>
    <row r="10883" spans="15:20">
      <c r="O10883" s="247"/>
      <c r="P10883"/>
      <c r="Q10883" s="224"/>
      <c r="S10883" s="202"/>
      <c r="T10883"/>
    </row>
    <row r="10884" spans="15:20">
      <c r="O10884" s="247"/>
      <c r="P10884"/>
      <c r="Q10884" s="224"/>
      <c r="S10884" s="202"/>
      <c r="T10884"/>
    </row>
    <row r="10885" spans="15:20">
      <c r="O10885" s="247"/>
      <c r="P10885"/>
      <c r="Q10885" s="224"/>
      <c r="S10885" s="202"/>
      <c r="T10885"/>
    </row>
    <row r="10886" spans="15:20">
      <c r="O10886" s="247"/>
      <c r="P10886"/>
      <c r="Q10886" s="224"/>
      <c r="S10886" s="202"/>
      <c r="T10886"/>
    </row>
    <row r="10887" spans="15:20">
      <c r="O10887" s="247"/>
      <c r="P10887"/>
      <c r="Q10887" s="224"/>
      <c r="S10887" s="202"/>
      <c r="T10887"/>
    </row>
    <row r="10888" spans="15:20">
      <c r="O10888" s="247"/>
      <c r="P10888"/>
      <c r="Q10888" s="224"/>
      <c r="S10888" s="202"/>
      <c r="T10888"/>
    </row>
    <row r="10889" spans="15:20">
      <c r="O10889" s="247"/>
      <c r="P10889"/>
      <c r="Q10889" s="224"/>
      <c r="S10889" s="202"/>
      <c r="T10889"/>
    </row>
    <row r="10890" spans="15:20">
      <c r="O10890" s="247"/>
      <c r="P10890"/>
      <c r="Q10890" s="224"/>
      <c r="S10890" s="202"/>
      <c r="T10890"/>
    </row>
    <row r="10891" spans="15:20">
      <c r="O10891" s="247"/>
      <c r="P10891"/>
      <c r="Q10891" s="224"/>
      <c r="S10891" s="202"/>
      <c r="T10891"/>
    </row>
    <row r="10892" spans="15:20">
      <c r="O10892" s="247"/>
      <c r="P10892"/>
      <c r="Q10892" s="224"/>
      <c r="S10892" s="202"/>
      <c r="T10892"/>
    </row>
    <row r="10893" spans="15:20">
      <c r="O10893" s="247"/>
      <c r="P10893"/>
      <c r="Q10893" s="224"/>
      <c r="S10893" s="202"/>
      <c r="T10893"/>
    </row>
    <row r="10894" spans="15:20">
      <c r="O10894" s="247"/>
      <c r="P10894"/>
      <c r="Q10894" s="224"/>
      <c r="S10894" s="202"/>
      <c r="T10894"/>
    </row>
    <row r="10895" spans="15:20">
      <c r="O10895" s="247"/>
      <c r="P10895"/>
      <c r="Q10895" s="224"/>
      <c r="S10895" s="202"/>
      <c r="T10895"/>
    </row>
    <row r="10896" spans="15:20">
      <c r="O10896" s="247"/>
      <c r="P10896"/>
      <c r="Q10896" s="224"/>
      <c r="S10896" s="202"/>
      <c r="T10896"/>
    </row>
    <row r="10897" spans="15:20">
      <c r="O10897" s="247"/>
      <c r="P10897"/>
      <c r="Q10897" s="224"/>
      <c r="S10897" s="202"/>
      <c r="T10897"/>
    </row>
    <row r="10898" spans="15:20">
      <c r="O10898" s="247"/>
      <c r="P10898"/>
      <c r="Q10898" s="224"/>
      <c r="S10898" s="202"/>
      <c r="T10898"/>
    </row>
    <row r="10899" spans="15:20">
      <c r="O10899" s="247"/>
      <c r="P10899"/>
      <c r="Q10899" s="224"/>
      <c r="S10899" s="202"/>
      <c r="T10899"/>
    </row>
    <row r="10900" spans="15:20">
      <c r="O10900" s="247"/>
      <c r="P10900"/>
      <c r="Q10900" s="224"/>
      <c r="S10900" s="202"/>
      <c r="T10900"/>
    </row>
    <row r="10901" spans="15:20">
      <c r="O10901" s="247"/>
      <c r="P10901"/>
      <c r="Q10901" s="224"/>
      <c r="S10901" s="202"/>
      <c r="T10901"/>
    </row>
    <row r="10902" spans="15:20">
      <c r="O10902" s="247"/>
      <c r="P10902"/>
      <c r="Q10902" s="224"/>
      <c r="S10902" s="202"/>
      <c r="T10902"/>
    </row>
    <row r="10903" spans="15:20">
      <c r="O10903" s="247"/>
      <c r="P10903"/>
      <c r="Q10903" s="224"/>
      <c r="S10903" s="202"/>
      <c r="T10903"/>
    </row>
    <row r="10904" spans="15:20">
      <c r="O10904" s="247"/>
      <c r="P10904"/>
      <c r="Q10904" s="224"/>
      <c r="S10904" s="202"/>
      <c r="T10904"/>
    </row>
    <row r="10905" spans="15:20">
      <c r="O10905" s="247"/>
      <c r="P10905"/>
      <c r="Q10905" s="224"/>
      <c r="S10905" s="202"/>
      <c r="T10905"/>
    </row>
    <row r="10906" spans="15:20">
      <c r="O10906" s="247"/>
      <c r="P10906"/>
      <c r="Q10906" s="224"/>
      <c r="S10906" s="202"/>
      <c r="T10906"/>
    </row>
    <row r="10907" spans="15:20">
      <c r="O10907" s="247"/>
      <c r="P10907"/>
      <c r="Q10907" s="224"/>
      <c r="S10907" s="202"/>
      <c r="T10907"/>
    </row>
    <row r="10908" spans="15:20">
      <c r="O10908" s="247"/>
      <c r="P10908"/>
      <c r="Q10908" s="224"/>
      <c r="S10908" s="202"/>
      <c r="T10908"/>
    </row>
    <row r="10909" spans="15:20">
      <c r="O10909" s="247"/>
      <c r="P10909"/>
      <c r="Q10909" s="224"/>
      <c r="S10909" s="202"/>
      <c r="T10909"/>
    </row>
    <row r="10910" spans="15:20">
      <c r="O10910" s="247"/>
      <c r="P10910"/>
      <c r="Q10910" s="224"/>
      <c r="S10910" s="202"/>
      <c r="T10910"/>
    </row>
    <row r="10911" spans="15:20">
      <c r="O10911" s="247"/>
      <c r="P10911"/>
      <c r="Q10911" s="224"/>
      <c r="S10911" s="202"/>
      <c r="T10911"/>
    </row>
    <row r="10912" spans="15:20">
      <c r="O10912" s="247"/>
      <c r="P10912"/>
      <c r="Q10912" s="224"/>
      <c r="S10912" s="202"/>
      <c r="T10912"/>
    </row>
    <row r="10913" spans="15:20">
      <c r="O10913" s="247"/>
      <c r="P10913"/>
      <c r="Q10913" s="224"/>
      <c r="S10913" s="202"/>
      <c r="T10913"/>
    </row>
    <row r="10914" spans="15:20">
      <c r="O10914" s="247"/>
      <c r="P10914"/>
      <c r="Q10914" s="224"/>
      <c r="S10914" s="202"/>
      <c r="T10914"/>
    </row>
    <row r="10915" spans="15:20">
      <c r="O10915" s="247"/>
      <c r="P10915"/>
      <c r="Q10915" s="224"/>
      <c r="S10915" s="202"/>
      <c r="T10915"/>
    </row>
    <row r="10916" spans="15:20">
      <c r="O10916" s="247"/>
      <c r="P10916"/>
      <c r="Q10916" s="224"/>
      <c r="S10916" s="202"/>
      <c r="T10916"/>
    </row>
    <row r="10917" spans="15:20">
      <c r="O10917" s="247"/>
      <c r="P10917"/>
      <c r="Q10917" s="224"/>
      <c r="S10917" s="202"/>
      <c r="T10917"/>
    </row>
    <row r="10918" spans="15:20">
      <c r="O10918" s="247"/>
      <c r="P10918"/>
      <c r="Q10918" s="224"/>
      <c r="S10918" s="202"/>
      <c r="T10918"/>
    </row>
    <row r="10919" spans="15:20">
      <c r="O10919" s="247"/>
      <c r="P10919"/>
      <c r="Q10919" s="224"/>
      <c r="S10919" s="202"/>
      <c r="T10919"/>
    </row>
    <row r="10920" spans="15:20">
      <c r="O10920" s="247"/>
      <c r="P10920"/>
      <c r="Q10920" s="224"/>
      <c r="S10920" s="202"/>
      <c r="T10920"/>
    </row>
    <row r="10921" spans="15:20">
      <c r="O10921" s="247"/>
      <c r="P10921"/>
      <c r="Q10921" s="224"/>
      <c r="S10921" s="202"/>
      <c r="T10921"/>
    </row>
    <row r="10922" spans="15:20">
      <c r="O10922" s="247"/>
      <c r="P10922"/>
      <c r="Q10922" s="224"/>
      <c r="S10922" s="202"/>
      <c r="T10922"/>
    </row>
    <row r="10923" spans="15:20">
      <c r="O10923" s="247"/>
      <c r="P10923"/>
      <c r="Q10923" s="224"/>
      <c r="S10923" s="202"/>
      <c r="T10923"/>
    </row>
    <row r="10924" spans="15:20">
      <c r="O10924" s="247"/>
      <c r="P10924"/>
      <c r="Q10924" s="224"/>
      <c r="S10924" s="202"/>
      <c r="T10924"/>
    </row>
    <row r="10925" spans="15:20">
      <c r="O10925" s="247"/>
      <c r="P10925"/>
      <c r="Q10925" s="224"/>
      <c r="S10925" s="202"/>
      <c r="T10925"/>
    </row>
    <row r="10926" spans="15:20">
      <c r="O10926" s="247"/>
      <c r="P10926"/>
      <c r="Q10926" s="224"/>
      <c r="S10926" s="202"/>
      <c r="T10926"/>
    </row>
    <row r="10927" spans="15:20">
      <c r="O10927" s="247"/>
      <c r="P10927"/>
      <c r="Q10927" s="224"/>
      <c r="S10927" s="202"/>
      <c r="T10927"/>
    </row>
    <row r="10928" spans="15:20">
      <c r="O10928" s="247"/>
      <c r="P10928"/>
      <c r="Q10928" s="224"/>
      <c r="S10928" s="202"/>
      <c r="T10928"/>
    </row>
    <row r="10929" spans="15:20">
      <c r="O10929" s="247"/>
      <c r="P10929"/>
      <c r="Q10929" s="224"/>
      <c r="S10929" s="202"/>
      <c r="T10929"/>
    </row>
    <row r="10930" spans="15:20">
      <c r="O10930" s="247"/>
      <c r="P10930"/>
      <c r="Q10930" s="224"/>
      <c r="S10930" s="202"/>
      <c r="T10930"/>
    </row>
    <row r="10931" spans="15:20">
      <c r="O10931" s="247"/>
      <c r="P10931"/>
      <c r="Q10931" s="224"/>
      <c r="S10931" s="202"/>
      <c r="T10931"/>
    </row>
    <row r="10932" spans="15:20">
      <c r="O10932" s="247"/>
      <c r="P10932"/>
      <c r="Q10932" s="224"/>
      <c r="S10932" s="202"/>
      <c r="T10932"/>
    </row>
    <row r="10933" spans="15:20">
      <c r="O10933" s="247"/>
      <c r="P10933"/>
      <c r="Q10933" s="224"/>
      <c r="S10933" s="202"/>
      <c r="T10933"/>
    </row>
    <row r="10934" spans="15:20">
      <c r="O10934" s="247"/>
      <c r="P10934"/>
      <c r="Q10934" s="224"/>
      <c r="S10934" s="202"/>
      <c r="T10934"/>
    </row>
    <row r="10935" spans="15:20">
      <c r="O10935" s="247"/>
      <c r="P10935"/>
      <c r="Q10935" s="224"/>
      <c r="S10935" s="202"/>
      <c r="T10935"/>
    </row>
    <row r="10936" spans="15:20">
      <c r="O10936" s="247"/>
      <c r="P10936"/>
      <c r="Q10936" s="224"/>
      <c r="S10936" s="202"/>
      <c r="T10936"/>
    </row>
    <row r="10937" spans="15:20">
      <c r="O10937" s="247"/>
      <c r="P10937"/>
      <c r="Q10937" s="224"/>
      <c r="S10937" s="202"/>
      <c r="T10937"/>
    </row>
    <row r="10938" spans="15:20">
      <c r="O10938" s="247"/>
      <c r="P10938"/>
      <c r="Q10938" s="224"/>
      <c r="S10938" s="202"/>
      <c r="T10938"/>
    </row>
    <row r="10939" spans="15:20">
      <c r="O10939" s="247"/>
      <c r="P10939"/>
      <c r="Q10939" s="224"/>
      <c r="S10939" s="202"/>
      <c r="T10939"/>
    </row>
    <row r="10940" spans="15:20">
      <c r="O10940" s="247"/>
      <c r="P10940"/>
      <c r="Q10940" s="224"/>
      <c r="S10940" s="202"/>
      <c r="T10940"/>
    </row>
    <row r="10941" spans="15:20">
      <c r="O10941" s="247"/>
      <c r="P10941"/>
      <c r="Q10941" s="224"/>
      <c r="S10941" s="202"/>
      <c r="T10941"/>
    </row>
    <row r="10942" spans="15:20">
      <c r="O10942" s="247"/>
      <c r="P10942"/>
      <c r="Q10942" s="224"/>
      <c r="S10942" s="202"/>
      <c r="T10942"/>
    </row>
    <row r="10943" spans="15:20">
      <c r="O10943" s="247"/>
      <c r="P10943"/>
      <c r="Q10943" s="224"/>
      <c r="S10943" s="202"/>
      <c r="T10943"/>
    </row>
    <row r="10944" spans="15:20">
      <c r="O10944" s="247"/>
      <c r="P10944"/>
      <c r="Q10944" s="224"/>
      <c r="S10944" s="202"/>
      <c r="T10944"/>
    </row>
    <row r="10945" spans="15:20">
      <c r="O10945" s="247"/>
      <c r="P10945"/>
      <c r="Q10945" s="224"/>
      <c r="S10945" s="202"/>
      <c r="T10945"/>
    </row>
    <row r="10946" spans="15:20">
      <c r="O10946" s="247"/>
      <c r="P10946"/>
      <c r="Q10946" s="224"/>
      <c r="S10946" s="202"/>
      <c r="T10946"/>
    </row>
    <row r="10947" spans="15:20">
      <c r="O10947" s="247"/>
      <c r="P10947"/>
      <c r="Q10947" s="224"/>
      <c r="S10947" s="202"/>
      <c r="T10947"/>
    </row>
    <row r="10948" spans="15:20">
      <c r="O10948" s="247"/>
      <c r="P10948"/>
      <c r="Q10948" s="224"/>
      <c r="S10948" s="202"/>
      <c r="T10948"/>
    </row>
    <row r="10949" spans="15:20">
      <c r="O10949" s="247"/>
      <c r="P10949"/>
      <c r="Q10949" s="224"/>
      <c r="S10949" s="202"/>
      <c r="T10949"/>
    </row>
    <row r="10950" spans="15:20">
      <c r="O10950" s="247"/>
      <c r="P10950"/>
      <c r="Q10950" s="224"/>
      <c r="S10950" s="202"/>
      <c r="T10950"/>
    </row>
    <row r="10951" spans="15:20">
      <c r="O10951" s="247"/>
      <c r="P10951"/>
      <c r="Q10951" s="224"/>
      <c r="S10951" s="202"/>
      <c r="T10951"/>
    </row>
    <row r="10952" spans="15:20">
      <c r="O10952" s="247"/>
      <c r="P10952"/>
      <c r="Q10952" s="224"/>
      <c r="S10952" s="202"/>
      <c r="T10952"/>
    </row>
    <row r="10953" spans="15:20">
      <c r="O10953" s="247"/>
      <c r="P10953"/>
      <c r="Q10953" s="224"/>
      <c r="S10953" s="202"/>
      <c r="T10953"/>
    </row>
    <row r="10954" spans="15:20">
      <c r="O10954" s="247"/>
      <c r="P10954"/>
      <c r="Q10954" s="224"/>
      <c r="S10954" s="202"/>
      <c r="T10954"/>
    </row>
    <row r="10955" spans="15:20">
      <c r="O10955" s="247"/>
      <c r="P10955"/>
      <c r="Q10955" s="224"/>
      <c r="S10955" s="202"/>
      <c r="T10955"/>
    </row>
    <row r="10956" spans="15:20">
      <c r="O10956" s="247"/>
      <c r="P10956"/>
      <c r="Q10956" s="224"/>
      <c r="S10956" s="202"/>
      <c r="T10956"/>
    </row>
    <row r="10957" spans="15:20">
      <c r="O10957" s="247"/>
      <c r="P10957"/>
      <c r="Q10957" s="224"/>
      <c r="S10957" s="202"/>
      <c r="T10957"/>
    </row>
    <row r="10958" spans="15:20">
      <c r="O10958" s="247"/>
      <c r="P10958"/>
      <c r="Q10958" s="224"/>
      <c r="S10958" s="202"/>
      <c r="T10958"/>
    </row>
    <row r="10959" spans="15:20">
      <c r="O10959" s="247"/>
      <c r="P10959"/>
      <c r="Q10959" s="224"/>
      <c r="S10959" s="202"/>
      <c r="T10959"/>
    </row>
    <row r="10960" spans="15:20">
      <c r="O10960" s="247"/>
      <c r="P10960"/>
      <c r="Q10960" s="224"/>
      <c r="S10960" s="202"/>
      <c r="T10960"/>
    </row>
    <row r="10961" spans="15:20">
      <c r="O10961" s="247"/>
      <c r="P10961"/>
      <c r="Q10961" s="224"/>
      <c r="S10961" s="202"/>
      <c r="T10961"/>
    </row>
    <row r="10962" spans="15:20">
      <c r="O10962" s="247"/>
      <c r="P10962"/>
      <c r="Q10962" s="224"/>
      <c r="S10962" s="202"/>
      <c r="T10962"/>
    </row>
    <row r="10963" spans="15:20">
      <c r="O10963" s="247"/>
      <c r="P10963"/>
      <c r="Q10963" s="224"/>
      <c r="S10963" s="202"/>
      <c r="T10963"/>
    </row>
    <row r="10964" spans="15:20">
      <c r="O10964" s="247"/>
      <c r="P10964"/>
      <c r="Q10964" s="224"/>
      <c r="S10964" s="202"/>
      <c r="T10964"/>
    </row>
    <row r="10965" spans="15:20">
      <c r="O10965" s="247"/>
      <c r="P10965"/>
      <c r="Q10965" s="224"/>
      <c r="S10965" s="202"/>
      <c r="T10965"/>
    </row>
    <row r="10966" spans="15:20">
      <c r="O10966" s="247"/>
      <c r="P10966"/>
      <c r="Q10966" s="224"/>
      <c r="S10966" s="202"/>
      <c r="T10966"/>
    </row>
    <row r="10967" spans="15:20">
      <c r="O10967" s="247"/>
      <c r="P10967"/>
      <c r="Q10967" s="224"/>
      <c r="S10967" s="202"/>
      <c r="T10967"/>
    </row>
    <row r="10968" spans="15:20">
      <c r="O10968" s="247"/>
      <c r="P10968"/>
      <c r="Q10968" s="224"/>
      <c r="S10968" s="202"/>
      <c r="T10968"/>
    </row>
    <row r="10969" spans="15:20">
      <c r="O10969" s="247"/>
      <c r="P10969"/>
      <c r="Q10969" s="224"/>
      <c r="S10969" s="202"/>
      <c r="T10969"/>
    </row>
    <row r="10970" spans="15:20">
      <c r="O10970" s="247"/>
      <c r="P10970"/>
      <c r="Q10970" s="224"/>
      <c r="S10970" s="202"/>
      <c r="T10970"/>
    </row>
    <row r="10971" spans="15:20">
      <c r="O10971" s="247"/>
      <c r="P10971"/>
      <c r="Q10971" s="224"/>
      <c r="S10971" s="202"/>
      <c r="T10971"/>
    </row>
    <row r="10972" spans="15:20">
      <c r="O10972" s="247"/>
      <c r="P10972"/>
      <c r="Q10972" s="224"/>
      <c r="S10972" s="202"/>
      <c r="T10972"/>
    </row>
    <row r="10973" spans="15:20">
      <c r="O10973" s="247"/>
      <c r="P10973"/>
      <c r="Q10973" s="224"/>
      <c r="S10973" s="202"/>
      <c r="T10973"/>
    </row>
    <row r="10974" spans="15:20">
      <c r="O10974" s="247"/>
      <c r="P10974"/>
      <c r="Q10974" s="224"/>
      <c r="S10974" s="202"/>
      <c r="T10974"/>
    </row>
    <row r="10975" spans="15:20">
      <c r="O10975" s="247"/>
      <c r="P10975"/>
      <c r="Q10975" s="224"/>
      <c r="S10975" s="202"/>
      <c r="T10975"/>
    </row>
    <row r="10976" spans="15:20">
      <c r="O10976" s="247"/>
      <c r="P10976"/>
      <c r="Q10976" s="224"/>
      <c r="S10976" s="202"/>
      <c r="T10976"/>
    </row>
    <row r="10977" spans="15:20">
      <c r="O10977" s="247"/>
      <c r="P10977"/>
      <c r="Q10977" s="224"/>
      <c r="S10977" s="202"/>
      <c r="T10977"/>
    </row>
    <row r="10978" spans="15:20">
      <c r="O10978" s="247"/>
      <c r="P10978"/>
      <c r="Q10978" s="224"/>
      <c r="S10978" s="202"/>
      <c r="T10978"/>
    </row>
    <row r="10979" spans="15:20">
      <c r="O10979" s="247"/>
      <c r="P10979"/>
      <c r="Q10979" s="224"/>
      <c r="S10979" s="202"/>
      <c r="T10979"/>
    </row>
    <row r="10980" spans="15:20">
      <c r="O10980" s="247"/>
      <c r="P10980"/>
      <c r="Q10980" s="224"/>
      <c r="S10980" s="202"/>
      <c r="T10980"/>
    </row>
    <row r="10981" spans="15:20">
      <c r="O10981" s="247"/>
      <c r="P10981"/>
      <c r="Q10981" s="224"/>
      <c r="S10981" s="202"/>
      <c r="T10981"/>
    </row>
    <row r="10982" spans="15:20">
      <c r="O10982" s="247"/>
      <c r="P10982"/>
      <c r="Q10982" s="224"/>
      <c r="S10982" s="202"/>
      <c r="T10982"/>
    </row>
    <row r="10983" spans="15:20">
      <c r="O10983" s="247"/>
      <c r="P10983"/>
      <c r="Q10983" s="224"/>
      <c r="S10983" s="202"/>
      <c r="T10983"/>
    </row>
    <row r="10984" spans="15:20">
      <c r="O10984" s="247"/>
      <c r="P10984"/>
      <c r="Q10984" s="224"/>
      <c r="S10984" s="202"/>
      <c r="T10984"/>
    </row>
    <row r="10985" spans="15:20">
      <c r="O10985" s="247"/>
      <c r="P10985"/>
      <c r="Q10985" s="224"/>
      <c r="S10985" s="202"/>
      <c r="T10985"/>
    </row>
    <row r="10986" spans="15:20">
      <c r="O10986" s="247"/>
      <c r="P10986"/>
      <c r="Q10986" s="224"/>
      <c r="S10986" s="202"/>
      <c r="T10986"/>
    </row>
    <row r="10987" spans="15:20">
      <c r="O10987" s="247"/>
      <c r="P10987"/>
      <c r="Q10987" s="224"/>
      <c r="S10987" s="202"/>
      <c r="T10987"/>
    </row>
    <row r="10988" spans="15:20">
      <c r="O10988" s="247"/>
      <c r="P10988"/>
      <c r="Q10988" s="224"/>
      <c r="S10988" s="202"/>
      <c r="T10988"/>
    </row>
    <row r="10989" spans="15:20">
      <c r="O10989" s="247"/>
      <c r="P10989"/>
      <c r="Q10989" s="224"/>
      <c r="S10989" s="202"/>
      <c r="T10989"/>
    </row>
    <row r="10990" spans="15:20">
      <c r="O10990" s="247"/>
      <c r="P10990"/>
      <c r="Q10990" s="224"/>
      <c r="S10990" s="202"/>
      <c r="T10990"/>
    </row>
    <row r="10991" spans="15:20">
      <c r="O10991" s="247"/>
      <c r="P10991"/>
      <c r="Q10991" s="224"/>
      <c r="S10991" s="202"/>
      <c r="T10991"/>
    </row>
    <row r="10992" spans="15:20">
      <c r="O10992" s="247"/>
      <c r="P10992"/>
      <c r="Q10992" s="224"/>
      <c r="S10992" s="202"/>
      <c r="T10992"/>
    </row>
    <row r="10993" spans="15:20">
      <c r="O10993" s="247"/>
      <c r="P10993"/>
      <c r="Q10993" s="224"/>
      <c r="S10993" s="202"/>
      <c r="T10993"/>
    </row>
    <row r="10994" spans="15:20">
      <c r="O10994" s="247"/>
      <c r="P10994"/>
      <c r="Q10994" s="224"/>
      <c r="S10994" s="202"/>
      <c r="T10994"/>
    </row>
    <row r="10995" spans="15:20">
      <c r="O10995" s="247"/>
      <c r="P10995"/>
      <c r="Q10995" s="224"/>
      <c r="S10995" s="202"/>
      <c r="T10995"/>
    </row>
    <row r="10996" spans="15:20">
      <c r="O10996" s="247"/>
      <c r="P10996"/>
      <c r="Q10996" s="224"/>
      <c r="S10996" s="202"/>
      <c r="T10996"/>
    </row>
    <row r="10997" spans="15:20">
      <c r="O10997" s="247"/>
      <c r="P10997"/>
      <c r="Q10997" s="224"/>
      <c r="S10997" s="202"/>
      <c r="T10997"/>
    </row>
    <row r="10998" spans="15:20">
      <c r="O10998" s="247"/>
      <c r="P10998"/>
      <c r="Q10998" s="224"/>
      <c r="S10998" s="202"/>
      <c r="T10998"/>
    </row>
    <row r="10999" spans="15:20">
      <c r="O10999" s="247"/>
      <c r="P10999"/>
      <c r="Q10999" s="224"/>
      <c r="S10999" s="202"/>
      <c r="T10999"/>
    </row>
    <row r="11000" spans="15:20">
      <c r="O11000" s="247"/>
      <c r="P11000"/>
      <c r="Q11000" s="224"/>
      <c r="S11000" s="202"/>
      <c r="T11000"/>
    </row>
    <row r="11001" spans="15:20">
      <c r="O11001" s="247"/>
      <c r="P11001"/>
      <c r="Q11001" s="224"/>
      <c r="S11001" s="202"/>
      <c r="T11001"/>
    </row>
    <row r="11002" spans="15:20">
      <c r="O11002" s="247"/>
      <c r="P11002"/>
      <c r="Q11002" s="224"/>
      <c r="S11002" s="202"/>
      <c r="T11002"/>
    </row>
    <row r="11003" spans="15:20">
      <c r="O11003" s="247"/>
      <c r="P11003"/>
      <c r="Q11003" s="224"/>
      <c r="S11003" s="202"/>
      <c r="T11003"/>
    </row>
    <row r="11004" spans="15:20">
      <c r="O11004" s="247"/>
      <c r="P11004"/>
      <c r="Q11004" s="224"/>
      <c r="S11004" s="202"/>
      <c r="T11004"/>
    </row>
    <row r="11005" spans="15:20">
      <c r="O11005" s="247"/>
      <c r="P11005"/>
      <c r="Q11005" s="224"/>
      <c r="S11005" s="202"/>
      <c r="T11005"/>
    </row>
    <row r="11006" spans="15:20">
      <c r="O11006" s="247"/>
      <c r="P11006"/>
      <c r="Q11006" s="224"/>
      <c r="S11006" s="202"/>
      <c r="T11006"/>
    </row>
    <row r="11007" spans="15:20">
      <c r="O11007" s="247"/>
      <c r="P11007"/>
      <c r="Q11007" s="224"/>
      <c r="S11007" s="202"/>
      <c r="T11007"/>
    </row>
    <row r="11008" spans="15:20">
      <c r="O11008" s="247"/>
      <c r="P11008"/>
      <c r="Q11008" s="224"/>
      <c r="S11008" s="202"/>
      <c r="T11008"/>
    </row>
    <row r="11009" spans="15:20">
      <c r="O11009" s="247"/>
      <c r="P11009"/>
      <c r="Q11009" s="224"/>
      <c r="S11009" s="202"/>
      <c r="T11009"/>
    </row>
    <row r="11010" spans="15:20">
      <c r="O11010" s="247"/>
      <c r="P11010"/>
      <c r="Q11010" s="224"/>
      <c r="S11010" s="202"/>
      <c r="T11010"/>
    </row>
    <row r="11011" spans="15:20">
      <c r="O11011" s="247"/>
      <c r="P11011"/>
      <c r="Q11011" s="224"/>
      <c r="S11011" s="202"/>
      <c r="T11011"/>
    </row>
    <row r="11012" spans="15:20">
      <c r="O11012" s="247"/>
      <c r="P11012"/>
      <c r="Q11012" s="224"/>
      <c r="S11012" s="202"/>
      <c r="T11012"/>
    </row>
    <row r="11013" spans="15:20">
      <c r="O11013" s="247"/>
      <c r="P11013"/>
      <c r="Q11013" s="224"/>
      <c r="S11013" s="202"/>
      <c r="T11013"/>
    </row>
    <row r="11014" spans="15:20">
      <c r="O11014" s="247"/>
      <c r="P11014"/>
      <c r="Q11014" s="224"/>
      <c r="S11014" s="202"/>
      <c r="T11014"/>
    </row>
    <row r="11015" spans="15:20">
      <c r="O11015" s="247"/>
      <c r="P11015"/>
      <c r="Q11015" s="224"/>
      <c r="S11015" s="202"/>
      <c r="T11015"/>
    </row>
    <row r="11016" spans="15:20">
      <c r="O11016" s="247"/>
      <c r="P11016"/>
      <c r="Q11016" s="224"/>
      <c r="S11016" s="202"/>
      <c r="T11016"/>
    </row>
    <row r="11017" spans="15:20">
      <c r="O11017" s="247"/>
      <c r="P11017"/>
      <c r="Q11017" s="224"/>
      <c r="S11017" s="202"/>
      <c r="T11017"/>
    </row>
    <row r="11018" spans="15:20">
      <c r="O11018" s="247"/>
      <c r="P11018"/>
      <c r="Q11018" s="224"/>
      <c r="S11018" s="202"/>
      <c r="T11018"/>
    </row>
    <row r="11019" spans="15:20">
      <c r="O11019" s="247"/>
      <c r="P11019"/>
      <c r="Q11019" s="224"/>
      <c r="S11019" s="202"/>
      <c r="T11019"/>
    </row>
    <row r="11020" spans="15:20">
      <c r="O11020" s="247"/>
      <c r="P11020"/>
      <c r="Q11020" s="224"/>
      <c r="S11020" s="202"/>
      <c r="T11020"/>
    </row>
    <row r="11021" spans="15:20">
      <c r="O11021" s="247"/>
      <c r="P11021"/>
      <c r="Q11021" s="224"/>
      <c r="S11021" s="202"/>
      <c r="T11021"/>
    </row>
    <row r="11022" spans="15:20">
      <c r="O11022" s="247"/>
      <c r="P11022"/>
      <c r="Q11022" s="224"/>
      <c r="S11022" s="202"/>
      <c r="T11022"/>
    </row>
    <row r="11023" spans="15:20">
      <c r="O11023" s="247"/>
      <c r="P11023"/>
      <c r="Q11023" s="224"/>
      <c r="S11023" s="202"/>
      <c r="T11023"/>
    </row>
    <row r="11024" spans="15:20">
      <c r="O11024" s="247"/>
      <c r="P11024"/>
      <c r="Q11024" s="224"/>
      <c r="S11024" s="202"/>
      <c r="T11024"/>
    </row>
    <row r="11025" spans="15:20">
      <c r="O11025" s="247"/>
      <c r="P11025"/>
      <c r="Q11025" s="224"/>
      <c r="S11025" s="202"/>
      <c r="T11025"/>
    </row>
    <row r="11026" spans="15:20">
      <c r="O11026" s="247"/>
      <c r="P11026"/>
      <c r="Q11026" s="224"/>
      <c r="S11026" s="202"/>
      <c r="T11026"/>
    </row>
    <row r="11027" spans="15:20">
      <c r="O11027" s="247"/>
      <c r="P11027"/>
      <c r="Q11027" s="224"/>
      <c r="S11027" s="202"/>
      <c r="T11027"/>
    </row>
    <row r="11028" spans="15:20">
      <c r="O11028" s="247"/>
      <c r="P11028"/>
      <c r="Q11028" s="224"/>
      <c r="S11028" s="202"/>
      <c r="T11028"/>
    </row>
    <row r="11029" spans="15:20">
      <c r="O11029" s="247"/>
      <c r="P11029"/>
      <c r="Q11029" s="224"/>
      <c r="S11029" s="202"/>
      <c r="T11029"/>
    </row>
    <row r="11030" spans="15:20">
      <c r="O11030" s="247"/>
      <c r="P11030"/>
      <c r="Q11030" s="224"/>
      <c r="S11030" s="202"/>
      <c r="T11030"/>
    </row>
    <row r="11031" spans="15:20">
      <c r="O11031" s="247"/>
      <c r="P11031"/>
      <c r="Q11031" s="224"/>
      <c r="S11031" s="202"/>
      <c r="T11031"/>
    </row>
    <row r="11032" spans="15:20">
      <c r="O11032" s="247"/>
      <c r="P11032"/>
      <c r="Q11032" s="224"/>
      <c r="S11032" s="202"/>
      <c r="T11032"/>
    </row>
    <row r="11033" spans="15:20">
      <c r="O11033" s="247"/>
      <c r="P11033"/>
      <c r="Q11033" s="224"/>
      <c r="S11033" s="202"/>
      <c r="T11033"/>
    </row>
    <row r="11034" spans="15:20">
      <c r="O11034" s="247"/>
      <c r="P11034"/>
      <c r="Q11034" s="224"/>
      <c r="S11034" s="202"/>
      <c r="T11034"/>
    </row>
    <row r="11035" spans="15:20">
      <c r="O11035" s="247"/>
      <c r="P11035"/>
      <c r="Q11035" s="224"/>
      <c r="S11035" s="202"/>
      <c r="T11035"/>
    </row>
    <row r="11036" spans="15:20">
      <c r="O11036" s="247"/>
      <c r="P11036"/>
      <c r="Q11036" s="224"/>
      <c r="S11036" s="202"/>
      <c r="T11036"/>
    </row>
    <row r="11037" spans="15:20">
      <c r="O11037" s="247"/>
      <c r="P11037"/>
      <c r="Q11037" s="224"/>
      <c r="S11037" s="202"/>
      <c r="T11037"/>
    </row>
    <row r="11038" spans="15:20">
      <c r="O11038" s="247"/>
      <c r="P11038"/>
      <c r="Q11038" s="224"/>
      <c r="S11038" s="202"/>
      <c r="T11038"/>
    </row>
    <row r="11039" spans="15:20">
      <c r="O11039" s="247"/>
      <c r="P11039"/>
      <c r="Q11039" s="224"/>
      <c r="S11039" s="202"/>
      <c r="T11039"/>
    </row>
    <row r="11040" spans="15:20">
      <c r="O11040" s="247"/>
      <c r="P11040"/>
      <c r="Q11040" s="224"/>
      <c r="S11040" s="202"/>
      <c r="T11040"/>
    </row>
    <row r="11041" spans="15:20">
      <c r="O11041" s="247"/>
      <c r="P11041"/>
      <c r="Q11041" s="224"/>
      <c r="S11041" s="202"/>
      <c r="T11041"/>
    </row>
    <row r="11042" spans="15:20">
      <c r="O11042" s="247"/>
      <c r="P11042"/>
      <c r="Q11042" s="224"/>
      <c r="S11042" s="202"/>
      <c r="T11042"/>
    </row>
    <row r="11043" spans="15:20">
      <c r="O11043" s="247"/>
      <c r="P11043"/>
      <c r="Q11043" s="224"/>
      <c r="S11043" s="202"/>
      <c r="T11043"/>
    </row>
    <row r="11044" spans="15:20">
      <c r="O11044" s="247"/>
      <c r="P11044"/>
      <c r="Q11044" s="224"/>
      <c r="S11044" s="202"/>
      <c r="T11044"/>
    </row>
    <row r="11045" spans="15:20">
      <c r="O11045" s="247"/>
      <c r="P11045"/>
      <c r="Q11045" s="224"/>
      <c r="S11045" s="202"/>
      <c r="T11045"/>
    </row>
    <row r="11046" spans="15:20">
      <c r="O11046" s="247"/>
      <c r="P11046"/>
      <c r="Q11046" s="224"/>
      <c r="S11046" s="202"/>
      <c r="T11046"/>
    </row>
    <row r="11047" spans="15:20">
      <c r="O11047" s="247"/>
      <c r="P11047"/>
      <c r="Q11047" s="224"/>
      <c r="S11047" s="202"/>
      <c r="T11047"/>
    </row>
    <row r="11048" spans="15:20">
      <c r="O11048" s="247"/>
      <c r="P11048"/>
      <c r="Q11048" s="224"/>
      <c r="S11048" s="202"/>
      <c r="T11048"/>
    </row>
    <row r="11049" spans="15:20">
      <c r="O11049" s="247"/>
      <c r="P11049"/>
      <c r="Q11049" s="224"/>
      <c r="S11049" s="202"/>
      <c r="T11049"/>
    </row>
    <row r="11050" spans="15:20">
      <c r="O11050" s="247"/>
      <c r="P11050"/>
      <c r="Q11050" s="224"/>
      <c r="S11050" s="202"/>
      <c r="T11050"/>
    </row>
    <row r="11051" spans="15:20">
      <c r="O11051" s="247"/>
      <c r="P11051"/>
      <c r="Q11051" s="224"/>
      <c r="S11051" s="202"/>
      <c r="T11051"/>
    </row>
    <row r="11052" spans="15:20">
      <c r="O11052" s="247"/>
      <c r="P11052"/>
      <c r="Q11052" s="224"/>
      <c r="S11052" s="202"/>
      <c r="T11052"/>
    </row>
    <row r="11053" spans="15:20">
      <c r="O11053" s="247"/>
      <c r="P11053"/>
      <c r="Q11053" s="224"/>
      <c r="S11053" s="202"/>
      <c r="T11053"/>
    </row>
    <row r="11054" spans="15:20">
      <c r="O11054" s="247"/>
      <c r="P11054"/>
      <c r="Q11054" s="224"/>
      <c r="S11054" s="202"/>
      <c r="T11054"/>
    </row>
    <row r="11055" spans="15:20">
      <c r="O11055" s="247"/>
      <c r="P11055"/>
      <c r="Q11055" s="224"/>
      <c r="S11055" s="202"/>
      <c r="T11055"/>
    </row>
    <row r="11056" spans="15:20">
      <c r="O11056" s="247"/>
      <c r="P11056"/>
      <c r="Q11056" s="224"/>
      <c r="S11056" s="202"/>
      <c r="T11056"/>
    </row>
    <row r="11057" spans="15:20">
      <c r="O11057" s="247"/>
      <c r="P11057"/>
      <c r="Q11057" s="224"/>
      <c r="S11057" s="202"/>
      <c r="T11057"/>
    </row>
    <row r="11058" spans="15:20">
      <c r="O11058" s="247"/>
      <c r="P11058"/>
      <c r="Q11058" s="224"/>
      <c r="S11058" s="202"/>
      <c r="T11058"/>
    </row>
    <row r="11059" spans="15:20">
      <c r="O11059" s="247"/>
      <c r="P11059"/>
      <c r="Q11059" s="224"/>
      <c r="S11059" s="202"/>
      <c r="T11059"/>
    </row>
    <row r="11060" spans="15:20">
      <c r="O11060" s="247"/>
      <c r="P11060"/>
      <c r="Q11060" s="224"/>
      <c r="S11060" s="202"/>
      <c r="T11060"/>
    </row>
    <row r="11061" spans="15:20">
      <c r="O11061" s="247"/>
      <c r="P11061"/>
      <c r="Q11061" s="224"/>
      <c r="S11061" s="202"/>
      <c r="T11061"/>
    </row>
    <row r="11062" spans="15:20">
      <c r="O11062" s="247"/>
      <c r="P11062"/>
      <c r="Q11062" s="224"/>
      <c r="S11062" s="202"/>
      <c r="T11062"/>
    </row>
    <row r="11063" spans="15:20">
      <c r="O11063" s="247"/>
      <c r="P11063"/>
      <c r="Q11063" s="224"/>
      <c r="S11063" s="202"/>
      <c r="T11063"/>
    </row>
    <row r="11064" spans="15:20">
      <c r="O11064" s="247"/>
      <c r="P11064"/>
      <c r="Q11064" s="224"/>
      <c r="S11064" s="202"/>
      <c r="T11064"/>
    </row>
    <row r="11065" spans="15:20">
      <c r="O11065" s="247"/>
      <c r="P11065"/>
      <c r="Q11065" s="224"/>
      <c r="S11065" s="202"/>
      <c r="T11065"/>
    </row>
    <row r="11066" spans="15:20">
      <c r="O11066" s="247"/>
      <c r="P11066"/>
      <c r="Q11066" s="224"/>
      <c r="S11066" s="202"/>
      <c r="T11066"/>
    </row>
    <row r="11067" spans="15:20">
      <c r="O11067" s="247"/>
      <c r="P11067"/>
      <c r="Q11067" s="224"/>
      <c r="S11067" s="202"/>
      <c r="T11067"/>
    </row>
    <row r="11068" spans="15:20">
      <c r="O11068" s="247"/>
      <c r="P11068"/>
      <c r="Q11068" s="224"/>
      <c r="S11068" s="202"/>
      <c r="T11068"/>
    </row>
    <row r="11069" spans="15:20">
      <c r="O11069" s="247"/>
      <c r="P11069"/>
      <c r="Q11069" s="224"/>
      <c r="S11069" s="202"/>
      <c r="T11069"/>
    </row>
    <row r="11070" spans="15:20">
      <c r="O11070" s="247"/>
      <c r="P11070"/>
      <c r="Q11070" s="224"/>
      <c r="S11070" s="202"/>
      <c r="T11070"/>
    </row>
    <row r="11071" spans="15:20">
      <c r="O11071" s="247"/>
      <c r="P11071"/>
      <c r="Q11071" s="224"/>
      <c r="S11071" s="202"/>
      <c r="T11071"/>
    </row>
    <row r="11072" spans="15:20">
      <c r="O11072" s="247"/>
      <c r="P11072"/>
      <c r="Q11072" s="224"/>
      <c r="S11072" s="202"/>
      <c r="T11072"/>
    </row>
    <row r="11073" spans="15:20">
      <c r="O11073" s="247"/>
      <c r="P11073"/>
      <c r="Q11073" s="224"/>
      <c r="S11073" s="202"/>
      <c r="T11073"/>
    </row>
    <row r="11074" spans="15:20">
      <c r="O11074" s="247"/>
      <c r="P11074"/>
      <c r="Q11074" s="224"/>
      <c r="S11074" s="202"/>
      <c r="T11074"/>
    </row>
    <row r="11075" spans="15:20">
      <c r="O11075" s="247"/>
      <c r="P11075"/>
      <c r="Q11075" s="224"/>
      <c r="S11075" s="202"/>
      <c r="T11075"/>
    </row>
    <row r="11076" spans="15:20">
      <c r="O11076" s="247"/>
      <c r="P11076"/>
      <c r="Q11076" s="224"/>
      <c r="S11076" s="202"/>
      <c r="T11076"/>
    </row>
    <row r="11077" spans="15:20">
      <c r="O11077" s="247"/>
      <c r="P11077"/>
      <c r="Q11077" s="224"/>
      <c r="S11077" s="202"/>
      <c r="T11077"/>
    </row>
    <row r="11078" spans="15:20">
      <c r="O11078" s="247"/>
      <c r="P11078"/>
      <c r="Q11078" s="224"/>
      <c r="S11078" s="202"/>
      <c r="T11078"/>
    </row>
    <row r="11079" spans="15:20">
      <c r="O11079" s="247"/>
      <c r="P11079"/>
      <c r="Q11079" s="224"/>
      <c r="S11079" s="202"/>
      <c r="T11079"/>
    </row>
    <row r="11080" spans="15:20">
      <c r="O11080" s="247"/>
      <c r="P11080"/>
      <c r="Q11080" s="224"/>
      <c r="S11080" s="202"/>
      <c r="T11080"/>
    </row>
    <row r="11081" spans="15:20">
      <c r="O11081" s="247"/>
      <c r="P11081"/>
      <c r="Q11081" s="224"/>
      <c r="S11081" s="202"/>
      <c r="T11081"/>
    </row>
    <row r="11082" spans="15:20">
      <c r="O11082" s="247"/>
      <c r="P11082"/>
      <c r="Q11082" s="224"/>
      <c r="S11082" s="202"/>
      <c r="T11082"/>
    </row>
    <row r="11083" spans="15:20">
      <c r="O11083" s="247"/>
      <c r="P11083"/>
      <c r="Q11083" s="224"/>
      <c r="S11083" s="202"/>
      <c r="T11083"/>
    </row>
    <row r="11084" spans="15:20">
      <c r="O11084" s="247"/>
      <c r="P11084"/>
      <c r="Q11084" s="224"/>
      <c r="S11084" s="202"/>
      <c r="T11084"/>
    </row>
    <row r="11085" spans="15:20">
      <c r="O11085" s="247"/>
      <c r="P11085"/>
      <c r="Q11085" s="224"/>
      <c r="S11085" s="202"/>
      <c r="T11085"/>
    </row>
    <row r="11086" spans="15:20">
      <c r="O11086" s="247"/>
      <c r="P11086"/>
      <c r="Q11086" s="224"/>
      <c r="S11086" s="202"/>
      <c r="T11086"/>
    </row>
    <row r="11087" spans="15:20">
      <c r="O11087" s="247"/>
      <c r="P11087"/>
      <c r="Q11087" s="224"/>
      <c r="S11087" s="202"/>
      <c r="T11087"/>
    </row>
    <row r="11088" spans="15:20">
      <c r="O11088" s="247"/>
      <c r="P11088"/>
      <c r="Q11088" s="224"/>
      <c r="S11088" s="202"/>
      <c r="T11088"/>
    </row>
    <row r="11089" spans="15:20">
      <c r="O11089" s="247"/>
      <c r="P11089"/>
      <c r="Q11089" s="224"/>
      <c r="S11089" s="202"/>
      <c r="T11089"/>
    </row>
    <row r="11090" spans="15:20">
      <c r="O11090" s="247"/>
      <c r="P11090"/>
      <c r="Q11090" s="224"/>
      <c r="S11090" s="202"/>
      <c r="T11090"/>
    </row>
    <row r="11091" spans="15:20">
      <c r="O11091" s="247"/>
      <c r="P11091"/>
      <c r="Q11091" s="224"/>
      <c r="S11091" s="202"/>
      <c r="T11091"/>
    </row>
    <row r="11092" spans="15:20">
      <c r="O11092" s="247"/>
      <c r="P11092"/>
      <c r="Q11092" s="224"/>
      <c r="S11092" s="202"/>
      <c r="T11092"/>
    </row>
    <row r="11093" spans="15:20">
      <c r="O11093" s="247"/>
      <c r="P11093"/>
      <c r="Q11093" s="224"/>
      <c r="S11093" s="202"/>
      <c r="T11093"/>
    </row>
    <row r="11094" spans="15:20">
      <c r="O11094" s="247"/>
      <c r="P11094"/>
      <c r="Q11094" s="224"/>
      <c r="S11094" s="202"/>
      <c r="T11094"/>
    </row>
    <row r="11095" spans="15:20">
      <c r="O11095" s="247"/>
      <c r="P11095"/>
      <c r="Q11095" s="224"/>
      <c r="S11095" s="202"/>
      <c r="T11095"/>
    </row>
    <row r="11096" spans="15:20">
      <c r="O11096" s="247"/>
      <c r="P11096"/>
      <c r="Q11096" s="224"/>
      <c r="S11096" s="202"/>
      <c r="T11096"/>
    </row>
    <row r="11097" spans="15:20">
      <c r="O11097" s="247"/>
      <c r="P11097"/>
      <c r="Q11097" s="224"/>
      <c r="S11097" s="202"/>
      <c r="T11097"/>
    </row>
    <row r="11098" spans="15:20">
      <c r="O11098" s="247"/>
      <c r="P11098"/>
      <c r="Q11098" s="224"/>
      <c r="S11098" s="202"/>
      <c r="T11098"/>
    </row>
    <row r="11099" spans="15:20">
      <c r="O11099" s="247"/>
      <c r="P11099"/>
      <c r="Q11099" s="224"/>
      <c r="S11099" s="202"/>
      <c r="T11099"/>
    </row>
    <row r="11100" spans="15:20">
      <c r="O11100" s="247"/>
      <c r="P11100"/>
      <c r="Q11100" s="224"/>
      <c r="S11100" s="202"/>
      <c r="T11100"/>
    </row>
    <row r="11101" spans="15:20">
      <c r="O11101" s="247"/>
      <c r="P11101"/>
      <c r="Q11101" s="224"/>
      <c r="S11101" s="202"/>
      <c r="T11101"/>
    </row>
    <row r="11102" spans="15:20">
      <c r="O11102" s="247"/>
      <c r="P11102"/>
      <c r="Q11102" s="224"/>
      <c r="S11102" s="202"/>
      <c r="T11102"/>
    </row>
    <row r="11103" spans="15:20">
      <c r="O11103" s="247"/>
      <c r="P11103"/>
      <c r="Q11103" s="224"/>
      <c r="S11103" s="202"/>
      <c r="T11103"/>
    </row>
    <row r="11104" spans="15:20">
      <c r="O11104" s="247"/>
      <c r="P11104"/>
      <c r="Q11104" s="224"/>
      <c r="S11104" s="202"/>
      <c r="T11104"/>
    </row>
    <row r="11105" spans="15:20">
      <c r="O11105" s="247"/>
      <c r="P11105"/>
      <c r="Q11105" s="224"/>
      <c r="S11105" s="202"/>
      <c r="T11105"/>
    </row>
    <row r="11106" spans="15:20">
      <c r="O11106" s="247"/>
      <c r="P11106"/>
      <c r="Q11106" s="224"/>
      <c r="S11106" s="202"/>
      <c r="T11106"/>
    </row>
    <row r="11107" spans="15:20">
      <c r="O11107" s="247"/>
      <c r="P11107"/>
      <c r="Q11107" s="224"/>
      <c r="S11107" s="202"/>
      <c r="T11107"/>
    </row>
    <row r="11108" spans="15:20">
      <c r="O11108" s="247"/>
      <c r="P11108"/>
      <c r="Q11108" s="224"/>
      <c r="S11108" s="202"/>
      <c r="T11108"/>
    </row>
    <row r="11109" spans="15:20">
      <c r="O11109" s="247"/>
      <c r="P11109"/>
      <c r="Q11109" s="224"/>
      <c r="S11109" s="202"/>
      <c r="T11109"/>
    </row>
    <row r="11110" spans="15:20">
      <c r="O11110" s="247"/>
      <c r="P11110"/>
      <c r="Q11110" s="224"/>
      <c r="S11110" s="202"/>
      <c r="T11110"/>
    </row>
    <row r="11111" spans="15:20">
      <c r="O11111" s="247"/>
      <c r="P11111"/>
      <c r="Q11111" s="224"/>
      <c r="S11111" s="202"/>
      <c r="T11111"/>
    </row>
    <row r="11112" spans="15:20">
      <c r="O11112" s="247"/>
      <c r="P11112"/>
      <c r="Q11112" s="224"/>
      <c r="S11112" s="202"/>
      <c r="T11112"/>
    </row>
    <row r="11113" spans="15:20">
      <c r="O11113" s="247"/>
      <c r="P11113"/>
      <c r="Q11113" s="224"/>
      <c r="S11113" s="202"/>
      <c r="T11113"/>
    </row>
    <row r="11114" spans="15:20">
      <c r="O11114" s="247"/>
      <c r="P11114"/>
      <c r="Q11114" s="224"/>
      <c r="S11114" s="202"/>
      <c r="T11114"/>
    </row>
    <row r="11115" spans="15:20">
      <c r="O11115" s="247"/>
      <c r="P11115"/>
      <c r="Q11115" s="224"/>
      <c r="S11115" s="202"/>
      <c r="T11115"/>
    </row>
    <row r="11116" spans="15:20">
      <c r="O11116" s="247"/>
      <c r="P11116"/>
      <c r="Q11116" s="224"/>
      <c r="S11116" s="202"/>
      <c r="T11116"/>
    </row>
    <row r="11117" spans="15:20">
      <c r="O11117" s="247"/>
      <c r="P11117"/>
      <c r="Q11117" s="224"/>
      <c r="S11117" s="202"/>
      <c r="T11117"/>
    </row>
    <row r="11118" spans="15:20">
      <c r="O11118" s="247"/>
      <c r="P11118"/>
      <c r="Q11118" s="224"/>
      <c r="S11118" s="202"/>
      <c r="T11118"/>
    </row>
    <row r="11119" spans="15:20">
      <c r="O11119" s="247"/>
      <c r="P11119"/>
      <c r="Q11119" s="224"/>
      <c r="S11119" s="202"/>
      <c r="T11119"/>
    </row>
    <row r="11120" spans="15:20">
      <c r="O11120" s="247"/>
      <c r="P11120"/>
      <c r="Q11120" s="224"/>
      <c r="S11120" s="202"/>
      <c r="T11120"/>
    </row>
    <row r="11121" spans="15:20">
      <c r="O11121" s="247"/>
      <c r="P11121"/>
      <c r="Q11121" s="224"/>
      <c r="S11121" s="202"/>
      <c r="T11121"/>
    </row>
    <row r="11122" spans="15:20">
      <c r="O11122" s="247"/>
      <c r="P11122"/>
      <c r="Q11122" s="224"/>
      <c r="S11122" s="202"/>
      <c r="T11122"/>
    </row>
    <row r="11123" spans="15:20">
      <c r="O11123" s="247"/>
      <c r="P11123"/>
      <c r="Q11123" s="224"/>
      <c r="S11123" s="202"/>
      <c r="T11123"/>
    </row>
    <row r="11124" spans="15:20">
      <c r="O11124" s="247"/>
      <c r="P11124"/>
      <c r="Q11124" s="224"/>
      <c r="S11124" s="202"/>
      <c r="T11124"/>
    </row>
    <row r="11125" spans="15:20">
      <c r="O11125" s="247"/>
      <c r="P11125"/>
      <c r="Q11125" s="224"/>
      <c r="S11125" s="202"/>
      <c r="T11125"/>
    </row>
    <row r="11126" spans="15:20">
      <c r="O11126" s="247"/>
      <c r="P11126"/>
      <c r="Q11126" s="224"/>
      <c r="S11126" s="202"/>
      <c r="T11126"/>
    </row>
    <row r="11127" spans="15:20">
      <c r="O11127" s="247"/>
      <c r="P11127"/>
      <c r="Q11127" s="224"/>
      <c r="S11127" s="202"/>
      <c r="T11127"/>
    </row>
    <row r="11128" spans="15:20">
      <c r="O11128" s="247"/>
      <c r="P11128"/>
      <c r="Q11128" s="224"/>
      <c r="S11128" s="202"/>
      <c r="T11128"/>
    </row>
    <row r="11129" spans="15:20">
      <c r="O11129" s="247"/>
      <c r="P11129"/>
      <c r="Q11129" s="224"/>
      <c r="S11129" s="202"/>
      <c r="T11129"/>
    </row>
    <row r="11130" spans="15:20">
      <c r="O11130" s="247"/>
      <c r="P11130"/>
      <c r="Q11130" s="224"/>
      <c r="S11130" s="202"/>
      <c r="T11130"/>
    </row>
    <row r="11131" spans="15:20">
      <c r="O11131" s="247"/>
      <c r="P11131"/>
      <c r="Q11131" s="224"/>
      <c r="S11131" s="202"/>
      <c r="T11131"/>
    </row>
    <row r="11132" spans="15:20">
      <c r="O11132" s="247"/>
      <c r="P11132"/>
      <c r="Q11132" s="224"/>
      <c r="S11132" s="202"/>
      <c r="T11132"/>
    </row>
    <row r="11133" spans="15:20">
      <c r="O11133" s="247"/>
      <c r="P11133"/>
      <c r="Q11133" s="224"/>
      <c r="S11133" s="202"/>
      <c r="T11133"/>
    </row>
    <row r="11134" spans="15:20">
      <c r="O11134" s="247"/>
      <c r="P11134"/>
      <c r="Q11134" s="224"/>
      <c r="S11134" s="202"/>
      <c r="T11134"/>
    </row>
    <row r="11135" spans="15:20">
      <c r="O11135" s="247"/>
      <c r="P11135"/>
      <c r="Q11135" s="224"/>
      <c r="S11135" s="202"/>
      <c r="T11135"/>
    </row>
    <row r="11136" spans="15:20">
      <c r="O11136" s="247"/>
      <c r="P11136"/>
      <c r="Q11136" s="224"/>
      <c r="S11136" s="202"/>
      <c r="T11136"/>
    </row>
    <row r="11137" spans="15:20">
      <c r="O11137" s="247"/>
      <c r="P11137"/>
      <c r="Q11137" s="224"/>
      <c r="S11137" s="202"/>
      <c r="T11137"/>
    </row>
    <row r="11138" spans="15:20">
      <c r="O11138" s="247"/>
      <c r="P11138"/>
      <c r="Q11138" s="224"/>
      <c r="S11138" s="202"/>
      <c r="T11138"/>
    </row>
    <row r="11139" spans="15:20">
      <c r="O11139" s="247"/>
      <c r="P11139"/>
      <c r="Q11139" s="224"/>
      <c r="S11139" s="202"/>
      <c r="T11139"/>
    </row>
    <row r="11140" spans="15:20">
      <c r="O11140" s="247"/>
      <c r="P11140"/>
      <c r="Q11140" s="224"/>
      <c r="S11140" s="202"/>
      <c r="T11140"/>
    </row>
    <row r="11141" spans="15:20">
      <c r="O11141" s="247"/>
      <c r="P11141"/>
      <c r="Q11141" s="224"/>
      <c r="S11141" s="202"/>
      <c r="T11141"/>
    </row>
    <row r="11142" spans="15:20">
      <c r="O11142" s="247"/>
      <c r="P11142"/>
      <c r="Q11142" s="224"/>
      <c r="S11142" s="202"/>
      <c r="T11142"/>
    </row>
    <row r="11143" spans="15:20">
      <c r="O11143" s="247"/>
      <c r="P11143"/>
      <c r="Q11143" s="224"/>
      <c r="S11143" s="202"/>
      <c r="T11143"/>
    </row>
    <row r="11144" spans="15:20">
      <c r="O11144" s="247"/>
      <c r="P11144"/>
      <c r="Q11144" s="224"/>
      <c r="S11144" s="202"/>
      <c r="T11144"/>
    </row>
    <row r="11145" spans="15:20">
      <c r="O11145" s="247"/>
      <c r="P11145"/>
      <c r="Q11145" s="224"/>
      <c r="S11145" s="202"/>
      <c r="T11145"/>
    </row>
    <row r="11146" spans="15:20">
      <c r="O11146" s="247"/>
      <c r="P11146"/>
      <c r="Q11146" s="224"/>
      <c r="S11146" s="202"/>
      <c r="T11146"/>
    </row>
    <row r="11147" spans="15:20">
      <c r="O11147" s="247"/>
      <c r="P11147"/>
      <c r="Q11147" s="224"/>
      <c r="S11147" s="202"/>
      <c r="T11147"/>
    </row>
    <row r="11148" spans="15:20">
      <c r="O11148" s="247"/>
      <c r="P11148"/>
      <c r="Q11148" s="224"/>
      <c r="S11148" s="202"/>
      <c r="T11148"/>
    </row>
    <row r="11149" spans="15:20">
      <c r="O11149" s="247"/>
      <c r="P11149"/>
      <c r="Q11149" s="224"/>
      <c r="S11149" s="202"/>
      <c r="T11149"/>
    </row>
    <row r="11150" spans="15:20">
      <c r="O11150" s="247"/>
      <c r="P11150"/>
      <c r="Q11150" s="224"/>
      <c r="S11150" s="202"/>
      <c r="T11150"/>
    </row>
    <row r="11151" spans="15:20">
      <c r="O11151" s="247"/>
      <c r="P11151"/>
      <c r="Q11151" s="224"/>
      <c r="S11151" s="202"/>
      <c r="T11151"/>
    </row>
    <row r="11152" spans="15:20">
      <c r="O11152" s="247"/>
      <c r="P11152"/>
      <c r="Q11152" s="224"/>
      <c r="S11152" s="202"/>
      <c r="T11152"/>
    </row>
    <row r="11153" spans="15:20">
      <c r="O11153" s="247"/>
      <c r="P11153"/>
      <c r="Q11153" s="224"/>
      <c r="S11153" s="202"/>
      <c r="T11153"/>
    </row>
    <row r="11154" spans="15:20">
      <c r="O11154" s="247"/>
      <c r="P11154"/>
      <c r="Q11154" s="224"/>
      <c r="S11154" s="202"/>
      <c r="T11154"/>
    </row>
    <row r="11155" spans="15:20">
      <c r="O11155" s="247"/>
      <c r="P11155"/>
      <c r="Q11155" s="224"/>
      <c r="S11155" s="202"/>
      <c r="T11155"/>
    </row>
    <row r="11156" spans="15:20">
      <c r="O11156" s="247"/>
      <c r="P11156"/>
      <c r="Q11156" s="224"/>
      <c r="S11156" s="202"/>
      <c r="T11156"/>
    </row>
    <row r="11157" spans="15:20">
      <c r="O11157" s="247"/>
      <c r="P11157"/>
      <c r="Q11157" s="224"/>
      <c r="S11157" s="202"/>
      <c r="T11157"/>
    </row>
    <row r="11158" spans="15:20">
      <c r="O11158" s="247"/>
      <c r="P11158"/>
      <c r="Q11158" s="224"/>
      <c r="S11158" s="202"/>
      <c r="T11158"/>
    </row>
    <row r="11159" spans="15:20">
      <c r="O11159" s="247"/>
      <c r="P11159"/>
      <c r="Q11159" s="224"/>
      <c r="S11159" s="202"/>
      <c r="T11159"/>
    </row>
    <row r="11160" spans="15:20">
      <c r="O11160" s="247"/>
      <c r="P11160"/>
      <c r="Q11160" s="224"/>
      <c r="S11160" s="202"/>
      <c r="T11160"/>
    </row>
    <row r="11161" spans="15:20">
      <c r="O11161" s="247"/>
      <c r="P11161"/>
      <c r="Q11161" s="224"/>
      <c r="S11161" s="202"/>
      <c r="T11161"/>
    </row>
    <row r="11162" spans="15:20">
      <c r="O11162" s="247"/>
      <c r="P11162"/>
      <c r="Q11162" s="224"/>
      <c r="S11162" s="202"/>
      <c r="T11162"/>
    </row>
    <row r="11163" spans="15:20">
      <c r="O11163" s="247"/>
      <c r="P11163"/>
      <c r="Q11163" s="224"/>
      <c r="S11163" s="202"/>
      <c r="T11163"/>
    </row>
    <row r="11164" spans="15:20">
      <c r="O11164" s="247"/>
      <c r="P11164"/>
      <c r="Q11164" s="224"/>
      <c r="S11164" s="202"/>
      <c r="T11164"/>
    </row>
    <row r="11165" spans="15:20">
      <c r="O11165" s="247"/>
      <c r="P11165"/>
      <c r="Q11165" s="224"/>
      <c r="S11165" s="202"/>
      <c r="T11165"/>
    </row>
    <row r="11166" spans="15:20">
      <c r="O11166" s="247"/>
      <c r="P11166"/>
      <c r="Q11166" s="224"/>
      <c r="S11166" s="202"/>
      <c r="T11166"/>
    </row>
    <row r="11167" spans="15:20">
      <c r="O11167" s="247"/>
      <c r="P11167"/>
      <c r="Q11167" s="224"/>
      <c r="S11167" s="202"/>
      <c r="T11167"/>
    </row>
    <row r="11168" spans="15:20">
      <c r="O11168" s="247"/>
      <c r="P11168"/>
      <c r="Q11168" s="224"/>
      <c r="S11168" s="202"/>
      <c r="T11168"/>
    </row>
    <row r="11169" spans="15:20">
      <c r="O11169" s="247"/>
      <c r="P11169"/>
      <c r="Q11169" s="224"/>
      <c r="S11169" s="202"/>
      <c r="T11169"/>
    </row>
    <row r="11170" spans="15:20">
      <c r="O11170" s="247"/>
      <c r="P11170"/>
      <c r="Q11170" s="224"/>
      <c r="S11170" s="202"/>
      <c r="T11170"/>
    </row>
    <row r="11171" spans="15:20">
      <c r="O11171" s="247"/>
      <c r="P11171"/>
      <c r="Q11171" s="224"/>
      <c r="S11171" s="202"/>
      <c r="T11171"/>
    </row>
    <row r="11172" spans="15:20">
      <c r="O11172" s="247"/>
      <c r="P11172"/>
      <c r="Q11172" s="224"/>
      <c r="S11172" s="202"/>
      <c r="T11172"/>
    </row>
    <row r="11173" spans="15:20">
      <c r="O11173" s="247"/>
      <c r="P11173"/>
      <c r="Q11173" s="224"/>
      <c r="S11173" s="202"/>
      <c r="T11173"/>
    </row>
    <row r="11174" spans="15:20">
      <c r="O11174" s="247"/>
      <c r="P11174"/>
      <c r="Q11174" s="224"/>
      <c r="S11174" s="202"/>
      <c r="T11174"/>
    </row>
    <row r="11175" spans="15:20">
      <c r="O11175" s="247"/>
      <c r="P11175"/>
      <c r="Q11175" s="224"/>
      <c r="S11175" s="202"/>
      <c r="T11175"/>
    </row>
    <row r="11176" spans="15:20">
      <c r="O11176" s="247"/>
      <c r="P11176"/>
      <c r="Q11176" s="224"/>
      <c r="S11176" s="202"/>
      <c r="T11176"/>
    </row>
    <row r="11177" spans="15:20">
      <c r="O11177" s="247"/>
      <c r="P11177"/>
      <c r="Q11177" s="224"/>
      <c r="S11177" s="202"/>
      <c r="T11177"/>
    </row>
    <row r="11178" spans="15:20">
      <c r="O11178" s="247"/>
      <c r="P11178"/>
      <c r="Q11178" s="224"/>
      <c r="S11178" s="202"/>
      <c r="T11178"/>
    </row>
    <row r="11179" spans="15:20">
      <c r="O11179" s="247"/>
      <c r="P11179"/>
      <c r="Q11179" s="224"/>
      <c r="S11179" s="202"/>
      <c r="T11179"/>
    </row>
    <row r="11180" spans="15:20">
      <c r="O11180" s="247"/>
      <c r="P11180"/>
      <c r="Q11180" s="224"/>
      <c r="S11180" s="202"/>
      <c r="T11180"/>
    </row>
    <row r="11181" spans="15:20">
      <c r="O11181" s="247"/>
      <c r="P11181"/>
      <c r="Q11181" s="224"/>
      <c r="S11181" s="202"/>
      <c r="T11181"/>
    </row>
    <row r="11182" spans="15:20">
      <c r="O11182" s="247"/>
      <c r="P11182"/>
      <c r="Q11182" s="224"/>
      <c r="S11182" s="202"/>
      <c r="T11182"/>
    </row>
    <row r="11183" spans="15:20">
      <c r="O11183" s="247"/>
      <c r="P11183"/>
      <c r="Q11183" s="224"/>
      <c r="S11183" s="202"/>
      <c r="T11183"/>
    </row>
    <row r="11184" spans="15:20">
      <c r="O11184" s="247"/>
      <c r="P11184"/>
      <c r="Q11184" s="224"/>
      <c r="S11184" s="202"/>
      <c r="T11184"/>
    </row>
    <row r="11185" spans="15:20">
      <c r="O11185" s="247"/>
      <c r="P11185"/>
      <c r="Q11185" s="224"/>
      <c r="S11185" s="202"/>
      <c r="T11185"/>
    </row>
    <row r="11186" spans="15:20">
      <c r="O11186" s="247"/>
      <c r="P11186"/>
      <c r="Q11186" s="224"/>
      <c r="S11186" s="202"/>
      <c r="T11186"/>
    </row>
    <row r="11187" spans="15:20">
      <c r="O11187" s="247"/>
      <c r="P11187"/>
      <c r="Q11187" s="224"/>
      <c r="S11187" s="202"/>
      <c r="T11187"/>
    </row>
    <row r="11188" spans="15:20">
      <c r="O11188" s="247"/>
      <c r="P11188"/>
      <c r="Q11188" s="224"/>
      <c r="S11188" s="202"/>
      <c r="T11188"/>
    </row>
    <row r="11189" spans="15:20">
      <c r="O11189" s="247"/>
      <c r="P11189"/>
      <c r="Q11189" s="224"/>
      <c r="S11189" s="202"/>
      <c r="T11189"/>
    </row>
    <row r="11190" spans="15:20">
      <c r="O11190" s="247"/>
      <c r="P11190"/>
      <c r="Q11190" s="224"/>
      <c r="S11190" s="202"/>
      <c r="T11190"/>
    </row>
    <row r="11191" spans="15:20">
      <c r="O11191" s="247"/>
      <c r="P11191"/>
      <c r="Q11191" s="224"/>
      <c r="S11191" s="202"/>
      <c r="T11191"/>
    </row>
    <row r="11192" spans="15:20">
      <c r="O11192" s="247"/>
      <c r="P11192"/>
      <c r="Q11192" s="224"/>
      <c r="S11192" s="202"/>
      <c r="T11192"/>
    </row>
    <row r="11193" spans="15:20">
      <c r="O11193" s="247"/>
      <c r="P11193"/>
      <c r="Q11193" s="224"/>
      <c r="S11193" s="202"/>
      <c r="T11193"/>
    </row>
    <row r="11194" spans="15:20">
      <c r="O11194" s="247"/>
      <c r="P11194"/>
      <c r="Q11194" s="224"/>
      <c r="S11194" s="202"/>
      <c r="T11194"/>
    </row>
    <row r="11195" spans="15:20">
      <c r="O11195" s="247"/>
      <c r="P11195"/>
      <c r="Q11195" s="224"/>
      <c r="S11195" s="202"/>
      <c r="T11195"/>
    </row>
    <row r="11196" spans="15:20">
      <c r="O11196" s="247"/>
      <c r="P11196"/>
      <c r="Q11196" s="224"/>
      <c r="S11196" s="202"/>
      <c r="T11196"/>
    </row>
    <row r="11197" spans="15:20">
      <c r="O11197" s="247"/>
      <c r="P11197"/>
      <c r="Q11197" s="224"/>
      <c r="S11197" s="202"/>
      <c r="T11197"/>
    </row>
    <row r="11198" spans="15:20">
      <c r="O11198" s="247"/>
      <c r="P11198"/>
      <c r="Q11198" s="224"/>
      <c r="S11198" s="202"/>
      <c r="T11198"/>
    </row>
    <row r="11199" spans="15:20">
      <c r="O11199" s="247"/>
      <c r="P11199"/>
      <c r="Q11199" s="224"/>
      <c r="S11199" s="202"/>
      <c r="T11199"/>
    </row>
    <row r="11200" spans="15:20">
      <c r="O11200" s="247"/>
      <c r="P11200"/>
      <c r="Q11200" s="224"/>
      <c r="S11200" s="202"/>
      <c r="T11200"/>
    </row>
    <row r="11201" spans="15:20">
      <c r="O11201" s="247"/>
      <c r="P11201"/>
      <c r="Q11201" s="224"/>
      <c r="S11201" s="202"/>
      <c r="T11201"/>
    </row>
    <row r="11202" spans="15:20">
      <c r="O11202" s="247"/>
      <c r="P11202"/>
      <c r="Q11202" s="224"/>
      <c r="S11202" s="202"/>
      <c r="T11202"/>
    </row>
    <row r="11203" spans="15:20">
      <c r="O11203" s="247"/>
      <c r="P11203"/>
      <c r="Q11203" s="224"/>
      <c r="S11203" s="202"/>
      <c r="T11203"/>
    </row>
    <row r="11204" spans="15:20">
      <c r="O11204" s="247"/>
      <c r="P11204"/>
      <c r="Q11204" s="224"/>
      <c r="S11204" s="202"/>
      <c r="T11204"/>
    </row>
    <row r="11205" spans="15:20">
      <c r="O11205" s="247"/>
      <c r="P11205"/>
      <c r="Q11205" s="224"/>
      <c r="S11205" s="202"/>
      <c r="T11205"/>
    </row>
    <row r="11206" spans="15:20">
      <c r="O11206" s="247"/>
      <c r="P11206"/>
      <c r="Q11206" s="224"/>
      <c r="S11206" s="202"/>
      <c r="T11206"/>
    </row>
    <row r="11207" spans="15:20">
      <c r="O11207" s="247"/>
      <c r="P11207"/>
      <c r="Q11207" s="224"/>
      <c r="S11207" s="202"/>
      <c r="T11207"/>
    </row>
    <row r="11208" spans="15:20">
      <c r="O11208" s="247"/>
      <c r="P11208"/>
      <c r="Q11208" s="224"/>
      <c r="S11208" s="202"/>
      <c r="T11208"/>
    </row>
    <row r="11209" spans="15:20">
      <c r="O11209" s="247"/>
      <c r="P11209"/>
      <c r="Q11209" s="224"/>
      <c r="S11209" s="202"/>
      <c r="T11209"/>
    </row>
    <row r="11210" spans="15:20">
      <c r="O11210" s="247"/>
      <c r="P11210"/>
      <c r="Q11210" s="224"/>
      <c r="S11210" s="202"/>
      <c r="T11210"/>
    </row>
    <row r="11211" spans="15:20">
      <c r="O11211" s="247"/>
      <c r="P11211"/>
      <c r="Q11211" s="224"/>
      <c r="S11211" s="202"/>
      <c r="T11211"/>
    </row>
    <row r="11212" spans="15:20">
      <c r="O11212" s="247"/>
      <c r="P11212"/>
      <c r="Q11212" s="224"/>
      <c r="S11212" s="202"/>
      <c r="T11212"/>
    </row>
    <row r="11213" spans="15:20">
      <c r="O11213" s="247"/>
      <c r="P11213"/>
      <c r="Q11213" s="224"/>
      <c r="S11213" s="202"/>
      <c r="T11213"/>
    </row>
    <row r="11214" spans="15:20">
      <c r="O11214" s="247"/>
      <c r="P11214"/>
      <c r="Q11214" s="224"/>
      <c r="S11214" s="202"/>
      <c r="T11214"/>
    </row>
    <row r="11215" spans="15:20">
      <c r="O11215" s="247"/>
      <c r="P11215"/>
      <c r="Q11215" s="224"/>
      <c r="S11215" s="202"/>
      <c r="T11215"/>
    </row>
    <row r="11216" spans="15:20">
      <c r="O11216" s="247"/>
      <c r="P11216"/>
      <c r="Q11216" s="224"/>
      <c r="S11216" s="202"/>
      <c r="T11216"/>
    </row>
    <row r="11217" spans="15:20">
      <c r="O11217" s="247"/>
      <c r="P11217"/>
      <c r="Q11217" s="224"/>
      <c r="S11217" s="202"/>
      <c r="T11217"/>
    </row>
    <row r="11218" spans="15:20">
      <c r="O11218" s="247"/>
      <c r="P11218"/>
      <c r="Q11218" s="224"/>
      <c r="S11218" s="202"/>
      <c r="T11218"/>
    </row>
    <row r="11219" spans="15:20">
      <c r="O11219" s="247"/>
      <c r="P11219"/>
      <c r="Q11219" s="224"/>
      <c r="S11219" s="202"/>
      <c r="T11219"/>
    </row>
    <row r="11220" spans="15:20">
      <c r="O11220" s="247"/>
      <c r="P11220"/>
      <c r="Q11220" s="224"/>
      <c r="S11220" s="202"/>
      <c r="T11220"/>
    </row>
    <row r="11221" spans="15:20">
      <c r="O11221" s="247"/>
      <c r="P11221"/>
      <c r="Q11221" s="224"/>
      <c r="S11221" s="202"/>
      <c r="T11221"/>
    </row>
    <row r="11222" spans="15:20">
      <c r="O11222" s="247"/>
      <c r="P11222"/>
      <c r="Q11222" s="224"/>
      <c r="S11222" s="202"/>
      <c r="T11222"/>
    </row>
    <row r="11223" spans="15:20">
      <c r="O11223" s="247"/>
      <c r="P11223"/>
      <c r="Q11223" s="224"/>
      <c r="S11223" s="202"/>
      <c r="T11223"/>
    </row>
    <row r="11224" spans="15:20">
      <c r="O11224" s="247"/>
      <c r="P11224"/>
      <c r="Q11224" s="224"/>
      <c r="S11224" s="202"/>
      <c r="T11224"/>
    </row>
    <row r="11225" spans="15:20">
      <c r="O11225" s="247"/>
      <c r="P11225"/>
      <c r="Q11225" s="224"/>
      <c r="S11225" s="202"/>
      <c r="T11225"/>
    </row>
    <row r="11226" spans="15:20">
      <c r="O11226" s="247"/>
      <c r="P11226"/>
      <c r="Q11226" s="224"/>
      <c r="S11226" s="202"/>
      <c r="T11226"/>
    </row>
    <row r="11227" spans="15:20">
      <c r="O11227" s="247"/>
      <c r="P11227"/>
      <c r="Q11227" s="224"/>
      <c r="S11227" s="202"/>
      <c r="T11227"/>
    </row>
    <row r="11228" spans="15:20">
      <c r="O11228" s="247"/>
      <c r="P11228"/>
      <c r="Q11228" s="224"/>
      <c r="S11228" s="202"/>
      <c r="T11228"/>
    </row>
    <row r="11229" spans="15:20">
      <c r="O11229" s="247"/>
      <c r="P11229"/>
      <c r="Q11229" s="224"/>
      <c r="S11229" s="202"/>
      <c r="T11229"/>
    </row>
    <row r="11230" spans="15:20">
      <c r="O11230" s="247"/>
      <c r="P11230"/>
      <c r="Q11230" s="224"/>
      <c r="S11230" s="202"/>
      <c r="T11230"/>
    </row>
    <row r="11231" spans="15:20">
      <c r="O11231" s="247"/>
      <c r="P11231"/>
      <c r="Q11231" s="224"/>
      <c r="S11231" s="202"/>
      <c r="T11231"/>
    </row>
    <row r="11232" spans="15:20">
      <c r="O11232" s="247"/>
      <c r="P11232"/>
      <c r="Q11232" s="224"/>
      <c r="S11232" s="202"/>
      <c r="T11232"/>
    </row>
    <row r="11233" spans="15:20">
      <c r="O11233" s="247"/>
      <c r="P11233"/>
      <c r="Q11233" s="224"/>
      <c r="S11233" s="202"/>
      <c r="T11233"/>
    </row>
    <row r="11234" spans="15:20">
      <c r="O11234" s="247"/>
      <c r="P11234"/>
      <c r="Q11234" s="224"/>
      <c r="S11234" s="202"/>
      <c r="T11234"/>
    </row>
    <row r="11235" spans="15:20">
      <c r="O11235" s="247"/>
      <c r="P11235"/>
      <c r="Q11235" s="224"/>
      <c r="S11235" s="202"/>
      <c r="T11235"/>
    </row>
    <row r="11236" spans="15:20">
      <c r="O11236" s="247"/>
      <c r="P11236"/>
      <c r="Q11236" s="224"/>
      <c r="S11236" s="202"/>
      <c r="T11236"/>
    </row>
    <row r="11237" spans="15:20">
      <c r="O11237" s="247"/>
      <c r="P11237"/>
      <c r="Q11237" s="224"/>
      <c r="S11237" s="202"/>
      <c r="T11237"/>
    </row>
    <row r="11238" spans="15:20">
      <c r="O11238" s="247"/>
      <c r="P11238"/>
      <c r="Q11238" s="224"/>
      <c r="S11238" s="202"/>
      <c r="T11238"/>
    </row>
    <row r="11239" spans="15:20">
      <c r="O11239" s="247"/>
      <c r="P11239"/>
      <c r="Q11239" s="224"/>
      <c r="S11239" s="202"/>
      <c r="T11239"/>
    </row>
    <row r="11240" spans="15:20">
      <c r="O11240" s="247"/>
      <c r="P11240"/>
      <c r="Q11240" s="224"/>
      <c r="S11240" s="202"/>
      <c r="T11240"/>
    </row>
    <row r="11241" spans="15:20">
      <c r="O11241" s="247"/>
      <c r="P11241"/>
      <c r="Q11241" s="224"/>
      <c r="S11241" s="202"/>
      <c r="T11241"/>
    </row>
    <row r="11242" spans="15:20">
      <c r="O11242" s="247"/>
      <c r="P11242"/>
      <c r="Q11242" s="224"/>
      <c r="S11242" s="202"/>
      <c r="T11242"/>
    </row>
    <row r="11243" spans="15:20">
      <c r="O11243" s="247"/>
      <c r="P11243"/>
      <c r="Q11243" s="224"/>
      <c r="S11243" s="202"/>
      <c r="T11243"/>
    </row>
    <row r="11244" spans="15:20">
      <c r="O11244" s="247"/>
      <c r="P11244"/>
      <c r="Q11244" s="224"/>
      <c r="S11244" s="202"/>
      <c r="T11244"/>
    </row>
    <row r="11245" spans="15:20">
      <c r="O11245" s="247"/>
      <c r="P11245"/>
      <c r="Q11245" s="224"/>
      <c r="S11245" s="202"/>
      <c r="T11245"/>
    </row>
    <row r="11246" spans="15:20">
      <c r="O11246" s="247"/>
      <c r="P11246"/>
      <c r="Q11246" s="224"/>
      <c r="S11246" s="202"/>
      <c r="T11246"/>
    </row>
    <row r="11247" spans="15:20">
      <c r="O11247" s="247"/>
      <c r="P11247"/>
      <c r="Q11247" s="224"/>
      <c r="S11247" s="202"/>
      <c r="T11247"/>
    </row>
    <row r="11248" spans="15:20">
      <c r="O11248" s="247"/>
      <c r="P11248"/>
      <c r="Q11248" s="224"/>
      <c r="S11248" s="202"/>
      <c r="T11248"/>
    </row>
    <row r="11249" spans="15:20">
      <c r="O11249" s="247"/>
      <c r="P11249"/>
      <c r="Q11249" s="224"/>
      <c r="S11249" s="202"/>
      <c r="T11249"/>
    </row>
    <row r="11250" spans="15:20">
      <c r="O11250" s="247"/>
      <c r="P11250"/>
      <c r="Q11250" s="224"/>
      <c r="S11250" s="202"/>
      <c r="T11250"/>
    </row>
    <row r="11251" spans="15:20">
      <c r="O11251" s="247"/>
      <c r="P11251"/>
      <c r="Q11251" s="224"/>
      <c r="S11251" s="202"/>
      <c r="T11251"/>
    </row>
    <row r="11252" spans="15:20">
      <c r="O11252" s="247"/>
      <c r="P11252"/>
      <c r="Q11252" s="224"/>
      <c r="S11252" s="202"/>
      <c r="T11252"/>
    </row>
    <row r="11253" spans="15:20">
      <c r="O11253" s="247"/>
      <c r="P11253"/>
      <c r="Q11253" s="224"/>
      <c r="S11253" s="202"/>
      <c r="T11253"/>
    </row>
    <row r="11254" spans="15:20">
      <c r="O11254" s="247"/>
      <c r="P11254"/>
      <c r="Q11254" s="224"/>
      <c r="S11254" s="202"/>
      <c r="T11254"/>
    </row>
    <row r="11255" spans="15:20">
      <c r="O11255" s="247"/>
      <c r="P11255"/>
      <c r="Q11255" s="224"/>
      <c r="S11255" s="202"/>
      <c r="T11255"/>
    </row>
    <row r="11256" spans="15:20">
      <c r="O11256" s="247"/>
      <c r="P11256"/>
      <c r="Q11256" s="224"/>
      <c r="S11256" s="202"/>
      <c r="T11256"/>
    </row>
    <row r="11257" spans="15:20">
      <c r="O11257" s="247"/>
      <c r="P11257"/>
      <c r="Q11257" s="224"/>
      <c r="S11257" s="202"/>
      <c r="T11257"/>
    </row>
    <row r="11258" spans="15:20">
      <c r="O11258" s="247"/>
      <c r="P11258"/>
      <c r="Q11258" s="224"/>
      <c r="S11258" s="202"/>
      <c r="T11258"/>
    </row>
    <row r="11259" spans="15:20">
      <c r="O11259" s="247"/>
      <c r="P11259"/>
      <c r="Q11259" s="224"/>
      <c r="S11259" s="202"/>
      <c r="T11259"/>
    </row>
    <row r="11260" spans="15:20">
      <c r="O11260" s="247"/>
      <c r="P11260"/>
      <c r="Q11260" s="224"/>
      <c r="S11260" s="202"/>
      <c r="T11260"/>
    </row>
    <row r="11261" spans="15:20">
      <c r="O11261" s="247"/>
      <c r="P11261"/>
      <c r="Q11261" s="224"/>
      <c r="S11261" s="202"/>
      <c r="T11261"/>
    </row>
    <row r="11262" spans="15:20">
      <c r="O11262" s="247"/>
      <c r="P11262"/>
      <c r="Q11262" s="224"/>
      <c r="S11262" s="202"/>
      <c r="T11262"/>
    </row>
    <row r="11263" spans="15:20">
      <c r="O11263" s="247"/>
      <c r="P11263"/>
      <c r="Q11263" s="224"/>
      <c r="S11263" s="202"/>
      <c r="T11263"/>
    </row>
    <row r="11264" spans="15:20">
      <c r="O11264" s="247"/>
      <c r="P11264"/>
      <c r="Q11264" s="224"/>
      <c r="S11264" s="202"/>
      <c r="T11264"/>
    </row>
    <row r="11265" spans="15:20">
      <c r="O11265" s="247"/>
      <c r="P11265"/>
      <c r="Q11265" s="224"/>
      <c r="S11265" s="202"/>
      <c r="T11265"/>
    </row>
    <row r="11266" spans="15:20">
      <c r="O11266" s="247"/>
      <c r="P11266"/>
      <c r="Q11266" s="224"/>
      <c r="S11266" s="202"/>
      <c r="T11266"/>
    </row>
    <row r="11267" spans="15:20">
      <c r="O11267" s="247"/>
      <c r="P11267"/>
      <c r="Q11267" s="224"/>
      <c r="S11267" s="202"/>
      <c r="T11267"/>
    </row>
    <row r="11268" spans="15:20">
      <c r="O11268" s="247"/>
      <c r="P11268"/>
      <c r="Q11268" s="224"/>
      <c r="S11268" s="202"/>
      <c r="T11268"/>
    </row>
    <row r="11269" spans="15:20">
      <c r="O11269" s="247"/>
      <c r="P11269"/>
      <c r="Q11269" s="224"/>
      <c r="S11269" s="202"/>
      <c r="T11269"/>
    </row>
    <row r="11270" spans="15:20">
      <c r="O11270" s="247"/>
      <c r="P11270"/>
      <c r="Q11270" s="224"/>
      <c r="S11270" s="202"/>
      <c r="T11270"/>
    </row>
    <row r="11271" spans="15:20">
      <c r="O11271" s="247"/>
      <c r="P11271"/>
      <c r="Q11271" s="224"/>
      <c r="S11271" s="202"/>
      <c r="T11271"/>
    </row>
    <row r="11272" spans="15:20">
      <c r="O11272" s="247"/>
      <c r="P11272"/>
      <c r="Q11272" s="224"/>
      <c r="S11272" s="202"/>
      <c r="T11272"/>
    </row>
    <row r="11273" spans="15:20">
      <c r="O11273" s="247"/>
      <c r="P11273"/>
      <c r="Q11273" s="224"/>
      <c r="S11273" s="202"/>
      <c r="T11273"/>
    </row>
    <row r="11274" spans="15:20">
      <c r="O11274" s="247"/>
      <c r="P11274"/>
      <c r="Q11274" s="224"/>
      <c r="S11274" s="202"/>
      <c r="T11274"/>
    </row>
    <row r="11275" spans="15:20">
      <c r="O11275" s="247"/>
      <c r="P11275"/>
      <c r="Q11275" s="224"/>
      <c r="S11275" s="202"/>
      <c r="T11275"/>
    </row>
    <row r="11276" spans="15:20">
      <c r="O11276" s="247"/>
      <c r="P11276"/>
      <c r="Q11276" s="224"/>
      <c r="S11276" s="202"/>
      <c r="T11276"/>
    </row>
    <row r="11277" spans="15:20">
      <c r="O11277" s="247"/>
      <c r="P11277"/>
      <c r="Q11277" s="224"/>
      <c r="S11277" s="202"/>
      <c r="T11277"/>
    </row>
    <row r="11278" spans="15:20">
      <c r="O11278" s="247"/>
      <c r="P11278"/>
      <c r="Q11278" s="224"/>
      <c r="S11278" s="202"/>
      <c r="T11278"/>
    </row>
    <row r="11279" spans="15:20">
      <c r="O11279" s="247"/>
      <c r="P11279"/>
      <c r="Q11279" s="224"/>
      <c r="S11279" s="202"/>
      <c r="T11279"/>
    </row>
    <row r="11280" spans="15:20">
      <c r="O11280" s="247"/>
      <c r="P11280"/>
      <c r="Q11280" s="224"/>
      <c r="S11280" s="202"/>
      <c r="T11280"/>
    </row>
    <row r="11281" spans="15:20">
      <c r="O11281" s="247"/>
      <c r="P11281"/>
      <c r="Q11281" s="224"/>
      <c r="S11281" s="202"/>
      <c r="T11281"/>
    </row>
    <row r="11282" spans="15:20">
      <c r="O11282" s="247"/>
      <c r="P11282"/>
      <c r="Q11282" s="224"/>
      <c r="S11282" s="202"/>
      <c r="T11282"/>
    </row>
    <row r="11283" spans="15:20">
      <c r="O11283" s="247"/>
      <c r="P11283"/>
      <c r="Q11283" s="224"/>
      <c r="S11283" s="202"/>
      <c r="T11283"/>
    </row>
    <row r="11284" spans="15:20">
      <c r="O11284" s="247"/>
      <c r="P11284"/>
      <c r="Q11284" s="224"/>
      <c r="S11284" s="202"/>
      <c r="T11284"/>
    </row>
    <row r="11285" spans="15:20">
      <c r="O11285" s="247"/>
      <c r="P11285"/>
      <c r="Q11285" s="224"/>
      <c r="S11285" s="202"/>
      <c r="T11285"/>
    </row>
    <row r="11286" spans="15:20">
      <c r="O11286" s="247"/>
      <c r="P11286"/>
      <c r="Q11286" s="224"/>
      <c r="S11286" s="202"/>
      <c r="T11286"/>
    </row>
    <row r="11287" spans="15:20">
      <c r="O11287" s="247"/>
      <c r="P11287"/>
      <c r="Q11287" s="224"/>
      <c r="S11287" s="202"/>
      <c r="T11287"/>
    </row>
    <row r="11288" spans="15:20">
      <c r="O11288" s="247"/>
      <c r="P11288"/>
      <c r="Q11288" s="224"/>
      <c r="S11288" s="202"/>
      <c r="T11288"/>
    </row>
    <row r="11289" spans="15:20">
      <c r="O11289" s="247"/>
      <c r="P11289"/>
      <c r="Q11289" s="224"/>
      <c r="S11289" s="202"/>
      <c r="T11289"/>
    </row>
    <row r="11290" spans="15:20">
      <c r="O11290" s="247"/>
      <c r="P11290"/>
      <c r="Q11290" s="224"/>
      <c r="S11290" s="202"/>
      <c r="T11290"/>
    </row>
    <row r="11291" spans="15:20">
      <c r="O11291" s="247"/>
      <c r="P11291"/>
      <c r="Q11291" s="224"/>
      <c r="S11291" s="202"/>
      <c r="T11291"/>
    </row>
    <row r="11292" spans="15:20">
      <c r="O11292" s="247"/>
      <c r="P11292"/>
      <c r="Q11292" s="224"/>
      <c r="S11292" s="202"/>
      <c r="T11292"/>
    </row>
    <row r="11293" spans="15:20">
      <c r="O11293" s="247"/>
      <c r="P11293"/>
      <c r="Q11293" s="224"/>
      <c r="S11293" s="202"/>
      <c r="T11293"/>
    </row>
    <row r="11294" spans="15:20">
      <c r="O11294" s="247"/>
      <c r="P11294"/>
      <c r="Q11294" s="224"/>
      <c r="S11294" s="202"/>
      <c r="T11294"/>
    </row>
    <row r="11295" spans="15:20">
      <c r="O11295" s="247"/>
      <c r="P11295"/>
      <c r="Q11295" s="224"/>
      <c r="S11295" s="202"/>
      <c r="T11295"/>
    </row>
    <row r="11296" spans="15:20">
      <c r="O11296" s="247"/>
      <c r="P11296"/>
      <c r="Q11296" s="224"/>
      <c r="S11296" s="202"/>
      <c r="T11296"/>
    </row>
    <row r="11297" spans="15:20">
      <c r="O11297" s="247"/>
      <c r="P11297"/>
      <c r="Q11297" s="224"/>
      <c r="S11297" s="202"/>
      <c r="T11297"/>
    </row>
    <row r="11298" spans="15:20">
      <c r="O11298" s="247"/>
      <c r="P11298"/>
      <c r="Q11298" s="224"/>
      <c r="S11298" s="202"/>
      <c r="T11298"/>
    </row>
    <row r="11299" spans="15:20">
      <c r="O11299" s="247"/>
      <c r="P11299"/>
      <c r="Q11299" s="224"/>
      <c r="S11299" s="202"/>
      <c r="T11299"/>
    </row>
    <row r="11300" spans="15:20">
      <c r="O11300" s="247"/>
      <c r="P11300"/>
      <c r="Q11300" s="224"/>
      <c r="S11300" s="202"/>
      <c r="T11300"/>
    </row>
    <row r="11301" spans="15:20">
      <c r="O11301" s="247"/>
      <c r="P11301"/>
      <c r="Q11301" s="224"/>
      <c r="S11301" s="202"/>
      <c r="T11301"/>
    </row>
    <row r="11302" spans="15:20">
      <c r="O11302" s="247"/>
      <c r="P11302"/>
      <c r="Q11302" s="224"/>
      <c r="S11302" s="202"/>
      <c r="T11302"/>
    </row>
    <row r="11303" spans="15:20">
      <c r="O11303" s="247"/>
      <c r="P11303"/>
      <c r="Q11303" s="224"/>
      <c r="S11303" s="202"/>
      <c r="T11303"/>
    </row>
    <row r="11304" spans="15:20">
      <c r="O11304" s="247"/>
      <c r="P11304"/>
      <c r="Q11304" s="224"/>
      <c r="S11304" s="202"/>
      <c r="T11304"/>
    </row>
    <row r="11305" spans="15:20">
      <c r="O11305" s="247"/>
      <c r="P11305"/>
      <c r="Q11305" s="224"/>
      <c r="S11305" s="202"/>
      <c r="T11305"/>
    </row>
    <row r="11306" spans="15:20">
      <c r="O11306" s="247"/>
      <c r="P11306"/>
      <c r="Q11306" s="224"/>
      <c r="S11306" s="202"/>
      <c r="T11306"/>
    </row>
    <row r="11307" spans="15:20">
      <c r="O11307" s="247"/>
      <c r="P11307"/>
      <c r="Q11307" s="224"/>
      <c r="S11307" s="202"/>
      <c r="T11307"/>
    </row>
    <row r="11308" spans="15:20">
      <c r="O11308" s="247"/>
      <c r="P11308"/>
      <c r="Q11308" s="224"/>
      <c r="S11308" s="202"/>
      <c r="T11308"/>
    </row>
    <row r="11309" spans="15:20">
      <c r="O11309" s="247"/>
      <c r="P11309"/>
      <c r="Q11309" s="224"/>
      <c r="S11309" s="202"/>
      <c r="T11309"/>
    </row>
    <row r="11310" spans="15:20">
      <c r="O11310" s="247"/>
      <c r="P11310"/>
      <c r="Q11310" s="224"/>
      <c r="S11310" s="202"/>
      <c r="T11310"/>
    </row>
    <row r="11311" spans="15:20">
      <c r="O11311" s="247"/>
      <c r="P11311"/>
      <c r="Q11311" s="224"/>
      <c r="S11311" s="202"/>
      <c r="T11311"/>
    </row>
    <row r="11312" spans="15:20">
      <c r="O11312" s="247"/>
      <c r="P11312"/>
      <c r="Q11312" s="224"/>
      <c r="S11312" s="202"/>
      <c r="T11312"/>
    </row>
    <row r="11313" spans="15:20">
      <c r="O11313" s="247"/>
      <c r="P11313"/>
      <c r="Q11313" s="224"/>
      <c r="S11313" s="202"/>
      <c r="T11313"/>
    </row>
    <row r="11314" spans="15:20">
      <c r="O11314" s="247"/>
      <c r="P11314"/>
      <c r="Q11314" s="224"/>
      <c r="S11314" s="202"/>
      <c r="T11314"/>
    </row>
    <row r="11315" spans="15:20">
      <c r="O11315" s="247"/>
      <c r="P11315"/>
      <c r="Q11315" s="224"/>
      <c r="S11315" s="202"/>
      <c r="T11315"/>
    </row>
    <row r="11316" spans="15:20">
      <c r="O11316" s="247"/>
      <c r="P11316"/>
      <c r="Q11316" s="224"/>
      <c r="S11316" s="202"/>
      <c r="T11316"/>
    </row>
    <row r="11317" spans="15:20">
      <c r="O11317" s="247"/>
      <c r="P11317"/>
      <c r="Q11317" s="224"/>
      <c r="S11317" s="202"/>
      <c r="T11317"/>
    </row>
    <row r="11318" spans="15:20">
      <c r="O11318" s="247"/>
      <c r="P11318"/>
      <c r="Q11318" s="224"/>
      <c r="S11318" s="202"/>
      <c r="T11318"/>
    </row>
    <row r="11319" spans="15:20">
      <c r="O11319" s="247"/>
      <c r="P11319"/>
      <c r="Q11319" s="224"/>
      <c r="S11319" s="202"/>
      <c r="T11319"/>
    </row>
    <row r="11320" spans="15:20">
      <c r="O11320" s="247"/>
      <c r="P11320"/>
      <c r="Q11320" s="224"/>
      <c r="S11320" s="202"/>
      <c r="T11320"/>
    </row>
    <row r="11321" spans="15:20">
      <c r="O11321" s="247"/>
      <c r="P11321"/>
      <c r="Q11321" s="224"/>
      <c r="S11321" s="202"/>
      <c r="T11321"/>
    </row>
    <row r="11322" spans="15:20">
      <c r="O11322" s="247"/>
      <c r="P11322"/>
      <c r="Q11322" s="224"/>
      <c r="S11322" s="202"/>
      <c r="T11322"/>
    </row>
    <row r="11323" spans="15:20">
      <c r="O11323" s="247"/>
      <c r="P11323"/>
      <c r="Q11323" s="224"/>
      <c r="S11323" s="202"/>
      <c r="T11323"/>
    </row>
    <row r="11324" spans="15:20">
      <c r="O11324" s="247"/>
      <c r="P11324"/>
      <c r="Q11324" s="224"/>
      <c r="S11324" s="202"/>
      <c r="T11324"/>
    </row>
    <row r="11325" spans="15:20">
      <c r="O11325" s="247"/>
      <c r="P11325"/>
      <c r="Q11325" s="224"/>
      <c r="S11325" s="202"/>
      <c r="T11325"/>
    </row>
    <row r="11326" spans="15:20">
      <c r="O11326" s="247"/>
      <c r="P11326"/>
      <c r="Q11326" s="224"/>
      <c r="S11326" s="202"/>
      <c r="T11326"/>
    </row>
    <row r="11327" spans="15:20">
      <c r="O11327" s="247"/>
      <c r="P11327"/>
      <c r="Q11327" s="224"/>
      <c r="S11327" s="202"/>
      <c r="T11327"/>
    </row>
    <row r="11328" spans="15:20">
      <c r="O11328" s="247"/>
      <c r="P11328"/>
      <c r="Q11328" s="224"/>
      <c r="S11328" s="202"/>
      <c r="T11328"/>
    </row>
    <row r="11329" spans="15:20">
      <c r="O11329" s="247"/>
      <c r="P11329"/>
      <c r="Q11329" s="224"/>
      <c r="S11329" s="202"/>
      <c r="T11329"/>
    </row>
    <row r="11330" spans="15:20">
      <c r="O11330" s="247"/>
      <c r="P11330"/>
      <c r="Q11330" s="224"/>
      <c r="S11330" s="202"/>
      <c r="T11330"/>
    </row>
    <row r="11331" spans="15:20">
      <c r="O11331" s="247"/>
      <c r="P11331"/>
      <c r="Q11331" s="224"/>
      <c r="S11331" s="202"/>
      <c r="T11331"/>
    </row>
    <row r="11332" spans="15:20">
      <c r="O11332" s="247"/>
      <c r="P11332"/>
      <c r="Q11332" s="224"/>
      <c r="S11332" s="202"/>
      <c r="T11332"/>
    </row>
    <row r="11333" spans="15:20">
      <c r="O11333" s="247"/>
      <c r="P11333"/>
      <c r="Q11333" s="224"/>
      <c r="S11333" s="202"/>
      <c r="T11333"/>
    </row>
    <row r="11334" spans="15:20">
      <c r="O11334" s="247"/>
      <c r="P11334"/>
      <c r="Q11334" s="224"/>
      <c r="S11334" s="202"/>
      <c r="T11334"/>
    </row>
    <row r="11335" spans="15:20">
      <c r="O11335" s="247"/>
      <c r="P11335"/>
      <c r="Q11335" s="224"/>
      <c r="S11335" s="202"/>
      <c r="T11335"/>
    </row>
    <row r="11336" spans="15:20">
      <c r="O11336" s="247"/>
      <c r="P11336"/>
      <c r="Q11336" s="224"/>
      <c r="S11336" s="202"/>
      <c r="T11336"/>
    </row>
    <row r="11337" spans="15:20">
      <c r="O11337" s="247"/>
      <c r="P11337"/>
      <c r="Q11337" s="224"/>
      <c r="S11337" s="202"/>
      <c r="T11337"/>
    </row>
    <row r="11338" spans="15:20">
      <c r="O11338" s="247"/>
      <c r="P11338"/>
      <c r="Q11338" s="224"/>
      <c r="S11338" s="202"/>
      <c r="T11338"/>
    </row>
    <row r="11339" spans="15:20">
      <c r="O11339" s="247"/>
      <c r="P11339"/>
      <c r="Q11339" s="224"/>
      <c r="S11339" s="202"/>
      <c r="T11339"/>
    </row>
    <row r="11340" spans="15:20">
      <c r="O11340" s="247"/>
      <c r="P11340"/>
      <c r="Q11340" s="224"/>
      <c r="S11340" s="202"/>
      <c r="T11340"/>
    </row>
    <row r="11341" spans="15:20">
      <c r="O11341" s="247"/>
      <c r="P11341"/>
      <c r="Q11341" s="224"/>
      <c r="S11341" s="202"/>
      <c r="T11341"/>
    </row>
    <row r="11342" spans="15:20">
      <c r="O11342" s="247"/>
      <c r="P11342"/>
      <c r="Q11342" s="224"/>
      <c r="S11342" s="202"/>
      <c r="T11342"/>
    </row>
    <row r="11343" spans="15:20">
      <c r="O11343" s="247"/>
      <c r="P11343"/>
      <c r="Q11343" s="224"/>
      <c r="S11343" s="202"/>
      <c r="T11343"/>
    </row>
    <row r="11344" spans="15:20">
      <c r="O11344" s="247"/>
      <c r="P11344"/>
      <c r="Q11344" s="224"/>
      <c r="S11344" s="202"/>
      <c r="T11344"/>
    </row>
    <row r="11345" spans="15:20">
      <c r="O11345" s="247"/>
      <c r="P11345"/>
      <c r="Q11345" s="224"/>
      <c r="S11345" s="202"/>
      <c r="T11345"/>
    </row>
    <row r="11346" spans="15:20">
      <c r="O11346" s="247"/>
      <c r="P11346"/>
      <c r="Q11346" s="224"/>
      <c r="S11346" s="202"/>
      <c r="T11346"/>
    </row>
    <row r="11347" spans="15:20">
      <c r="O11347" s="247"/>
      <c r="P11347"/>
      <c r="Q11347" s="224"/>
      <c r="S11347" s="202"/>
      <c r="T11347"/>
    </row>
    <row r="11348" spans="15:20">
      <c r="O11348" s="247"/>
      <c r="P11348"/>
      <c r="Q11348" s="224"/>
      <c r="S11348" s="202"/>
      <c r="T11348"/>
    </row>
    <row r="11349" spans="15:20">
      <c r="O11349" s="247"/>
      <c r="P11349"/>
      <c r="Q11349" s="224"/>
      <c r="S11349" s="202"/>
      <c r="T11349"/>
    </row>
    <row r="11350" spans="15:20">
      <c r="O11350" s="247"/>
      <c r="P11350"/>
      <c r="Q11350" s="224"/>
      <c r="S11350" s="202"/>
      <c r="T11350"/>
    </row>
    <row r="11351" spans="15:20">
      <c r="O11351" s="247"/>
      <c r="P11351"/>
      <c r="Q11351" s="224"/>
      <c r="S11351" s="202"/>
      <c r="T11351"/>
    </row>
    <row r="11352" spans="15:20">
      <c r="O11352" s="247"/>
      <c r="P11352"/>
      <c r="Q11352" s="224"/>
      <c r="S11352" s="202"/>
      <c r="T11352"/>
    </row>
    <row r="11353" spans="15:20">
      <c r="O11353" s="247"/>
      <c r="P11353"/>
      <c r="Q11353" s="224"/>
      <c r="S11353" s="202"/>
      <c r="T11353"/>
    </row>
    <row r="11354" spans="15:20">
      <c r="O11354" s="247"/>
      <c r="P11354"/>
      <c r="Q11354" s="224"/>
      <c r="S11354" s="202"/>
      <c r="T11354"/>
    </row>
    <row r="11355" spans="15:20">
      <c r="O11355" s="247"/>
      <c r="P11355"/>
      <c r="Q11355" s="224"/>
      <c r="S11355" s="202"/>
      <c r="T11355"/>
    </row>
    <row r="11356" spans="15:20">
      <c r="O11356" s="247"/>
      <c r="P11356"/>
      <c r="Q11356" s="224"/>
      <c r="S11356" s="202"/>
      <c r="T11356"/>
    </row>
    <row r="11357" spans="15:20">
      <c r="O11357" s="247"/>
      <c r="P11357"/>
      <c r="Q11357" s="224"/>
      <c r="S11357" s="202"/>
      <c r="T11357"/>
    </row>
    <row r="11358" spans="15:20">
      <c r="O11358" s="247"/>
      <c r="P11358"/>
      <c r="Q11358" s="224"/>
      <c r="S11358" s="202"/>
      <c r="T11358"/>
    </row>
    <row r="11359" spans="15:20">
      <c r="O11359" s="247"/>
      <c r="P11359"/>
      <c r="Q11359" s="224"/>
      <c r="S11359" s="202"/>
      <c r="T11359"/>
    </row>
    <row r="11360" spans="15:20">
      <c r="O11360" s="247"/>
      <c r="P11360"/>
      <c r="Q11360" s="224"/>
      <c r="S11360" s="202"/>
      <c r="T11360"/>
    </row>
    <row r="11361" spans="15:20">
      <c r="O11361" s="247"/>
      <c r="P11361"/>
      <c r="Q11361" s="224"/>
      <c r="S11361" s="202"/>
      <c r="T11361"/>
    </row>
    <row r="11362" spans="15:20">
      <c r="O11362" s="247"/>
      <c r="P11362"/>
      <c r="Q11362" s="224"/>
      <c r="S11362" s="202"/>
      <c r="T11362"/>
    </row>
    <row r="11363" spans="15:20">
      <c r="O11363" s="247"/>
      <c r="P11363"/>
      <c r="Q11363" s="224"/>
      <c r="S11363" s="202"/>
      <c r="T11363"/>
    </row>
    <row r="11364" spans="15:20">
      <c r="O11364" s="247"/>
      <c r="P11364"/>
      <c r="Q11364" s="224"/>
      <c r="S11364" s="202"/>
      <c r="T11364"/>
    </row>
    <row r="11365" spans="15:20">
      <c r="O11365" s="247"/>
      <c r="P11365"/>
      <c r="Q11365" s="224"/>
      <c r="S11365" s="202"/>
      <c r="T11365"/>
    </row>
    <row r="11366" spans="15:20">
      <c r="O11366" s="247"/>
      <c r="P11366"/>
      <c r="Q11366" s="224"/>
      <c r="S11366" s="202"/>
      <c r="T11366"/>
    </row>
    <row r="11367" spans="15:20">
      <c r="O11367" s="247"/>
      <c r="P11367"/>
      <c r="Q11367" s="224"/>
      <c r="S11367" s="202"/>
      <c r="T11367"/>
    </row>
    <row r="11368" spans="15:20">
      <c r="O11368" s="247"/>
      <c r="P11368"/>
      <c r="Q11368" s="224"/>
      <c r="S11368" s="202"/>
      <c r="T11368"/>
    </row>
    <row r="11369" spans="15:20">
      <c r="O11369" s="247"/>
      <c r="P11369"/>
      <c r="Q11369" s="224"/>
      <c r="S11369" s="202"/>
      <c r="T11369"/>
    </row>
    <row r="11370" spans="15:20">
      <c r="O11370" s="247"/>
      <c r="P11370"/>
      <c r="Q11370" s="224"/>
      <c r="S11370" s="202"/>
      <c r="T11370"/>
    </row>
    <row r="11371" spans="15:20">
      <c r="O11371" s="247"/>
      <c r="P11371"/>
      <c r="Q11371" s="224"/>
      <c r="S11371" s="202"/>
      <c r="T11371"/>
    </row>
    <row r="11372" spans="15:20">
      <c r="O11372" s="247"/>
      <c r="P11372"/>
      <c r="Q11372" s="224"/>
      <c r="S11372" s="202"/>
      <c r="T11372"/>
    </row>
    <row r="11373" spans="15:20">
      <c r="O11373" s="247"/>
      <c r="P11373"/>
      <c r="Q11373" s="224"/>
      <c r="S11373" s="202"/>
      <c r="T11373"/>
    </row>
    <row r="11374" spans="15:20">
      <c r="O11374" s="247"/>
      <c r="P11374"/>
      <c r="Q11374" s="224"/>
      <c r="S11374" s="202"/>
      <c r="T11374"/>
    </row>
    <row r="11375" spans="15:20">
      <c r="O11375" s="247"/>
      <c r="P11375"/>
      <c r="Q11375" s="224"/>
      <c r="S11375" s="202"/>
      <c r="T11375"/>
    </row>
    <row r="11376" spans="15:20">
      <c r="O11376" s="247"/>
      <c r="P11376"/>
      <c r="Q11376" s="224"/>
      <c r="S11376" s="202"/>
      <c r="T11376"/>
    </row>
    <row r="11377" spans="15:20">
      <c r="O11377" s="247"/>
      <c r="P11377"/>
      <c r="Q11377" s="224"/>
      <c r="S11377" s="202"/>
      <c r="T11377"/>
    </row>
    <row r="11378" spans="15:20">
      <c r="O11378" s="247"/>
      <c r="P11378"/>
      <c r="Q11378" s="224"/>
      <c r="S11378" s="202"/>
      <c r="T11378"/>
    </row>
    <row r="11379" spans="15:20">
      <c r="O11379" s="247"/>
      <c r="P11379"/>
      <c r="Q11379" s="224"/>
      <c r="S11379" s="202"/>
      <c r="T11379"/>
    </row>
    <row r="11380" spans="15:20">
      <c r="O11380" s="247"/>
      <c r="P11380"/>
      <c r="Q11380" s="224"/>
      <c r="S11380" s="202"/>
      <c r="T11380"/>
    </row>
    <row r="11381" spans="15:20">
      <c r="O11381" s="247"/>
      <c r="P11381"/>
      <c r="Q11381" s="224"/>
      <c r="S11381" s="202"/>
      <c r="T11381"/>
    </row>
    <row r="11382" spans="15:20">
      <c r="O11382" s="247"/>
      <c r="P11382"/>
      <c r="Q11382" s="224"/>
      <c r="S11382" s="202"/>
      <c r="T11382"/>
    </row>
    <row r="11383" spans="15:20">
      <c r="O11383" s="247"/>
      <c r="P11383"/>
      <c r="Q11383" s="224"/>
      <c r="S11383" s="202"/>
      <c r="T11383"/>
    </row>
    <row r="11384" spans="15:20">
      <c r="O11384" s="247"/>
      <c r="P11384"/>
      <c r="Q11384" s="224"/>
      <c r="S11384" s="202"/>
      <c r="T11384"/>
    </row>
    <row r="11385" spans="15:20">
      <c r="O11385" s="247"/>
      <c r="P11385"/>
      <c r="Q11385" s="224"/>
      <c r="S11385" s="202"/>
      <c r="T11385"/>
    </row>
    <row r="11386" spans="15:20">
      <c r="O11386" s="247"/>
      <c r="P11386"/>
      <c r="Q11386" s="224"/>
      <c r="S11386" s="202"/>
      <c r="T11386"/>
    </row>
    <row r="11387" spans="15:20">
      <c r="O11387" s="247"/>
      <c r="P11387"/>
      <c r="Q11387" s="224"/>
      <c r="S11387" s="202"/>
      <c r="T11387"/>
    </row>
    <row r="11388" spans="15:20">
      <c r="O11388" s="247"/>
      <c r="P11388"/>
      <c r="Q11388" s="224"/>
      <c r="S11388" s="202"/>
      <c r="T11388"/>
    </row>
    <row r="11389" spans="15:20">
      <c r="O11389" s="247"/>
      <c r="P11389"/>
      <c r="Q11389" s="224"/>
      <c r="S11389" s="202"/>
      <c r="T11389"/>
    </row>
    <row r="11390" spans="15:20">
      <c r="O11390" s="247"/>
      <c r="P11390"/>
      <c r="Q11390" s="224"/>
      <c r="S11390" s="202"/>
      <c r="T11390"/>
    </row>
    <row r="11391" spans="15:20">
      <c r="O11391" s="247"/>
      <c r="P11391"/>
      <c r="Q11391" s="224"/>
      <c r="S11391" s="202"/>
      <c r="T11391"/>
    </row>
    <row r="11392" spans="15:20">
      <c r="O11392" s="247"/>
      <c r="P11392"/>
      <c r="Q11392" s="224"/>
      <c r="S11392" s="202"/>
      <c r="T11392"/>
    </row>
    <row r="11393" spans="15:20">
      <c r="O11393" s="247"/>
      <c r="P11393"/>
      <c r="Q11393" s="224"/>
      <c r="S11393" s="202"/>
      <c r="T11393"/>
    </row>
    <row r="11394" spans="15:20">
      <c r="O11394" s="247"/>
      <c r="P11394"/>
      <c r="Q11394" s="224"/>
      <c r="S11394" s="202"/>
      <c r="T11394"/>
    </row>
    <row r="11395" spans="15:20">
      <c r="O11395" s="247"/>
      <c r="P11395"/>
      <c r="Q11395" s="224"/>
      <c r="S11395" s="202"/>
      <c r="T11395"/>
    </row>
    <row r="11396" spans="15:20">
      <c r="O11396" s="247"/>
      <c r="P11396"/>
      <c r="Q11396" s="224"/>
      <c r="S11396" s="202"/>
      <c r="T11396"/>
    </row>
    <row r="11397" spans="15:20">
      <c r="O11397" s="247"/>
      <c r="P11397"/>
      <c r="Q11397" s="224"/>
      <c r="S11397" s="202"/>
      <c r="T11397"/>
    </row>
    <row r="11398" spans="15:20">
      <c r="O11398" s="247"/>
      <c r="P11398"/>
      <c r="Q11398" s="224"/>
      <c r="S11398" s="202"/>
      <c r="T11398"/>
    </row>
    <row r="11399" spans="15:20">
      <c r="O11399" s="247"/>
      <c r="P11399"/>
      <c r="Q11399" s="224"/>
      <c r="S11399" s="202"/>
      <c r="T11399"/>
    </row>
    <row r="11400" spans="15:20">
      <c r="O11400" s="247"/>
      <c r="P11400"/>
      <c r="Q11400" s="224"/>
      <c r="S11400" s="202"/>
      <c r="T11400"/>
    </row>
    <row r="11401" spans="15:20">
      <c r="O11401" s="247"/>
      <c r="P11401"/>
      <c r="Q11401" s="224"/>
      <c r="S11401" s="202"/>
      <c r="T11401"/>
    </row>
    <row r="11402" spans="15:20">
      <c r="O11402" s="247"/>
      <c r="P11402"/>
      <c r="Q11402" s="224"/>
      <c r="S11402" s="202"/>
      <c r="T11402"/>
    </row>
    <row r="11403" spans="15:20">
      <c r="O11403" s="247"/>
      <c r="P11403"/>
      <c r="Q11403" s="224"/>
      <c r="S11403" s="202"/>
      <c r="T11403"/>
    </row>
    <row r="11404" spans="15:20">
      <c r="O11404" s="247"/>
      <c r="P11404"/>
      <c r="Q11404" s="224"/>
      <c r="S11404" s="202"/>
      <c r="T11404"/>
    </row>
    <row r="11405" spans="15:20">
      <c r="O11405" s="247"/>
      <c r="P11405"/>
      <c r="Q11405" s="224"/>
      <c r="S11405" s="202"/>
      <c r="T11405"/>
    </row>
    <row r="11406" spans="15:20">
      <c r="O11406" s="247"/>
      <c r="P11406"/>
      <c r="Q11406" s="224"/>
      <c r="S11406" s="202"/>
      <c r="T11406"/>
    </row>
    <row r="11407" spans="15:20">
      <c r="O11407" s="247"/>
      <c r="P11407"/>
      <c r="Q11407" s="224"/>
      <c r="S11407" s="202"/>
      <c r="T11407"/>
    </row>
    <row r="11408" spans="15:20">
      <c r="O11408" s="247"/>
      <c r="P11408"/>
      <c r="Q11408" s="224"/>
      <c r="S11408" s="202"/>
      <c r="T11408"/>
    </row>
    <row r="11409" spans="15:20">
      <c r="O11409" s="247"/>
      <c r="P11409"/>
      <c r="Q11409" s="224"/>
      <c r="S11409" s="202"/>
      <c r="T11409"/>
    </row>
    <row r="11410" spans="15:20">
      <c r="O11410" s="247"/>
      <c r="P11410"/>
      <c r="Q11410" s="224"/>
      <c r="S11410" s="202"/>
      <c r="T11410"/>
    </row>
    <row r="11411" spans="15:20">
      <c r="O11411" s="247"/>
      <c r="P11411"/>
      <c r="Q11411" s="224"/>
      <c r="S11411" s="202"/>
      <c r="T11411"/>
    </row>
    <row r="11412" spans="15:20">
      <c r="O11412" s="247"/>
      <c r="P11412"/>
      <c r="Q11412" s="224"/>
      <c r="S11412" s="202"/>
      <c r="T11412"/>
    </row>
    <row r="11413" spans="15:20">
      <c r="O11413" s="247"/>
      <c r="P11413"/>
      <c r="Q11413" s="224"/>
      <c r="S11413" s="202"/>
      <c r="T11413"/>
    </row>
    <row r="11414" spans="15:20">
      <c r="O11414" s="247"/>
      <c r="P11414"/>
      <c r="Q11414" s="224"/>
      <c r="S11414" s="202"/>
      <c r="T11414"/>
    </row>
    <row r="11415" spans="15:20">
      <c r="O11415" s="247"/>
      <c r="P11415"/>
      <c r="Q11415" s="224"/>
      <c r="S11415" s="202"/>
      <c r="T11415"/>
    </row>
    <row r="11416" spans="15:20">
      <c r="O11416" s="247"/>
      <c r="P11416"/>
      <c r="Q11416" s="224"/>
      <c r="S11416" s="202"/>
      <c r="T11416"/>
    </row>
    <row r="11417" spans="15:20">
      <c r="O11417" s="247"/>
      <c r="P11417"/>
      <c r="Q11417" s="224"/>
      <c r="S11417" s="202"/>
      <c r="T11417"/>
    </row>
    <row r="11418" spans="15:20">
      <c r="O11418" s="247"/>
      <c r="P11418"/>
      <c r="Q11418" s="224"/>
      <c r="S11418" s="202"/>
      <c r="T11418"/>
    </row>
    <row r="11419" spans="15:20">
      <c r="O11419" s="247"/>
      <c r="P11419"/>
      <c r="Q11419" s="224"/>
      <c r="S11419" s="202"/>
      <c r="T11419"/>
    </row>
    <row r="11420" spans="15:20">
      <c r="O11420" s="247"/>
      <c r="P11420"/>
      <c r="Q11420" s="224"/>
      <c r="S11420" s="202"/>
      <c r="T11420"/>
    </row>
    <row r="11421" spans="15:20">
      <c r="O11421" s="247"/>
      <c r="P11421"/>
      <c r="Q11421" s="224"/>
      <c r="S11421" s="202"/>
      <c r="T11421"/>
    </row>
    <row r="11422" spans="15:20">
      <c r="O11422" s="247"/>
      <c r="P11422"/>
      <c r="Q11422" s="224"/>
      <c r="S11422" s="202"/>
      <c r="T11422"/>
    </row>
    <row r="11423" spans="15:20">
      <c r="O11423" s="247"/>
      <c r="P11423"/>
      <c r="Q11423" s="224"/>
      <c r="S11423" s="202"/>
      <c r="T11423"/>
    </row>
    <row r="11424" spans="15:20">
      <c r="O11424" s="247"/>
      <c r="P11424"/>
      <c r="Q11424" s="224"/>
      <c r="S11424" s="202"/>
      <c r="T11424"/>
    </row>
    <row r="11425" spans="15:20">
      <c r="O11425" s="247"/>
      <c r="P11425"/>
      <c r="Q11425" s="224"/>
      <c r="S11425" s="202"/>
      <c r="T11425"/>
    </row>
    <row r="11426" spans="15:20">
      <c r="O11426" s="247"/>
      <c r="P11426"/>
      <c r="Q11426" s="224"/>
      <c r="S11426" s="202"/>
      <c r="T11426"/>
    </row>
    <row r="11427" spans="15:20">
      <c r="O11427" s="247"/>
      <c r="P11427"/>
      <c r="Q11427" s="224"/>
      <c r="S11427" s="202"/>
      <c r="T11427"/>
    </row>
    <row r="11428" spans="15:20">
      <c r="O11428" s="247"/>
      <c r="P11428"/>
      <c r="Q11428" s="224"/>
      <c r="S11428" s="202"/>
      <c r="T11428"/>
    </row>
    <row r="11429" spans="15:20">
      <c r="O11429" s="247"/>
      <c r="P11429"/>
      <c r="Q11429" s="224"/>
      <c r="S11429" s="202"/>
      <c r="T11429"/>
    </row>
    <row r="11430" spans="15:20">
      <c r="O11430" s="247"/>
      <c r="P11430"/>
      <c r="Q11430" s="224"/>
      <c r="S11430" s="202"/>
      <c r="T11430"/>
    </row>
    <row r="11431" spans="15:20">
      <c r="O11431" s="247"/>
      <c r="P11431"/>
      <c r="Q11431" s="224"/>
      <c r="S11431" s="202"/>
      <c r="T11431"/>
    </row>
    <row r="11432" spans="15:20">
      <c r="O11432" s="247"/>
      <c r="P11432"/>
      <c r="Q11432" s="224"/>
      <c r="S11432" s="202"/>
      <c r="T11432"/>
    </row>
    <row r="11433" spans="15:20">
      <c r="O11433" s="247"/>
      <c r="P11433"/>
      <c r="Q11433" s="224"/>
      <c r="S11433" s="202"/>
      <c r="T11433"/>
    </row>
    <row r="11434" spans="15:20">
      <c r="O11434" s="247"/>
      <c r="P11434"/>
      <c r="Q11434" s="224"/>
      <c r="S11434" s="202"/>
      <c r="T11434"/>
    </row>
    <row r="11435" spans="15:20">
      <c r="O11435" s="247"/>
      <c r="P11435"/>
      <c r="Q11435" s="224"/>
      <c r="S11435" s="202"/>
      <c r="T11435"/>
    </row>
    <row r="11436" spans="15:20">
      <c r="O11436" s="247"/>
      <c r="P11436"/>
      <c r="Q11436" s="224"/>
      <c r="S11436" s="202"/>
      <c r="T11436"/>
    </row>
    <row r="11437" spans="15:20">
      <c r="O11437" s="247"/>
      <c r="P11437"/>
      <c r="Q11437" s="224"/>
      <c r="S11437" s="202"/>
      <c r="T11437"/>
    </row>
    <row r="11438" spans="15:20">
      <c r="O11438" s="247"/>
      <c r="P11438"/>
      <c r="Q11438" s="224"/>
      <c r="S11438" s="202"/>
      <c r="T11438"/>
    </row>
    <row r="11439" spans="15:20">
      <c r="O11439" s="247"/>
      <c r="P11439"/>
      <c r="Q11439" s="224"/>
      <c r="S11439" s="202"/>
      <c r="T11439"/>
    </row>
    <row r="11440" spans="15:20">
      <c r="O11440" s="247"/>
      <c r="P11440"/>
      <c r="Q11440" s="224"/>
      <c r="S11440" s="202"/>
      <c r="T11440"/>
    </row>
    <row r="11441" spans="15:20">
      <c r="O11441" s="247"/>
      <c r="P11441"/>
      <c r="Q11441" s="224"/>
      <c r="S11441" s="202"/>
      <c r="T11441"/>
    </row>
    <row r="11442" spans="15:20">
      <c r="O11442" s="247"/>
      <c r="P11442"/>
      <c r="Q11442" s="224"/>
      <c r="S11442" s="202"/>
      <c r="T11442"/>
    </row>
    <row r="11443" spans="15:20">
      <c r="O11443" s="247"/>
      <c r="P11443"/>
      <c r="Q11443" s="224"/>
      <c r="S11443" s="202"/>
      <c r="T11443"/>
    </row>
    <row r="11444" spans="15:20">
      <c r="O11444" s="247"/>
      <c r="P11444"/>
      <c r="Q11444" s="224"/>
      <c r="S11444" s="202"/>
      <c r="T11444"/>
    </row>
    <row r="11445" spans="15:20">
      <c r="O11445" s="247"/>
      <c r="P11445"/>
      <c r="Q11445" s="224"/>
      <c r="S11445" s="202"/>
      <c r="T11445"/>
    </row>
    <row r="11446" spans="15:20">
      <c r="O11446" s="247"/>
      <c r="P11446"/>
      <c r="Q11446" s="224"/>
      <c r="S11446" s="202"/>
      <c r="T11446"/>
    </row>
    <row r="11447" spans="15:20">
      <c r="O11447" s="247"/>
      <c r="P11447"/>
      <c r="Q11447" s="224"/>
      <c r="S11447" s="202"/>
      <c r="T11447"/>
    </row>
    <row r="11448" spans="15:20">
      <c r="O11448" s="247"/>
      <c r="P11448"/>
      <c r="Q11448" s="224"/>
      <c r="S11448" s="202"/>
      <c r="T11448"/>
    </row>
    <row r="11449" spans="15:20">
      <c r="O11449" s="247"/>
      <c r="P11449"/>
      <c r="Q11449" s="224"/>
      <c r="S11449" s="202"/>
      <c r="T11449"/>
    </row>
    <row r="11450" spans="15:20">
      <c r="O11450" s="247"/>
      <c r="P11450"/>
      <c r="Q11450" s="224"/>
      <c r="S11450" s="202"/>
      <c r="T11450"/>
    </row>
    <row r="11451" spans="15:20">
      <c r="O11451" s="247"/>
      <c r="P11451"/>
      <c r="Q11451" s="224"/>
      <c r="S11451" s="202"/>
      <c r="T11451"/>
    </row>
    <row r="11452" spans="15:20">
      <c r="O11452" s="247"/>
      <c r="P11452"/>
      <c r="Q11452" s="224"/>
      <c r="S11452" s="202"/>
      <c r="T11452"/>
    </row>
    <row r="11453" spans="15:20">
      <c r="O11453" s="247"/>
      <c r="P11453"/>
      <c r="Q11453" s="224"/>
      <c r="S11453" s="202"/>
      <c r="T11453"/>
    </row>
    <row r="11454" spans="15:20">
      <c r="O11454" s="247"/>
      <c r="P11454"/>
      <c r="Q11454" s="224"/>
      <c r="S11454" s="202"/>
      <c r="T11454"/>
    </row>
    <row r="11455" spans="15:20">
      <c r="O11455" s="247"/>
      <c r="P11455"/>
      <c r="Q11455" s="224"/>
      <c r="S11455" s="202"/>
      <c r="T11455"/>
    </row>
    <row r="11456" spans="15:20">
      <c r="O11456" s="247"/>
      <c r="P11456"/>
      <c r="Q11456" s="224"/>
      <c r="S11456" s="202"/>
      <c r="T11456"/>
    </row>
    <row r="11457" spans="15:20">
      <c r="O11457" s="247"/>
      <c r="P11457"/>
      <c r="Q11457" s="224"/>
      <c r="S11457" s="202"/>
      <c r="T11457"/>
    </row>
    <row r="11458" spans="15:20">
      <c r="O11458" s="247"/>
      <c r="P11458"/>
      <c r="Q11458" s="224"/>
      <c r="S11458" s="202"/>
      <c r="T11458"/>
    </row>
    <row r="11459" spans="15:20">
      <c r="O11459" s="247"/>
      <c r="P11459"/>
      <c r="Q11459" s="224"/>
      <c r="S11459" s="202"/>
      <c r="T11459"/>
    </row>
    <row r="11460" spans="15:20">
      <c r="O11460" s="247"/>
      <c r="P11460"/>
      <c r="Q11460" s="224"/>
      <c r="S11460" s="202"/>
      <c r="T11460"/>
    </row>
    <row r="11461" spans="15:20">
      <c r="O11461" s="247"/>
      <c r="P11461"/>
      <c r="Q11461" s="224"/>
      <c r="S11461" s="202"/>
      <c r="T11461"/>
    </row>
    <row r="11462" spans="15:20">
      <c r="O11462" s="247"/>
      <c r="P11462"/>
      <c r="Q11462" s="224"/>
      <c r="S11462" s="202"/>
      <c r="T11462"/>
    </row>
    <row r="11463" spans="15:20">
      <c r="O11463" s="247"/>
      <c r="P11463"/>
      <c r="Q11463" s="224"/>
      <c r="S11463" s="202"/>
      <c r="T11463"/>
    </row>
    <row r="11464" spans="15:20">
      <c r="O11464" s="247"/>
      <c r="P11464"/>
      <c r="Q11464" s="224"/>
      <c r="S11464" s="202"/>
      <c r="T11464"/>
    </row>
    <row r="11465" spans="15:20">
      <c r="O11465" s="247"/>
      <c r="P11465"/>
      <c r="Q11465" s="224"/>
      <c r="S11465" s="202"/>
      <c r="T11465"/>
    </row>
    <row r="11466" spans="15:20">
      <c r="O11466" s="247"/>
      <c r="P11466"/>
      <c r="Q11466" s="224"/>
      <c r="S11466" s="202"/>
      <c r="T11466"/>
    </row>
    <row r="11467" spans="15:20">
      <c r="O11467" s="247"/>
      <c r="P11467"/>
      <c r="Q11467" s="224"/>
      <c r="S11467" s="202"/>
      <c r="T11467"/>
    </row>
    <row r="11468" spans="15:20">
      <c r="O11468" s="247"/>
      <c r="P11468"/>
      <c r="Q11468" s="224"/>
      <c r="S11468" s="202"/>
      <c r="T11468"/>
    </row>
    <row r="11469" spans="15:20">
      <c r="O11469" s="247"/>
      <c r="P11469"/>
      <c r="Q11469" s="224"/>
      <c r="S11469" s="202"/>
      <c r="T11469"/>
    </row>
    <row r="11470" spans="15:20">
      <c r="O11470" s="247"/>
      <c r="P11470"/>
      <c r="Q11470" s="224"/>
      <c r="S11470" s="202"/>
      <c r="T11470"/>
    </row>
    <row r="11471" spans="15:20">
      <c r="O11471" s="247"/>
      <c r="P11471"/>
      <c r="Q11471" s="224"/>
      <c r="S11471" s="202"/>
      <c r="T11471"/>
    </row>
    <row r="11472" spans="15:20">
      <c r="O11472" s="247"/>
      <c r="P11472"/>
      <c r="Q11472" s="224"/>
      <c r="S11472" s="202"/>
      <c r="T11472"/>
    </row>
    <row r="11473" spans="15:20">
      <c r="O11473" s="247"/>
      <c r="P11473"/>
      <c r="Q11473" s="224"/>
      <c r="S11473" s="202"/>
      <c r="T11473"/>
    </row>
    <row r="11474" spans="15:20">
      <c r="O11474" s="247"/>
      <c r="P11474"/>
      <c r="Q11474" s="224"/>
      <c r="S11474" s="202"/>
      <c r="T11474"/>
    </row>
    <row r="11475" spans="15:20">
      <c r="O11475" s="247"/>
      <c r="P11475"/>
      <c r="Q11475" s="224"/>
      <c r="S11475" s="202"/>
      <c r="T11475"/>
    </row>
    <row r="11476" spans="15:20">
      <c r="O11476" s="247"/>
      <c r="P11476"/>
      <c r="Q11476" s="224"/>
      <c r="S11476" s="202"/>
      <c r="T11476"/>
    </row>
    <row r="11477" spans="15:20">
      <c r="O11477" s="247"/>
      <c r="P11477"/>
      <c r="Q11477" s="224"/>
      <c r="S11477" s="202"/>
      <c r="T11477"/>
    </row>
    <row r="11478" spans="15:20">
      <c r="O11478" s="247"/>
      <c r="P11478"/>
      <c r="Q11478" s="224"/>
      <c r="S11478" s="202"/>
      <c r="T11478"/>
    </row>
    <row r="11479" spans="15:20">
      <c r="O11479" s="247"/>
      <c r="P11479"/>
      <c r="Q11479" s="224"/>
      <c r="S11479" s="202"/>
      <c r="T11479"/>
    </row>
    <row r="11480" spans="15:20">
      <c r="O11480" s="247"/>
      <c r="P11480"/>
      <c r="Q11480" s="224"/>
      <c r="S11480" s="202"/>
      <c r="T11480"/>
    </row>
    <row r="11481" spans="15:20">
      <c r="O11481" s="247"/>
      <c r="P11481"/>
      <c r="Q11481" s="224"/>
      <c r="S11481" s="202"/>
      <c r="T11481"/>
    </row>
    <row r="11482" spans="15:20">
      <c r="O11482" s="247"/>
      <c r="P11482"/>
      <c r="Q11482" s="224"/>
      <c r="S11482" s="202"/>
      <c r="T11482"/>
    </row>
    <row r="11483" spans="15:20">
      <c r="O11483" s="247"/>
      <c r="P11483"/>
      <c r="Q11483" s="224"/>
      <c r="S11483" s="202"/>
      <c r="T11483"/>
    </row>
    <row r="11484" spans="15:20">
      <c r="O11484" s="247"/>
      <c r="P11484"/>
      <c r="Q11484" s="224"/>
      <c r="S11484" s="202"/>
      <c r="T11484"/>
    </row>
    <row r="11485" spans="15:20">
      <c r="O11485" s="247"/>
      <c r="P11485"/>
      <c r="Q11485" s="224"/>
      <c r="S11485" s="202"/>
      <c r="T11485"/>
    </row>
    <row r="11486" spans="15:20">
      <c r="O11486" s="247"/>
      <c r="P11486"/>
      <c r="Q11486" s="224"/>
      <c r="S11486" s="202"/>
      <c r="T11486"/>
    </row>
    <row r="11487" spans="15:20">
      <c r="O11487" s="247"/>
      <c r="P11487"/>
      <c r="Q11487" s="224"/>
      <c r="S11487" s="202"/>
      <c r="T11487"/>
    </row>
    <row r="11488" spans="15:20">
      <c r="O11488" s="247"/>
      <c r="P11488"/>
      <c r="Q11488" s="224"/>
      <c r="S11488" s="202"/>
      <c r="T11488"/>
    </row>
    <row r="11489" spans="15:20">
      <c r="O11489" s="247"/>
      <c r="P11489"/>
      <c r="Q11489" s="224"/>
      <c r="S11489" s="202"/>
      <c r="T11489"/>
    </row>
    <row r="11490" spans="15:20">
      <c r="O11490" s="247"/>
      <c r="P11490"/>
      <c r="Q11490" s="224"/>
      <c r="S11490" s="202"/>
      <c r="T11490"/>
    </row>
    <row r="11491" spans="15:20">
      <c r="O11491" s="247"/>
      <c r="P11491"/>
      <c r="Q11491" s="224"/>
      <c r="S11491" s="202"/>
      <c r="T11491"/>
    </row>
    <row r="11492" spans="15:20">
      <c r="O11492" s="247"/>
      <c r="P11492"/>
      <c r="Q11492" s="224"/>
      <c r="S11492" s="202"/>
      <c r="T11492"/>
    </row>
    <row r="11493" spans="15:20">
      <c r="O11493" s="247"/>
      <c r="P11493"/>
      <c r="Q11493" s="224"/>
      <c r="S11493" s="202"/>
      <c r="T11493"/>
    </row>
    <row r="11494" spans="15:20">
      <c r="O11494" s="247"/>
      <c r="P11494"/>
      <c r="Q11494" s="224"/>
      <c r="S11494" s="202"/>
      <c r="T11494"/>
    </row>
    <row r="11495" spans="15:20">
      <c r="O11495" s="247"/>
      <c r="P11495"/>
      <c r="Q11495" s="224"/>
      <c r="S11495" s="202"/>
      <c r="T11495"/>
    </row>
    <row r="11496" spans="15:20">
      <c r="O11496" s="247"/>
      <c r="P11496"/>
      <c r="Q11496" s="224"/>
      <c r="S11496" s="202"/>
      <c r="T11496"/>
    </row>
    <row r="11497" spans="15:20">
      <c r="O11497" s="247"/>
      <c r="P11497"/>
      <c r="Q11497" s="224"/>
      <c r="S11497" s="202"/>
      <c r="T11497"/>
    </row>
    <row r="11498" spans="15:20">
      <c r="O11498" s="247"/>
      <c r="P11498"/>
      <c r="Q11498" s="224"/>
      <c r="S11498" s="202"/>
      <c r="T11498"/>
    </row>
    <row r="11499" spans="15:20">
      <c r="O11499" s="247"/>
      <c r="P11499"/>
      <c r="Q11499" s="224"/>
      <c r="S11499" s="202"/>
      <c r="T11499"/>
    </row>
    <row r="11500" spans="15:20">
      <c r="O11500" s="247"/>
      <c r="P11500"/>
      <c r="Q11500" s="224"/>
      <c r="S11500" s="202"/>
      <c r="T11500"/>
    </row>
    <row r="11501" spans="15:20">
      <c r="O11501" s="247"/>
      <c r="P11501"/>
      <c r="Q11501" s="224"/>
      <c r="S11501" s="202"/>
      <c r="T11501"/>
    </row>
    <row r="11502" spans="15:20">
      <c r="O11502" s="247"/>
      <c r="P11502"/>
      <c r="Q11502" s="224"/>
      <c r="S11502" s="202"/>
      <c r="T11502"/>
    </row>
    <row r="11503" spans="15:20">
      <c r="O11503" s="247"/>
      <c r="P11503"/>
      <c r="Q11503" s="224"/>
      <c r="S11503" s="202"/>
      <c r="T11503"/>
    </row>
    <row r="11504" spans="15:20">
      <c r="O11504" s="247"/>
      <c r="P11504"/>
      <c r="Q11504" s="224"/>
      <c r="S11504" s="202"/>
      <c r="T11504"/>
    </row>
    <row r="11505" spans="15:20">
      <c r="O11505" s="247"/>
      <c r="P11505"/>
      <c r="Q11505" s="224"/>
      <c r="S11505" s="202"/>
      <c r="T11505"/>
    </row>
    <row r="11506" spans="15:20">
      <c r="O11506" s="247"/>
      <c r="P11506"/>
      <c r="Q11506" s="224"/>
      <c r="S11506" s="202"/>
      <c r="T11506"/>
    </row>
    <row r="11507" spans="15:20">
      <c r="O11507" s="247"/>
      <c r="P11507"/>
      <c r="Q11507" s="224"/>
      <c r="S11507" s="202"/>
      <c r="T11507"/>
    </row>
    <row r="11508" spans="15:20">
      <c r="O11508" s="247"/>
      <c r="P11508"/>
      <c r="Q11508" s="224"/>
      <c r="S11508" s="202"/>
      <c r="T11508"/>
    </row>
    <row r="11509" spans="15:20">
      <c r="O11509" s="247"/>
      <c r="P11509"/>
      <c r="Q11509" s="224"/>
      <c r="S11509" s="202"/>
      <c r="T11509"/>
    </row>
    <row r="11510" spans="15:20">
      <c r="O11510" s="247"/>
      <c r="P11510"/>
      <c r="Q11510" s="224"/>
      <c r="S11510" s="202"/>
      <c r="T11510"/>
    </row>
    <row r="11511" spans="15:20">
      <c r="O11511" s="247"/>
      <c r="P11511"/>
      <c r="Q11511" s="224"/>
      <c r="S11511" s="202"/>
      <c r="T11511"/>
    </row>
    <row r="11512" spans="15:20">
      <c r="O11512" s="247"/>
      <c r="P11512"/>
      <c r="Q11512" s="224"/>
      <c r="S11512" s="202"/>
      <c r="T11512"/>
    </row>
    <row r="11513" spans="15:20">
      <c r="O11513" s="247"/>
      <c r="P11513"/>
      <c r="Q11513" s="224"/>
      <c r="S11513" s="202"/>
      <c r="T11513"/>
    </row>
    <row r="11514" spans="15:20">
      <c r="O11514" s="247"/>
      <c r="P11514"/>
      <c r="Q11514" s="224"/>
      <c r="S11514" s="202"/>
      <c r="T11514"/>
    </row>
    <row r="11515" spans="15:20">
      <c r="O11515" s="247"/>
      <c r="P11515"/>
      <c r="Q11515" s="224"/>
      <c r="S11515" s="202"/>
      <c r="T11515"/>
    </row>
    <row r="11516" spans="15:20">
      <c r="O11516" s="247"/>
      <c r="P11516"/>
      <c r="Q11516" s="224"/>
      <c r="S11516" s="202"/>
      <c r="T11516"/>
    </row>
    <row r="11517" spans="15:20">
      <c r="O11517" s="247"/>
      <c r="P11517"/>
      <c r="Q11517" s="224"/>
      <c r="S11517" s="202"/>
      <c r="T11517"/>
    </row>
    <row r="11518" spans="15:20">
      <c r="O11518" s="247"/>
      <c r="P11518"/>
      <c r="Q11518" s="224"/>
      <c r="S11518" s="202"/>
      <c r="T11518"/>
    </row>
    <row r="11519" spans="15:20">
      <c r="O11519" s="247"/>
      <c r="P11519"/>
      <c r="Q11519" s="224"/>
      <c r="S11519" s="202"/>
      <c r="T11519"/>
    </row>
    <row r="11520" spans="15:20">
      <c r="O11520" s="247"/>
      <c r="P11520"/>
      <c r="Q11520" s="224"/>
      <c r="S11520" s="202"/>
      <c r="T11520"/>
    </row>
    <row r="11521" spans="15:20">
      <c r="O11521" s="247"/>
      <c r="P11521"/>
      <c r="Q11521" s="224"/>
      <c r="S11521" s="202"/>
      <c r="T11521"/>
    </row>
    <row r="11522" spans="15:20">
      <c r="O11522" s="247"/>
      <c r="P11522"/>
      <c r="Q11522" s="224"/>
      <c r="S11522" s="202"/>
      <c r="T11522"/>
    </row>
    <row r="11523" spans="15:20">
      <c r="O11523" s="247"/>
      <c r="P11523"/>
      <c r="Q11523" s="224"/>
      <c r="S11523" s="202"/>
      <c r="T11523"/>
    </row>
    <row r="11524" spans="15:20">
      <c r="O11524" s="247"/>
      <c r="P11524"/>
      <c r="Q11524" s="224"/>
      <c r="S11524" s="202"/>
      <c r="T11524"/>
    </row>
    <row r="11525" spans="15:20">
      <c r="O11525" s="247"/>
      <c r="P11525"/>
      <c r="Q11525" s="224"/>
      <c r="S11525" s="202"/>
      <c r="T11525"/>
    </row>
    <row r="11526" spans="15:20">
      <c r="O11526" s="247"/>
      <c r="P11526"/>
      <c r="Q11526" s="224"/>
      <c r="S11526" s="202"/>
      <c r="T11526"/>
    </row>
    <row r="11527" spans="15:20">
      <c r="O11527" s="247"/>
      <c r="P11527"/>
      <c r="Q11527" s="224"/>
      <c r="S11527" s="202"/>
      <c r="T11527"/>
    </row>
    <row r="11528" spans="15:20">
      <c r="O11528" s="247"/>
      <c r="P11528"/>
      <c r="Q11528" s="224"/>
      <c r="S11528" s="202"/>
      <c r="T11528"/>
    </row>
    <row r="11529" spans="15:20">
      <c r="O11529" s="247"/>
      <c r="P11529"/>
      <c r="Q11529" s="224"/>
      <c r="S11529" s="202"/>
      <c r="T11529"/>
    </row>
    <row r="11530" spans="15:20">
      <c r="O11530" s="247"/>
      <c r="P11530"/>
      <c r="Q11530" s="224"/>
      <c r="S11530" s="202"/>
      <c r="T11530"/>
    </row>
    <row r="11531" spans="15:20">
      <c r="O11531" s="247"/>
      <c r="P11531"/>
      <c r="Q11531" s="224"/>
      <c r="S11531" s="202"/>
      <c r="T11531"/>
    </row>
    <row r="11532" spans="15:20">
      <c r="O11532" s="247"/>
      <c r="P11532"/>
      <c r="Q11532" s="224"/>
      <c r="S11532" s="202"/>
      <c r="T11532"/>
    </row>
    <row r="11533" spans="15:20">
      <c r="O11533" s="247"/>
      <c r="P11533"/>
      <c r="Q11533" s="224"/>
      <c r="S11533" s="202"/>
      <c r="T11533"/>
    </row>
    <row r="11534" spans="15:20">
      <c r="O11534" s="247"/>
      <c r="P11534"/>
      <c r="Q11534" s="224"/>
      <c r="S11534" s="202"/>
      <c r="T11534"/>
    </row>
    <row r="11535" spans="15:20">
      <c r="O11535" s="247"/>
      <c r="P11535"/>
      <c r="Q11535" s="224"/>
      <c r="S11535" s="202"/>
      <c r="T11535"/>
    </row>
    <row r="11536" spans="15:20">
      <c r="O11536" s="247"/>
      <c r="P11536"/>
      <c r="Q11536" s="224"/>
      <c r="S11536" s="202"/>
      <c r="T11536"/>
    </row>
    <row r="11537" spans="15:20">
      <c r="O11537" s="247"/>
      <c r="P11537"/>
      <c r="Q11537" s="224"/>
      <c r="S11537" s="202"/>
      <c r="T11537"/>
    </row>
    <row r="11538" spans="15:20">
      <c r="O11538" s="247"/>
      <c r="P11538"/>
      <c r="Q11538" s="224"/>
      <c r="S11538" s="202"/>
      <c r="T11538"/>
    </row>
    <row r="11539" spans="15:20">
      <c r="O11539" s="247"/>
      <c r="P11539"/>
      <c r="Q11539" s="224"/>
      <c r="S11539" s="202"/>
      <c r="T11539"/>
    </row>
    <row r="11540" spans="15:20">
      <c r="O11540" s="247"/>
      <c r="P11540"/>
      <c r="Q11540" s="224"/>
      <c r="S11540" s="202"/>
      <c r="T11540"/>
    </row>
    <row r="11541" spans="15:20">
      <c r="O11541" s="247"/>
      <c r="P11541"/>
      <c r="Q11541" s="224"/>
      <c r="S11541" s="202"/>
      <c r="T11541"/>
    </row>
    <row r="11542" spans="15:20">
      <c r="O11542" s="247"/>
      <c r="P11542"/>
      <c r="Q11542" s="224"/>
      <c r="S11542" s="202"/>
      <c r="T11542"/>
    </row>
    <row r="11543" spans="15:20">
      <c r="O11543" s="247"/>
      <c r="P11543"/>
      <c r="Q11543" s="224"/>
      <c r="S11543" s="202"/>
      <c r="T11543"/>
    </row>
    <row r="11544" spans="15:20">
      <c r="O11544" s="247"/>
      <c r="P11544"/>
      <c r="Q11544" s="224"/>
      <c r="S11544" s="202"/>
      <c r="T11544"/>
    </row>
    <row r="11545" spans="15:20">
      <c r="O11545" s="247"/>
      <c r="P11545"/>
      <c r="Q11545" s="224"/>
      <c r="S11545" s="202"/>
      <c r="T11545"/>
    </row>
    <row r="11546" spans="15:20">
      <c r="O11546" s="247"/>
      <c r="P11546"/>
      <c r="Q11546" s="224"/>
      <c r="S11546" s="202"/>
      <c r="T11546"/>
    </row>
    <row r="11547" spans="15:20">
      <c r="O11547" s="247"/>
      <c r="P11547"/>
      <c r="Q11547" s="224"/>
      <c r="S11547" s="202"/>
      <c r="T11547"/>
    </row>
    <row r="11548" spans="15:20">
      <c r="O11548" s="247"/>
      <c r="P11548"/>
      <c r="Q11548" s="224"/>
      <c r="S11548" s="202"/>
      <c r="T11548"/>
    </row>
    <row r="11549" spans="15:20">
      <c r="O11549" s="247"/>
      <c r="P11549"/>
      <c r="Q11549" s="224"/>
      <c r="S11549" s="202"/>
      <c r="T11549"/>
    </row>
    <row r="11550" spans="15:20">
      <c r="O11550" s="247"/>
      <c r="P11550"/>
      <c r="Q11550" s="224"/>
      <c r="S11550" s="202"/>
      <c r="T11550"/>
    </row>
    <row r="11551" spans="15:20">
      <c r="O11551" s="247"/>
      <c r="P11551"/>
      <c r="Q11551" s="224"/>
      <c r="S11551" s="202"/>
      <c r="T11551"/>
    </row>
    <row r="11552" spans="15:20">
      <c r="O11552" s="247"/>
      <c r="P11552"/>
      <c r="Q11552" s="224"/>
      <c r="S11552" s="202"/>
      <c r="T11552"/>
    </row>
    <row r="11553" spans="15:20">
      <c r="O11553" s="247"/>
      <c r="P11553"/>
      <c r="Q11553" s="224"/>
      <c r="S11553" s="202"/>
      <c r="T11553"/>
    </row>
    <row r="11554" spans="15:20">
      <c r="O11554" s="247"/>
      <c r="P11554"/>
      <c r="Q11554" s="224"/>
      <c r="S11554" s="202"/>
      <c r="T11554"/>
    </row>
    <row r="11555" spans="15:20">
      <c r="O11555" s="247"/>
      <c r="P11555"/>
      <c r="Q11555" s="224"/>
      <c r="S11555" s="202"/>
      <c r="T11555"/>
    </row>
    <row r="11556" spans="15:20">
      <c r="O11556" s="247"/>
      <c r="P11556"/>
      <c r="Q11556" s="224"/>
      <c r="S11556" s="202"/>
      <c r="T11556"/>
    </row>
    <row r="11557" spans="15:20">
      <c r="O11557" s="247"/>
      <c r="P11557"/>
      <c r="Q11557" s="224"/>
      <c r="S11557" s="202"/>
      <c r="T11557"/>
    </row>
    <row r="11558" spans="15:20">
      <c r="O11558" s="247"/>
      <c r="P11558"/>
      <c r="Q11558" s="224"/>
      <c r="S11558" s="202"/>
      <c r="T11558"/>
    </row>
    <row r="11559" spans="15:20">
      <c r="O11559" s="247"/>
      <c r="P11559"/>
      <c r="Q11559" s="224"/>
      <c r="S11559" s="202"/>
      <c r="T11559"/>
    </row>
    <row r="11560" spans="15:20">
      <c r="O11560" s="247"/>
      <c r="P11560"/>
      <c r="Q11560" s="224"/>
      <c r="S11560" s="202"/>
      <c r="T11560"/>
    </row>
    <row r="11561" spans="15:20">
      <c r="O11561" s="247"/>
      <c r="P11561"/>
      <c r="Q11561" s="224"/>
      <c r="S11561" s="202"/>
      <c r="T11561"/>
    </row>
    <row r="11562" spans="15:20">
      <c r="O11562" s="247"/>
      <c r="P11562"/>
      <c r="Q11562" s="224"/>
      <c r="S11562" s="202"/>
      <c r="T11562"/>
    </row>
    <row r="11563" spans="15:20">
      <c r="O11563" s="247"/>
      <c r="P11563"/>
      <c r="Q11563" s="224"/>
      <c r="S11563" s="202"/>
      <c r="T11563"/>
    </row>
    <row r="11564" spans="15:20">
      <c r="O11564" s="247"/>
      <c r="P11564"/>
      <c r="Q11564" s="224"/>
      <c r="S11564" s="202"/>
      <c r="T11564"/>
    </row>
    <row r="11565" spans="15:20">
      <c r="O11565" s="247"/>
      <c r="P11565"/>
      <c r="Q11565" s="224"/>
      <c r="S11565" s="202"/>
      <c r="T11565"/>
    </row>
    <row r="11566" spans="15:20">
      <c r="O11566" s="247"/>
      <c r="P11566"/>
      <c r="Q11566" s="224"/>
      <c r="S11566" s="202"/>
      <c r="T11566"/>
    </row>
    <row r="11567" spans="15:20">
      <c r="O11567" s="247"/>
      <c r="P11567"/>
      <c r="Q11567" s="224"/>
      <c r="S11567" s="202"/>
      <c r="T11567"/>
    </row>
    <row r="11568" spans="15:20">
      <c r="O11568" s="247"/>
      <c r="P11568"/>
      <c r="Q11568" s="224"/>
      <c r="S11568" s="202"/>
      <c r="T11568"/>
    </row>
    <row r="11569" spans="15:20">
      <c r="O11569" s="247"/>
      <c r="P11569"/>
      <c r="Q11569" s="224"/>
      <c r="S11569" s="202"/>
      <c r="T11569"/>
    </row>
    <row r="11570" spans="15:20">
      <c r="O11570" s="247"/>
      <c r="P11570"/>
      <c r="Q11570" s="224"/>
      <c r="S11570" s="202"/>
      <c r="T11570"/>
    </row>
    <row r="11571" spans="15:20">
      <c r="O11571" s="247"/>
      <c r="P11571"/>
      <c r="Q11571" s="224"/>
      <c r="S11571" s="202"/>
      <c r="T11571"/>
    </row>
    <row r="11572" spans="15:20">
      <c r="O11572" s="247"/>
      <c r="P11572"/>
      <c r="Q11572" s="224"/>
      <c r="S11572" s="202"/>
      <c r="T11572"/>
    </row>
    <row r="11573" spans="15:20">
      <c r="O11573" s="247"/>
      <c r="P11573"/>
      <c r="Q11573" s="224"/>
      <c r="S11573" s="202"/>
      <c r="T11573"/>
    </row>
    <row r="11574" spans="15:20">
      <c r="O11574" s="247"/>
      <c r="P11574"/>
      <c r="Q11574" s="224"/>
      <c r="S11574" s="202"/>
      <c r="T11574"/>
    </row>
    <row r="11575" spans="15:20">
      <c r="O11575" s="247"/>
      <c r="P11575"/>
      <c r="Q11575" s="224"/>
      <c r="S11575" s="202"/>
      <c r="T11575"/>
    </row>
    <row r="11576" spans="15:20">
      <c r="O11576" s="247"/>
      <c r="P11576"/>
      <c r="Q11576" s="224"/>
      <c r="S11576" s="202"/>
      <c r="T11576"/>
    </row>
    <row r="11577" spans="15:20">
      <c r="O11577" s="247"/>
      <c r="P11577"/>
      <c r="Q11577" s="224"/>
      <c r="S11577" s="202"/>
      <c r="T11577"/>
    </row>
    <row r="11578" spans="15:20">
      <c r="O11578" s="247"/>
      <c r="P11578"/>
      <c r="Q11578" s="224"/>
      <c r="S11578" s="202"/>
      <c r="T11578"/>
    </row>
    <row r="11579" spans="15:20">
      <c r="O11579" s="247"/>
      <c r="P11579"/>
      <c r="Q11579" s="224"/>
      <c r="S11579" s="202"/>
      <c r="T11579"/>
    </row>
    <row r="11580" spans="15:20">
      <c r="O11580" s="247"/>
      <c r="P11580"/>
      <c r="Q11580" s="224"/>
      <c r="S11580" s="202"/>
      <c r="T11580"/>
    </row>
    <row r="11581" spans="15:20">
      <c r="O11581" s="247"/>
      <c r="P11581"/>
      <c r="Q11581" s="224"/>
      <c r="S11581" s="202"/>
      <c r="T11581"/>
    </row>
    <row r="11582" spans="15:20">
      <c r="O11582" s="247"/>
      <c r="P11582"/>
      <c r="Q11582" s="224"/>
      <c r="S11582" s="202"/>
      <c r="T11582"/>
    </row>
    <row r="11583" spans="15:20">
      <c r="O11583" s="247"/>
      <c r="P11583"/>
      <c r="Q11583" s="224"/>
      <c r="S11583" s="202"/>
      <c r="T11583"/>
    </row>
    <row r="11584" spans="15:20">
      <c r="O11584" s="247"/>
      <c r="P11584"/>
      <c r="Q11584" s="224"/>
      <c r="S11584" s="202"/>
      <c r="T11584"/>
    </row>
    <row r="11585" spans="15:20">
      <c r="O11585" s="247"/>
      <c r="P11585"/>
      <c r="Q11585" s="224"/>
      <c r="S11585" s="202"/>
      <c r="T11585"/>
    </row>
    <row r="11586" spans="15:20">
      <c r="O11586" s="247"/>
      <c r="P11586"/>
      <c r="Q11586" s="224"/>
      <c r="S11586" s="202"/>
      <c r="T11586"/>
    </row>
    <row r="11587" spans="15:20">
      <c r="O11587" s="247"/>
      <c r="P11587"/>
      <c r="Q11587" s="224"/>
      <c r="S11587" s="202"/>
      <c r="T11587"/>
    </row>
    <row r="11588" spans="15:20">
      <c r="O11588" s="247"/>
      <c r="P11588"/>
      <c r="Q11588" s="224"/>
      <c r="S11588" s="202"/>
      <c r="T11588"/>
    </row>
    <row r="11589" spans="15:20">
      <c r="O11589" s="247"/>
      <c r="P11589"/>
      <c r="Q11589" s="224"/>
      <c r="S11589" s="202"/>
      <c r="T11589"/>
    </row>
    <row r="11590" spans="15:20">
      <c r="O11590" s="247"/>
      <c r="P11590"/>
      <c r="Q11590" s="224"/>
      <c r="S11590" s="202"/>
      <c r="T11590"/>
    </row>
    <row r="11591" spans="15:20">
      <c r="O11591" s="247"/>
      <c r="P11591"/>
      <c r="Q11591" s="224"/>
      <c r="S11591" s="202"/>
      <c r="T11591"/>
    </row>
    <row r="11592" spans="15:20">
      <c r="O11592" s="247"/>
      <c r="P11592"/>
      <c r="Q11592" s="224"/>
      <c r="S11592" s="202"/>
      <c r="T11592"/>
    </row>
    <row r="11593" spans="15:20">
      <c r="O11593" s="247"/>
      <c r="P11593"/>
      <c r="Q11593" s="224"/>
      <c r="S11593" s="202"/>
      <c r="T11593"/>
    </row>
    <row r="11594" spans="15:20">
      <c r="O11594" s="247"/>
      <c r="P11594"/>
      <c r="Q11594" s="224"/>
      <c r="S11594" s="202"/>
      <c r="T11594"/>
    </row>
    <row r="11595" spans="15:20">
      <c r="O11595" s="247"/>
      <c r="P11595"/>
      <c r="Q11595" s="224"/>
      <c r="S11595" s="202"/>
      <c r="T11595"/>
    </row>
    <row r="11596" spans="15:20">
      <c r="O11596" s="247"/>
      <c r="P11596"/>
      <c r="Q11596" s="224"/>
      <c r="S11596" s="202"/>
      <c r="T11596"/>
    </row>
    <row r="11597" spans="15:20">
      <c r="O11597" s="247"/>
      <c r="P11597"/>
      <c r="Q11597" s="224"/>
      <c r="S11597" s="202"/>
      <c r="T11597"/>
    </row>
    <row r="11598" spans="15:20">
      <c r="O11598" s="247"/>
      <c r="P11598"/>
      <c r="Q11598" s="224"/>
      <c r="S11598" s="202"/>
      <c r="T11598"/>
    </row>
    <row r="11599" spans="15:20">
      <c r="O11599" s="247"/>
      <c r="P11599"/>
      <c r="Q11599" s="224"/>
      <c r="S11599" s="202"/>
      <c r="T11599"/>
    </row>
    <row r="11600" spans="15:20">
      <c r="O11600" s="247"/>
      <c r="P11600"/>
      <c r="Q11600" s="224"/>
      <c r="S11600" s="202"/>
      <c r="T11600"/>
    </row>
    <row r="11601" spans="15:20">
      <c r="O11601" s="247"/>
      <c r="P11601"/>
      <c r="Q11601" s="224"/>
      <c r="S11601" s="202"/>
      <c r="T11601"/>
    </row>
    <row r="11602" spans="15:20">
      <c r="O11602" s="247"/>
      <c r="P11602"/>
      <c r="Q11602" s="224"/>
      <c r="S11602" s="202"/>
      <c r="T11602"/>
    </row>
    <row r="11603" spans="15:20">
      <c r="O11603" s="247"/>
      <c r="P11603"/>
      <c r="Q11603" s="224"/>
      <c r="S11603" s="202"/>
      <c r="T11603"/>
    </row>
    <row r="11604" spans="15:20">
      <c r="O11604" s="247"/>
      <c r="P11604"/>
      <c r="Q11604" s="224"/>
      <c r="S11604" s="202"/>
      <c r="T11604"/>
    </row>
    <row r="11605" spans="15:20">
      <c r="O11605" s="247"/>
      <c r="P11605"/>
      <c r="Q11605" s="224"/>
      <c r="S11605" s="202"/>
      <c r="T11605"/>
    </row>
    <row r="11606" spans="15:20">
      <c r="O11606" s="247"/>
      <c r="P11606"/>
      <c r="Q11606" s="224"/>
      <c r="S11606" s="202"/>
      <c r="T11606"/>
    </row>
    <row r="11607" spans="15:20">
      <c r="O11607" s="247"/>
      <c r="P11607"/>
      <c r="Q11607" s="224"/>
      <c r="S11607" s="202"/>
      <c r="T11607"/>
    </row>
    <row r="11608" spans="15:20">
      <c r="O11608" s="247"/>
      <c r="P11608"/>
      <c r="Q11608" s="224"/>
      <c r="S11608" s="202"/>
      <c r="T11608"/>
    </row>
    <row r="11609" spans="15:20">
      <c r="O11609" s="247"/>
      <c r="P11609"/>
      <c r="Q11609" s="224"/>
      <c r="S11609" s="202"/>
      <c r="T11609"/>
    </row>
    <row r="11610" spans="15:20">
      <c r="O11610" s="247"/>
      <c r="P11610"/>
      <c r="Q11610" s="224"/>
      <c r="S11610" s="202"/>
      <c r="T11610"/>
    </row>
    <row r="11611" spans="15:20">
      <c r="O11611" s="247"/>
      <c r="P11611"/>
      <c r="Q11611" s="224"/>
      <c r="S11611" s="202"/>
      <c r="T11611"/>
    </row>
    <row r="11612" spans="15:20">
      <c r="O11612" s="247"/>
      <c r="P11612"/>
      <c r="Q11612" s="224"/>
      <c r="S11612" s="202"/>
      <c r="T11612"/>
    </row>
    <row r="11613" spans="15:20">
      <c r="O11613" s="247"/>
      <c r="P11613"/>
      <c r="Q11613" s="224"/>
      <c r="S11613" s="202"/>
      <c r="T11613"/>
    </row>
    <row r="11614" spans="15:20">
      <c r="O11614" s="247"/>
      <c r="P11614"/>
      <c r="Q11614" s="224"/>
      <c r="S11614" s="202"/>
      <c r="T11614"/>
    </row>
    <row r="11615" spans="15:20">
      <c r="O11615" s="247"/>
      <c r="P11615"/>
      <c r="Q11615" s="224"/>
      <c r="S11615" s="202"/>
      <c r="T11615"/>
    </row>
    <row r="11616" spans="15:20">
      <c r="O11616" s="247"/>
      <c r="P11616"/>
      <c r="Q11616" s="224"/>
      <c r="S11616" s="202"/>
      <c r="T11616"/>
    </row>
    <row r="11617" spans="15:20">
      <c r="O11617" s="247"/>
      <c r="P11617"/>
      <c r="Q11617" s="224"/>
      <c r="S11617" s="202"/>
      <c r="T11617"/>
    </row>
    <row r="11618" spans="15:20">
      <c r="O11618" s="247"/>
      <c r="P11618"/>
      <c r="Q11618" s="224"/>
      <c r="S11618" s="202"/>
      <c r="T11618"/>
    </row>
    <row r="11619" spans="15:20">
      <c r="O11619" s="247"/>
      <c r="P11619"/>
      <c r="Q11619" s="224"/>
      <c r="S11619" s="202"/>
      <c r="T11619"/>
    </row>
    <row r="11620" spans="15:20">
      <c r="O11620" s="247"/>
      <c r="P11620"/>
      <c r="Q11620" s="224"/>
      <c r="S11620" s="202"/>
      <c r="T11620"/>
    </row>
    <row r="11621" spans="15:20">
      <c r="O11621" s="247"/>
      <c r="P11621"/>
      <c r="Q11621" s="224"/>
      <c r="S11621" s="202"/>
      <c r="T11621"/>
    </row>
    <row r="11622" spans="15:20">
      <c r="O11622" s="247"/>
      <c r="P11622"/>
      <c r="Q11622" s="224"/>
      <c r="S11622" s="202"/>
      <c r="T11622"/>
    </row>
    <row r="11623" spans="15:20">
      <c r="O11623" s="247"/>
      <c r="P11623"/>
      <c r="Q11623" s="224"/>
      <c r="S11623" s="202"/>
      <c r="T11623"/>
    </row>
    <row r="11624" spans="15:20">
      <c r="O11624" s="247"/>
      <c r="P11624"/>
      <c r="Q11624" s="224"/>
      <c r="S11624" s="202"/>
      <c r="T11624"/>
    </row>
    <row r="11625" spans="15:20">
      <c r="O11625" s="247"/>
      <c r="P11625"/>
      <c r="Q11625" s="224"/>
      <c r="S11625" s="202"/>
      <c r="T11625"/>
    </row>
    <row r="11626" spans="15:20">
      <c r="O11626" s="247"/>
      <c r="P11626"/>
      <c r="Q11626" s="224"/>
      <c r="S11626" s="202"/>
      <c r="T11626"/>
    </row>
    <row r="11627" spans="15:20">
      <c r="O11627" s="247"/>
      <c r="P11627"/>
      <c r="Q11627" s="224"/>
      <c r="S11627" s="202"/>
      <c r="T11627"/>
    </row>
    <row r="11628" spans="15:20">
      <c r="O11628" s="247"/>
      <c r="P11628"/>
      <c r="Q11628" s="224"/>
      <c r="S11628" s="202"/>
      <c r="T11628"/>
    </row>
    <row r="11629" spans="15:20">
      <c r="O11629" s="247"/>
      <c r="P11629"/>
      <c r="Q11629" s="224"/>
      <c r="S11629" s="202"/>
      <c r="T11629"/>
    </row>
    <row r="11630" spans="15:20">
      <c r="O11630" s="247"/>
      <c r="P11630"/>
      <c r="Q11630" s="224"/>
      <c r="S11630" s="202"/>
      <c r="T11630"/>
    </row>
    <row r="11631" spans="15:20">
      <c r="O11631" s="247"/>
      <c r="P11631"/>
      <c r="Q11631" s="224"/>
      <c r="S11631" s="202"/>
      <c r="T11631"/>
    </row>
    <row r="11632" spans="15:20">
      <c r="O11632" s="247"/>
      <c r="P11632"/>
      <c r="Q11632" s="224"/>
      <c r="S11632" s="202"/>
      <c r="T11632"/>
    </row>
    <row r="11633" spans="15:20">
      <c r="O11633" s="247"/>
      <c r="P11633"/>
      <c r="Q11633" s="224"/>
      <c r="S11633" s="202"/>
      <c r="T11633"/>
    </row>
    <row r="11634" spans="15:20">
      <c r="O11634" s="247"/>
      <c r="P11634"/>
      <c r="Q11634" s="224"/>
      <c r="S11634" s="202"/>
      <c r="T11634"/>
    </row>
    <row r="11635" spans="15:20">
      <c r="O11635" s="247"/>
      <c r="P11635"/>
      <c r="Q11635" s="224"/>
      <c r="S11635" s="202"/>
      <c r="T11635"/>
    </row>
    <row r="11636" spans="15:20">
      <c r="O11636" s="247"/>
      <c r="P11636"/>
      <c r="Q11636" s="224"/>
      <c r="S11636" s="202"/>
      <c r="T11636"/>
    </row>
    <row r="11637" spans="15:20">
      <c r="O11637" s="247"/>
      <c r="P11637"/>
      <c r="Q11637" s="224"/>
      <c r="S11637" s="202"/>
      <c r="T11637"/>
    </row>
    <row r="11638" spans="15:20">
      <c r="O11638" s="247"/>
      <c r="P11638"/>
      <c r="Q11638" s="224"/>
      <c r="S11638" s="202"/>
      <c r="T11638"/>
    </row>
    <row r="11639" spans="15:20">
      <c r="O11639" s="247"/>
      <c r="P11639"/>
      <c r="Q11639" s="224"/>
      <c r="S11639" s="202"/>
      <c r="T11639"/>
    </row>
    <row r="11640" spans="15:20">
      <c r="O11640" s="247"/>
      <c r="P11640"/>
      <c r="Q11640" s="224"/>
      <c r="S11640" s="202"/>
      <c r="T11640"/>
    </row>
    <row r="11641" spans="15:20">
      <c r="O11641" s="247"/>
      <c r="P11641"/>
      <c r="Q11641" s="224"/>
      <c r="S11641" s="202"/>
      <c r="T11641"/>
    </row>
    <row r="11642" spans="15:20">
      <c r="O11642" s="247"/>
      <c r="P11642"/>
      <c r="Q11642" s="224"/>
      <c r="S11642" s="202"/>
      <c r="T11642"/>
    </row>
    <row r="11643" spans="15:20">
      <c r="O11643" s="247"/>
      <c r="P11643"/>
      <c r="Q11643" s="224"/>
      <c r="S11643" s="202"/>
      <c r="T11643"/>
    </row>
    <row r="11644" spans="15:20">
      <c r="O11644" s="247"/>
      <c r="P11644"/>
      <c r="Q11644" s="224"/>
      <c r="S11644" s="202"/>
      <c r="T11644"/>
    </row>
    <row r="11645" spans="15:20">
      <c r="O11645" s="247"/>
      <c r="P11645"/>
      <c r="Q11645" s="224"/>
      <c r="S11645" s="202"/>
      <c r="T11645"/>
    </row>
    <row r="11646" spans="15:20">
      <c r="O11646" s="247"/>
      <c r="P11646"/>
      <c r="Q11646" s="224"/>
      <c r="S11646" s="202"/>
      <c r="T11646"/>
    </row>
    <row r="11647" spans="15:20">
      <c r="O11647" s="247"/>
      <c r="P11647"/>
      <c r="Q11647" s="224"/>
      <c r="S11647" s="202"/>
      <c r="T11647"/>
    </row>
    <row r="11648" spans="15:20">
      <c r="O11648" s="247"/>
      <c r="P11648"/>
      <c r="Q11648" s="224"/>
      <c r="S11648" s="202"/>
      <c r="T11648"/>
    </row>
    <row r="11649" spans="15:20">
      <c r="O11649" s="247"/>
      <c r="P11649"/>
      <c r="Q11649" s="224"/>
      <c r="S11649" s="202"/>
      <c r="T11649"/>
    </row>
    <row r="11650" spans="15:20">
      <c r="O11650" s="247"/>
      <c r="P11650"/>
      <c r="Q11650" s="224"/>
      <c r="S11650" s="202"/>
      <c r="T11650"/>
    </row>
    <row r="11651" spans="15:20">
      <c r="O11651" s="247"/>
      <c r="P11651"/>
      <c r="Q11651" s="224"/>
      <c r="S11651" s="202"/>
      <c r="T11651"/>
    </row>
    <row r="11652" spans="15:20">
      <c r="O11652" s="247"/>
      <c r="P11652"/>
      <c r="Q11652" s="224"/>
      <c r="S11652" s="202"/>
      <c r="T11652"/>
    </row>
    <row r="11653" spans="15:20">
      <c r="O11653" s="247"/>
      <c r="P11653"/>
      <c r="Q11653" s="224"/>
      <c r="S11653" s="202"/>
      <c r="T11653"/>
    </row>
    <row r="11654" spans="15:20">
      <c r="O11654" s="247"/>
      <c r="P11654"/>
      <c r="Q11654" s="224"/>
      <c r="S11654" s="202"/>
      <c r="T11654"/>
    </row>
    <row r="11655" spans="15:20">
      <c r="O11655" s="247"/>
      <c r="P11655"/>
      <c r="Q11655" s="224"/>
      <c r="S11655" s="202"/>
      <c r="T11655"/>
    </row>
    <row r="11656" spans="15:20">
      <c r="O11656" s="247"/>
      <c r="P11656"/>
      <c r="Q11656" s="224"/>
      <c r="S11656" s="202"/>
      <c r="T11656"/>
    </row>
    <row r="11657" spans="15:20">
      <c r="O11657" s="247"/>
      <c r="P11657"/>
      <c r="Q11657" s="224"/>
      <c r="S11657" s="202"/>
      <c r="T11657"/>
    </row>
    <row r="11658" spans="15:20">
      <c r="O11658" s="247"/>
      <c r="P11658"/>
      <c r="Q11658" s="224"/>
      <c r="S11658" s="202"/>
      <c r="T11658"/>
    </row>
    <row r="11659" spans="15:20">
      <c r="O11659" s="247"/>
      <c r="P11659"/>
      <c r="Q11659" s="224"/>
      <c r="S11659" s="202"/>
      <c r="T11659"/>
    </row>
    <row r="11660" spans="15:20">
      <c r="O11660" s="247"/>
      <c r="P11660"/>
      <c r="Q11660" s="224"/>
      <c r="S11660" s="202"/>
      <c r="T11660"/>
    </row>
    <row r="11661" spans="15:20">
      <c r="O11661" s="247"/>
      <c r="P11661"/>
      <c r="Q11661" s="224"/>
      <c r="S11661" s="202"/>
      <c r="T11661"/>
    </row>
    <row r="11662" spans="15:20">
      <c r="O11662" s="247"/>
      <c r="P11662"/>
      <c r="Q11662" s="224"/>
      <c r="S11662" s="202"/>
      <c r="T11662"/>
    </row>
    <row r="11663" spans="15:20">
      <c r="O11663" s="247"/>
      <c r="P11663"/>
      <c r="Q11663" s="224"/>
      <c r="S11663" s="202"/>
      <c r="T11663"/>
    </row>
    <row r="11664" spans="15:20">
      <c r="O11664" s="247"/>
      <c r="P11664"/>
      <c r="Q11664" s="224"/>
      <c r="S11664" s="202"/>
      <c r="T11664"/>
    </row>
    <row r="11665" spans="15:20">
      <c r="O11665" s="247"/>
      <c r="P11665"/>
      <c r="Q11665" s="224"/>
      <c r="S11665" s="202"/>
      <c r="T11665"/>
    </row>
    <row r="11666" spans="15:20">
      <c r="O11666" s="247"/>
      <c r="P11666"/>
      <c r="Q11666" s="224"/>
      <c r="S11666" s="202"/>
      <c r="T11666"/>
    </row>
    <row r="11667" spans="15:20">
      <c r="O11667" s="247"/>
      <c r="P11667"/>
      <c r="Q11667" s="224"/>
      <c r="S11667" s="202"/>
      <c r="T11667"/>
    </row>
    <row r="11668" spans="15:20">
      <c r="O11668" s="247"/>
      <c r="P11668"/>
      <c r="Q11668" s="224"/>
      <c r="S11668" s="202"/>
      <c r="T11668"/>
    </row>
    <row r="11669" spans="15:20">
      <c r="O11669" s="247"/>
      <c r="P11669"/>
      <c r="Q11669" s="224"/>
      <c r="S11669" s="202"/>
      <c r="T11669"/>
    </row>
    <row r="11670" spans="15:20">
      <c r="O11670" s="247"/>
      <c r="P11670"/>
      <c r="Q11670" s="224"/>
      <c r="S11670" s="202"/>
      <c r="T11670"/>
    </row>
    <row r="11671" spans="15:20">
      <c r="O11671" s="247"/>
      <c r="P11671"/>
      <c r="Q11671" s="224"/>
      <c r="S11671" s="202"/>
      <c r="T11671"/>
    </row>
    <row r="11672" spans="15:20">
      <c r="O11672" s="247"/>
      <c r="P11672"/>
      <c r="Q11672" s="224"/>
      <c r="S11672" s="202"/>
      <c r="T11672"/>
    </row>
    <row r="11673" spans="15:20">
      <c r="O11673" s="247"/>
      <c r="P11673"/>
      <c r="Q11673" s="224"/>
      <c r="S11673" s="202"/>
      <c r="T11673"/>
    </row>
    <row r="11674" spans="15:20">
      <c r="O11674" s="247"/>
      <c r="P11674"/>
      <c r="Q11674" s="224"/>
      <c r="S11674" s="202"/>
      <c r="T11674"/>
    </row>
    <row r="11675" spans="15:20">
      <c r="O11675" s="247"/>
      <c r="P11675"/>
      <c r="Q11675" s="224"/>
      <c r="S11675" s="202"/>
      <c r="T11675"/>
    </row>
    <row r="11676" spans="15:20">
      <c r="O11676" s="247"/>
      <c r="P11676"/>
      <c r="Q11676" s="224"/>
      <c r="S11676" s="202"/>
      <c r="T11676"/>
    </row>
    <row r="11677" spans="15:20">
      <c r="O11677" s="247"/>
      <c r="P11677"/>
      <c r="Q11677" s="224"/>
      <c r="S11677" s="202"/>
      <c r="T11677"/>
    </row>
    <row r="11678" spans="15:20">
      <c r="O11678" s="247"/>
      <c r="P11678"/>
      <c r="Q11678" s="224"/>
      <c r="S11678" s="202"/>
      <c r="T11678"/>
    </row>
    <row r="11679" spans="15:20">
      <c r="O11679" s="247"/>
      <c r="P11679"/>
      <c r="Q11679" s="224"/>
      <c r="S11679" s="202"/>
      <c r="T11679"/>
    </row>
    <row r="11680" spans="15:20">
      <c r="O11680" s="247"/>
      <c r="P11680"/>
      <c r="Q11680" s="224"/>
      <c r="S11680" s="202"/>
      <c r="T11680"/>
    </row>
    <row r="11681" spans="15:20">
      <c r="O11681" s="247"/>
      <c r="P11681"/>
      <c r="Q11681" s="224"/>
      <c r="S11681" s="202"/>
      <c r="T11681"/>
    </row>
    <row r="11682" spans="15:20">
      <c r="O11682" s="247"/>
      <c r="P11682"/>
      <c r="Q11682" s="224"/>
      <c r="S11682" s="202"/>
      <c r="T11682"/>
    </row>
    <row r="11683" spans="15:20">
      <c r="O11683" s="247"/>
      <c r="P11683"/>
      <c r="Q11683" s="224"/>
      <c r="S11683" s="202"/>
      <c r="T11683"/>
    </row>
    <row r="11684" spans="15:20">
      <c r="O11684" s="247"/>
      <c r="P11684"/>
      <c r="Q11684" s="224"/>
      <c r="S11684" s="202"/>
      <c r="T11684"/>
    </row>
    <row r="11685" spans="15:20">
      <c r="O11685" s="247"/>
      <c r="P11685"/>
      <c r="Q11685" s="224"/>
      <c r="S11685" s="202"/>
      <c r="T11685"/>
    </row>
    <row r="11686" spans="15:20">
      <c r="O11686" s="247"/>
      <c r="P11686"/>
      <c r="Q11686" s="224"/>
      <c r="S11686" s="202"/>
      <c r="T11686"/>
    </row>
    <row r="11687" spans="15:20">
      <c r="O11687" s="247"/>
      <c r="P11687"/>
      <c r="Q11687" s="224"/>
      <c r="S11687" s="202"/>
      <c r="T11687"/>
    </row>
    <row r="11688" spans="15:20">
      <c r="O11688" s="247"/>
      <c r="P11688"/>
      <c r="Q11688" s="224"/>
      <c r="S11688" s="202"/>
      <c r="T11688"/>
    </row>
    <row r="11689" spans="15:20">
      <c r="O11689" s="247"/>
      <c r="P11689"/>
      <c r="Q11689" s="224"/>
      <c r="S11689" s="202"/>
      <c r="T11689"/>
    </row>
    <row r="11690" spans="15:20">
      <c r="O11690" s="247"/>
      <c r="P11690"/>
      <c r="Q11690" s="224"/>
      <c r="S11690" s="202"/>
      <c r="T11690"/>
    </row>
    <row r="11691" spans="15:20">
      <c r="O11691" s="247"/>
      <c r="P11691"/>
      <c r="Q11691" s="224"/>
      <c r="S11691" s="202"/>
      <c r="T11691"/>
    </row>
    <row r="11692" spans="15:20">
      <c r="O11692" s="247"/>
      <c r="P11692"/>
      <c r="Q11692" s="224"/>
      <c r="S11692" s="202"/>
      <c r="T11692"/>
    </row>
    <row r="11693" spans="15:20">
      <c r="O11693" s="247"/>
      <c r="P11693"/>
      <c r="Q11693" s="224"/>
      <c r="S11693" s="202"/>
      <c r="T11693"/>
    </row>
    <row r="11694" spans="15:20">
      <c r="O11694" s="247"/>
      <c r="P11694"/>
      <c r="Q11694" s="224"/>
      <c r="S11694" s="202"/>
      <c r="T11694"/>
    </row>
    <row r="11695" spans="15:20">
      <c r="O11695" s="247"/>
      <c r="P11695"/>
      <c r="Q11695" s="224"/>
      <c r="S11695" s="202"/>
      <c r="T11695"/>
    </row>
    <row r="11696" spans="15:20">
      <c r="O11696" s="247"/>
      <c r="P11696"/>
      <c r="Q11696" s="224"/>
      <c r="S11696" s="202"/>
      <c r="T11696"/>
    </row>
    <row r="11697" spans="15:20">
      <c r="O11697" s="247"/>
      <c r="P11697"/>
      <c r="Q11697" s="224"/>
      <c r="S11697" s="202"/>
      <c r="T11697"/>
    </row>
    <row r="11698" spans="15:20">
      <c r="O11698" s="247"/>
      <c r="P11698"/>
      <c r="Q11698" s="224"/>
      <c r="S11698" s="202"/>
      <c r="T11698"/>
    </row>
    <row r="11699" spans="15:20">
      <c r="O11699" s="247"/>
      <c r="P11699"/>
      <c r="Q11699" s="224"/>
      <c r="S11699" s="202"/>
      <c r="T11699"/>
    </row>
    <row r="11700" spans="15:20">
      <c r="O11700" s="247"/>
      <c r="P11700"/>
      <c r="Q11700" s="224"/>
      <c r="S11700" s="202"/>
      <c r="T11700"/>
    </row>
    <row r="11701" spans="15:20">
      <c r="O11701" s="247"/>
      <c r="P11701"/>
      <c r="Q11701" s="224"/>
      <c r="S11701" s="202"/>
      <c r="T11701"/>
    </row>
    <row r="11702" spans="15:20">
      <c r="O11702" s="247"/>
      <c r="P11702"/>
      <c r="Q11702" s="224"/>
      <c r="S11702" s="202"/>
      <c r="T11702"/>
    </row>
    <row r="11703" spans="15:20">
      <c r="O11703" s="247"/>
      <c r="P11703"/>
      <c r="Q11703" s="224"/>
      <c r="S11703" s="202"/>
      <c r="T11703"/>
    </row>
    <row r="11704" spans="15:20">
      <c r="O11704" s="247"/>
      <c r="P11704"/>
      <c r="Q11704" s="224"/>
      <c r="S11704" s="202"/>
      <c r="T11704"/>
    </row>
    <row r="11705" spans="15:20">
      <c r="O11705" s="247"/>
      <c r="P11705"/>
      <c r="Q11705" s="224"/>
      <c r="S11705" s="202"/>
      <c r="T11705"/>
    </row>
    <row r="11706" spans="15:20">
      <c r="O11706" s="247"/>
      <c r="P11706"/>
      <c r="Q11706" s="224"/>
      <c r="S11706" s="202"/>
      <c r="T11706"/>
    </row>
    <row r="11707" spans="15:20">
      <c r="O11707" s="247"/>
      <c r="P11707"/>
      <c r="Q11707" s="224"/>
      <c r="S11707" s="202"/>
      <c r="T11707"/>
    </row>
    <row r="11708" spans="15:20">
      <c r="O11708" s="247"/>
      <c r="P11708"/>
      <c r="Q11708" s="224"/>
      <c r="S11708" s="202"/>
      <c r="T11708"/>
    </row>
    <row r="11709" spans="15:20">
      <c r="O11709" s="247"/>
      <c r="P11709"/>
      <c r="Q11709" s="224"/>
      <c r="S11709" s="202"/>
      <c r="T11709"/>
    </row>
    <row r="11710" spans="15:20">
      <c r="O11710" s="247"/>
      <c r="P11710"/>
      <c r="Q11710" s="224"/>
      <c r="S11710" s="202"/>
      <c r="T11710"/>
    </row>
    <row r="11711" spans="15:20">
      <c r="O11711" s="247"/>
      <c r="P11711"/>
      <c r="Q11711" s="224"/>
      <c r="S11711" s="202"/>
      <c r="T11711"/>
    </row>
    <row r="11712" spans="15:20">
      <c r="O11712" s="247"/>
      <c r="P11712"/>
      <c r="Q11712" s="224"/>
      <c r="S11712" s="202"/>
      <c r="T11712"/>
    </row>
    <row r="11713" spans="15:20">
      <c r="O11713" s="247"/>
      <c r="P11713"/>
      <c r="Q11713" s="224"/>
      <c r="S11713" s="202"/>
      <c r="T11713"/>
    </row>
    <row r="11714" spans="15:20">
      <c r="O11714" s="247"/>
      <c r="P11714"/>
      <c r="Q11714" s="224"/>
      <c r="S11714" s="202"/>
      <c r="T11714"/>
    </row>
    <row r="11715" spans="15:20">
      <c r="O11715" s="247"/>
      <c r="P11715"/>
      <c r="Q11715" s="224"/>
      <c r="S11715" s="202"/>
      <c r="T11715"/>
    </row>
    <row r="11716" spans="15:20">
      <c r="O11716" s="247"/>
      <c r="P11716"/>
      <c r="Q11716" s="224"/>
      <c r="S11716" s="202"/>
      <c r="T11716"/>
    </row>
    <row r="11717" spans="15:20">
      <c r="O11717" s="247"/>
      <c r="P11717"/>
      <c r="Q11717" s="224"/>
      <c r="S11717" s="202"/>
      <c r="T11717"/>
    </row>
    <row r="11718" spans="15:20">
      <c r="O11718" s="247"/>
      <c r="P11718"/>
      <c r="Q11718" s="224"/>
      <c r="S11718" s="202"/>
      <c r="T11718"/>
    </row>
    <row r="11719" spans="15:20">
      <c r="O11719" s="247"/>
      <c r="P11719"/>
      <c r="Q11719" s="224"/>
      <c r="S11719" s="202"/>
      <c r="T11719"/>
    </row>
    <row r="11720" spans="15:20">
      <c r="O11720" s="247"/>
      <c r="P11720"/>
      <c r="Q11720" s="224"/>
      <c r="S11720" s="202"/>
      <c r="T11720"/>
    </row>
    <row r="11721" spans="15:20">
      <c r="O11721" s="247"/>
      <c r="P11721"/>
      <c r="Q11721" s="224"/>
      <c r="S11721" s="202"/>
      <c r="T11721"/>
    </row>
    <row r="11722" spans="15:20">
      <c r="O11722" s="247"/>
      <c r="P11722"/>
      <c r="Q11722" s="224"/>
      <c r="S11722" s="202"/>
      <c r="T11722"/>
    </row>
    <row r="11723" spans="15:20">
      <c r="O11723" s="247"/>
      <c r="P11723"/>
      <c r="Q11723" s="224"/>
      <c r="S11723" s="202"/>
      <c r="T11723"/>
    </row>
    <row r="11724" spans="15:20">
      <c r="O11724" s="247"/>
      <c r="P11724"/>
      <c r="Q11724" s="224"/>
      <c r="S11724" s="202"/>
      <c r="T11724"/>
    </row>
    <row r="11725" spans="15:20">
      <c r="O11725" s="247"/>
      <c r="P11725"/>
      <c r="Q11725" s="224"/>
      <c r="S11725" s="202"/>
      <c r="T11725"/>
    </row>
    <row r="11726" spans="15:20">
      <c r="O11726" s="247"/>
      <c r="P11726"/>
      <c r="Q11726" s="224"/>
      <c r="S11726" s="202"/>
      <c r="T11726"/>
    </row>
    <row r="11727" spans="15:20">
      <c r="O11727" s="247"/>
      <c r="P11727"/>
      <c r="Q11727" s="224"/>
      <c r="S11727" s="202"/>
      <c r="T11727"/>
    </row>
    <row r="11728" spans="15:20">
      <c r="O11728" s="247"/>
      <c r="P11728"/>
      <c r="Q11728" s="224"/>
      <c r="S11728" s="202"/>
      <c r="T11728"/>
    </row>
    <row r="11729" spans="15:20">
      <c r="O11729" s="247"/>
      <c r="P11729"/>
      <c r="Q11729" s="224"/>
      <c r="S11729" s="202"/>
      <c r="T11729"/>
    </row>
    <row r="11730" spans="15:20">
      <c r="O11730" s="247"/>
      <c r="P11730"/>
      <c r="Q11730" s="224"/>
      <c r="S11730" s="202"/>
      <c r="T11730"/>
    </row>
    <row r="11731" spans="15:20">
      <c r="O11731" s="247"/>
      <c r="P11731"/>
      <c r="Q11731" s="224"/>
      <c r="S11731" s="202"/>
      <c r="T11731"/>
    </row>
    <row r="11732" spans="15:20">
      <c r="O11732" s="247"/>
      <c r="P11732"/>
      <c r="Q11732" s="224"/>
      <c r="S11732" s="202"/>
      <c r="T11732"/>
    </row>
    <row r="11733" spans="15:20">
      <c r="O11733" s="247"/>
      <c r="P11733"/>
      <c r="Q11733" s="224"/>
      <c r="S11733" s="202"/>
      <c r="T11733"/>
    </row>
    <row r="11734" spans="15:20">
      <c r="O11734" s="247"/>
      <c r="P11734"/>
      <c r="Q11734" s="224"/>
      <c r="S11734" s="202"/>
      <c r="T11734"/>
    </row>
    <row r="11735" spans="15:20">
      <c r="O11735" s="247"/>
      <c r="P11735"/>
      <c r="Q11735" s="224"/>
      <c r="S11735" s="202"/>
      <c r="T11735"/>
    </row>
    <row r="11736" spans="15:20">
      <c r="O11736" s="247"/>
      <c r="P11736"/>
      <c r="Q11736" s="224"/>
      <c r="S11736" s="202"/>
      <c r="T11736"/>
    </row>
    <row r="11737" spans="15:20">
      <c r="O11737" s="247"/>
      <c r="P11737"/>
      <c r="Q11737" s="224"/>
      <c r="S11737" s="202"/>
      <c r="T11737"/>
    </row>
    <row r="11738" spans="15:20">
      <c r="O11738" s="247"/>
      <c r="P11738"/>
      <c r="Q11738" s="224"/>
      <c r="S11738" s="202"/>
      <c r="T11738"/>
    </row>
    <row r="11739" spans="15:20">
      <c r="O11739" s="247"/>
      <c r="P11739"/>
      <c r="Q11739" s="224"/>
      <c r="S11739" s="202"/>
      <c r="T11739"/>
    </row>
    <row r="11740" spans="15:20">
      <c r="O11740" s="247"/>
      <c r="P11740"/>
      <c r="Q11740" s="224"/>
      <c r="S11740" s="202"/>
      <c r="T11740"/>
    </row>
    <row r="11741" spans="15:20">
      <c r="O11741" s="247"/>
      <c r="P11741"/>
      <c r="Q11741" s="224"/>
      <c r="S11741" s="202"/>
      <c r="T11741"/>
    </row>
    <row r="11742" spans="15:20">
      <c r="O11742" s="247"/>
      <c r="P11742"/>
      <c r="Q11742" s="224"/>
      <c r="S11742" s="202"/>
      <c r="T11742"/>
    </row>
    <row r="11743" spans="15:20">
      <c r="O11743" s="247"/>
      <c r="P11743"/>
      <c r="Q11743" s="224"/>
      <c r="S11743" s="202"/>
      <c r="T11743"/>
    </row>
    <row r="11744" spans="15:20">
      <c r="O11744" s="247"/>
      <c r="P11744"/>
      <c r="Q11744" s="224"/>
      <c r="S11744" s="202"/>
      <c r="T11744"/>
    </row>
    <row r="11745" spans="15:20">
      <c r="O11745" s="247"/>
      <c r="P11745"/>
      <c r="Q11745" s="224"/>
      <c r="S11745" s="202"/>
      <c r="T11745"/>
    </row>
    <row r="11746" spans="15:20">
      <c r="O11746" s="247"/>
      <c r="P11746"/>
      <c r="Q11746" s="224"/>
      <c r="S11746" s="202"/>
      <c r="T11746"/>
    </row>
    <row r="11747" spans="15:20">
      <c r="O11747" s="247"/>
      <c r="P11747"/>
      <c r="Q11747" s="224"/>
      <c r="S11747" s="202"/>
      <c r="T11747"/>
    </row>
    <row r="11748" spans="15:20">
      <c r="O11748" s="247"/>
      <c r="P11748"/>
      <c r="Q11748" s="224"/>
      <c r="S11748" s="202"/>
      <c r="T11748"/>
    </row>
    <row r="11749" spans="15:20">
      <c r="O11749" s="247"/>
      <c r="P11749"/>
      <c r="Q11749" s="224"/>
      <c r="S11749" s="202"/>
      <c r="T11749"/>
    </row>
    <row r="11750" spans="15:20">
      <c r="O11750" s="247"/>
      <c r="P11750"/>
      <c r="Q11750" s="224"/>
      <c r="S11750" s="202"/>
      <c r="T11750"/>
    </row>
    <row r="11751" spans="15:20">
      <c r="O11751" s="247"/>
      <c r="P11751"/>
      <c r="Q11751" s="224"/>
      <c r="S11751" s="202"/>
      <c r="T11751"/>
    </row>
    <row r="11752" spans="15:20">
      <c r="O11752" s="247"/>
      <c r="P11752"/>
      <c r="Q11752" s="224"/>
      <c r="S11752" s="202"/>
      <c r="T11752"/>
    </row>
    <row r="11753" spans="15:20">
      <c r="O11753" s="247"/>
      <c r="P11753"/>
      <c r="Q11753" s="224"/>
      <c r="S11753" s="202"/>
      <c r="T11753"/>
    </row>
    <row r="11754" spans="15:20">
      <c r="O11754" s="247"/>
      <c r="P11754"/>
      <c r="Q11754" s="224"/>
      <c r="S11754" s="202"/>
      <c r="T11754"/>
    </row>
    <row r="11755" spans="15:20">
      <c r="O11755" s="247"/>
      <c r="P11755"/>
      <c r="Q11755" s="224"/>
      <c r="S11755" s="202"/>
      <c r="T11755"/>
    </row>
    <row r="11756" spans="15:20">
      <c r="O11756" s="247"/>
      <c r="P11756"/>
      <c r="Q11756" s="224"/>
      <c r="S11756" s="202"/>
      <c r="T11756"/>
    </row>
    <row r="11757" spans="15:20">
      <c r="O11757" s="247"/>
      <c r="P11757"/>
      <c r="Q11757" s="224"/>
      <c r="S11757" s="202"/>
      <c r="T11757"/>
    </row>
    <row r="11758" spans="15:20">
      <c r="O11758" s="247"/>
      <c r="P11758"/>
      <c r="Q11758" s="224"/>
      <c r="S11758" s="202"/>
      <c r="T11758"/>
    </row>
    <row r="11759" spans="15:20">
      <c r="O11759" s="247"/>
      <c r="P11759"/>
      <c r="Q11759" s="224"/>
      <c r="S11759" s="202"/>
      <c r="T11759"/>
    </row>
    <row r="11760" spans="15:20">
      <c r="O11760" s="247"/>
      <c r="P11760"/>
      <c r="Q11760" s="224"/>
      <c r="S11760" s="202"/>
      <c r="T11760"/>
    </row>
    <row r="11761" spans="15:20">
      <c r="O11761" s="247"/>
      <c r="P11761"/>
      <c r="Q11761" s="224"/>
      <c r="S11761" s="202"/>
      <c r="T11761"/>
    </row>
    <row r="11762" spans="15:20">
      <c r="O11762" s="247"/>
      <c r="P11762"/>
      <c r="Q11762" s="224"/>
      <c r="S11762" s="202"/>
      <c r="T11762"/>
    </row>
    <row r="11763" spans="15:20">
      <c r="O11763" s="247"/>
      <c r="P11763"/>
      <c r="Q11763" s="224"/>
      <c r="S11763" s="202"/>
      <c r="T11763"/>
    </row>
    <row r="11764" spans="15:20">
      <c r="O11764" s="247"/>
      <c r="P11764"/>
      <c r="Q11764" s="224"/>
      <c r="S11764" s="202"/>
      <c r="T11764"/>
    </row>
    <row r="11765" spans="15:20">
      <c r="O11765" s="247"/>
      <c r="P11765"/>
      <c r="Q11765" s="224"/>
      <c r="S11765" s="202"/>
      <c r="T11765"/>
    </row>
    <row r="11766" spans="15:20">
      <c r="O11766" s="247"/>
      <c r="P11766"/>
      <c r="Q11766" s="224"/>
      <c r="S11766" s="202"/>
      <c r="T11766"/>
    </row>
    <row r="11767" spans="15:20">
      <c r="O11767" s="247"/>
      <c r="P11767"/>
      <c r="Q11767" s="224"/>
      <c r="S11767" s="202"/>
      <c r="T11767"/>
    </row>
    <row r="11768" spans="15:20">
      <c r="O11768" s="247"/>
      <c r="P11768"/>
      <c r="Q11768" s="224"/>
      <c r="S11768" s="202"/>
      <c r="T11768"/>
    </row>
    <row r="11769" spans="15:20">
      <c r="O11769" s="247"/>
      <c r="P11769"/>
      <c r="Q11769" s="224"/>
      <c r="S11769" s="202"/>
      <c r="T11769"/>
    </row>
    <row r="11770" spans="15:20">
      <c r="O11770" s="247"/>
      <c r="P11770"/>
      <c r="Q11770" s="224"/>
      <c r="S11770" s="202"/>
      <c r="T11770"/>
    </row>
    <row r="11771" spans="15:20">
      <c r="O11771" s="247"/>
      <c r="P11771"/>
      <c r="Q11771" s="224"/>
      <c r="S11771" s="202"/>
      <c r="T11771"/>
    </row>
    <row r="11772" spans="15:20">
      <c r="O11772" s="247"/>
      <c r="P11772"/>
      <c r="Q11772" s="224"/>
      <c r="S11772" s="202"/>
      <c r="T11772"/>
    </row>
    <row r="11773" spans="15:20">
      <c r="O11773" s="247"/>
      <c r="P11773"/>
      <c r="Q11773" s="224"/>
      <c r="S11773" s="202"/>
      <c r="T11773"/>
    </row>
    <row r="11774" spans="15:20">
      <c r="O11774" s="247"/>
      <c r="P11774"/>
      <c r="Q11774" s="224"/>
      <c r="S11774" s="202"/>
      <c r="T11774"/>
    </row>
    <row r="11775" spans="15:20">
      <c r="O11775" s="247"/>
      <c r="P11775"/>
      <c r="Q11775" s="224"/>
      <c r="S11775" s="202"/>
      <c r="T11775"/>
    </row>
    <row r="11776" spans="15:20">
      <c r="O11776" s="247"/>
      <c r="P11776"/>
      <c r="Q11776" s="224"/>
      <c r="S11776" s="202"/>
      <c r="T11776"/>
    </row>
    <row r="11777" spans="15:20">
      <c r="O11777" s="247"/>
      <c r="P11777"/>
      <c r="Q11777" s="224"/>
      <c r="S11777" s="202"/>
      <c r="T11777"/>
    </row>
    <row r="11778" spans="15:20">
      <c r="O11778" s="247"/>
      <c r="P11778"/>
      <c r="Q11778" s="224"/>
      <c r="S11778" s="202"/>
      <c r="T11778"/>
    </row>
    <row r="11779" spans="15:20">
      <c r="O11779" s="247"/>
      <c r="P11779"/>
      <c r="Q11779" s="224"/>
      <c r="S11779" s="202"/>
      <c r="T11779"/>
    </row>
    <row r="11780" spans="15:20">
      <c r="O11780" s="247"/>
      <c r="P11780"/>
      <c r="Q11780" s="224"/>
      <c r="S11780" s="202"/>
      <c r="T11780"/>
    </row>
    <row r="11781" spans="15:20">
      <c r="O11781" s="247"/>
      <c r="P11781"/>
      <c r="Q11781" s="224"/>
      <c r="S11781" s="202"/>
      <c r="T11781"/>
    </row>
    <row r="11782" spans="15:20">
      <c r="O11782" s="247"/>
      <c r="P11782"/>
      <c r="Q11782" s="224"/>
      <c r="S11782" s="202"/>
      <c r="T11782"/>
    </row>
  </sheetData>
  <mergeCells count="13">
    <mergeCell ref="M72:N72"/>
    <mergeCell ref="A7:D7"/>
    <mergeCell ref="A8:T8"/>
    <mergeCell ref="A9:T9"/>
    <mergeCell ref="J10:T10"/>
    <mergeCell ref="A12:K12"/>
    <mergeCell ref="F72:I72"/>
    <mergeCell ref="B3:D3"/>
    <mergeCell ref="B4:D4"/>
    <mergeCell ref="B5:D5"/>
    <mergeCell ref="F71:I71"/>
    <mergeCell ref="M71:N71"/>
    <mergeCell ref="A64:D64"/>
  </mergeCells>
  <conditionalFormatting sqref="G20:G21">
    <cfRule type="duplicateValues" dxfId="29" priority="3"/>
  </conditionalFormatting>
  <conditionalFormatting sqref="G61">
    <cfRule type="duplicateValues" dxfId="28" priority="128"/>
    <cfRule type="duplicateValues" dxfId="27" priority="164"/>
    <cfRule type="duplicateValues" dxfId="26" priority="171"/>
  </conditionalFormatting>
  <hyperlinks>
    <hyperlink ref="M42" r:id="rId1" xr:uid="{CEF2896E-48EC-4372-AACC-5FBC33D8B9FE}"/>
    <hyperlink ref="M57" r:id="rId2" xr:uid="{315F8CD9-366D-4CA6-87B9-6556CC6E78AF}"/>
    <hyperlink ref="M40" r:id="rId3" xr:uid="{46AB042A-EAEB-4612-954F-51D68A091CD2}"/>
    <hyperlink ref="M17" r:id="rId4" xr:uid="{2C115829-FE9A-41CA-B2FA-FAF53E17EB01}"/>
    <hyperlink ref="M60" r:id="rId5" xr:uid="{FFFF5A93-9BDD-4E85-9D45-F3D2825A1F8A}"/>
    <hyperlink ref="M36" r:id="rId6" xr:uid="{62F974D5-7D61-48FE-B291-280321E12734}"/>
    <hyperlink ref="M26" r:id="rId7" xr:uid="{39FE53D4-FCA5-4915-B422-2440AA99FBEE}"/>
    <hyperlink ref="M25" r:id="rId8" xr:uid="{EE3B508D-2EDD-4B50-B9CD-117456713BA8}"/>
    <hyperlink ref="M50" r:id="rId9" xr:uid="{E8000755-47E0-4C3E-B068-498291A155EA}"/>
    <hyperlink ref="M24" r:id="rId10" xr:uid="{31756553-0984-42DD-825E-916EC7852847}"/>
    <hyperlink ref="M39" r:id="rId11" xr:uid="{72D804C6-9625-4EAF-A7D6-40A5089D77AC}"/>
    <hyperlink ref="M14" r:id="rId12" xr:uid="{C2D9B920-130D-4946-986B-401C6B329282}"/>
    <hyperlink ref="M16" r:id="rId13" xr:uid="{3F0B6727-2AB2-4F3B-BD38-3634616F8FCF}"/>
    <hyperlink ref="M15" r:id="rId14" xr:uid="{9AE92644-15AA-4B4C-90A1-8E3122F2E6F5}"/>
    <hyperlink ref="M19" r:id="rId15" xr:uid="{32993B4E-0960-45DA-88AC-A552B398BDE5}"/>
    <hyperlink ref="M18" r:id="rId16" xr:uid="{E8F080AA-D155-456C-96A9-12FD91463CE0}"/>
    <hyperlink ref="M22" r:id="rId17" xr:uid="{8DC7986F-4232-4FE1-B0A6-190919B85D52}"/>
    <hyperlink ref="M33" r:id="rId18" xr:uid="{9F6773FB-A465-4B86-9C3E-075387059D1B}"/>
    <hyperlink ref="M32" r:id="rId19" xr:uid="{9A14CF93-A79E-44E7-8472-8F5FD0E41865}"/>
    <hyperlink ref="M28" r:id="rId20" xr:uid="{27C70768-03BA-4E88-AC46-459D31D63A41}"/>
    <hyperlink ref="M31" r:id="rId21" xr:uid="{D1457C11-672A-48A0-962B-ABEC2C5963B8}"/>
    <hyperlink ref="M37" r:id="rId22" xr:uid="{D918FDED-8F3C-4F9C-B754-4CD30FB198B6}"/>
    <hyperlink ref="M34" r:id="rId23" xr:uid="{3C7BF5B7-82C9-4429-A904-23864493776C}"/>
    <hyperlink ref="M38" r:id="rId24" xr:uid="{9F5717FC-DEEF-4FAD-AC43-101AD7FC478C}"/>
    <hyperlink ref="M35" r:id="rId25" xr:uid="{7821A613-5457-4BA0-93E2-BF4C34A110B7}"/>
    <hyperlink ref="M45" r:id="rId26" display="Cristianalmendras96@" xr:uid="{A5108C76-9E75-40E4-9B47-F3362F7D5BE2}"/>
    <hyperlink ref="M46" r:id="rId27" xr:uid="{1F30FC29-F2DC-47E5-819A-4287F9704CF1}"/>
    <hyperlink ref="M43" r:id="rId28" xr:uid="{D409F70B-B603-4A4E-ABBB-4B2E204DC0B4}"/>
    <hyperlink ref="M41" r:id="rId29" xr:uid="{4EF40A25-48A9-4CBB-A171-6CAF05B8153A}"/>
    <hyperlink ref="M44" r:id="rId30" xr:uid="{3E64A7AA-58AA-4CE0-B0AE-6514E332060C}"/>
    <hyperlink ref="M47" r:id="rId31" xr:uid="{BF262440-6792-4003-818B-FA51802AD06C}"/>
    <hyperlink ref="M52" r:id="rId32" xr:uid="{C0DD9281-8CE9-4FF0-B759-A40C284F2428}"/>
    <hyperlink ref="M54" r:id="rId33" xr:uid="{990BF1F5-B275-4D26-9CE7-EDE703E09B6C}"/>
    <hyperlink ref="M51" r:id="rId34" xr:uid="{0AF41748-5EF6-4DAE-B394-9323D3408BE3}"/>
    <hyperlink ref="M56" r:id="rId35" xr:uid="{3D74BDA1-C149-4A72-B8C5-847F6C6CB170}"/>
    <hyperlink ref="M53" r:id="rId36" xr:uid="{B778991B-8564-41B8-8E8C-6A771118152E}"/>
    <hyperlink ref="M55" r:id="rId37" xr:uid="{75FAD549-3CC8-409B-A0AA-841EFAF6BFF4}"/>
    <hyperlink ref="M23" r:id="rId38" xr:uid="{EC7CF6B6-D20D-4457-A0C0-AECD0968AC6E}"/>
    <hyperlink ref="M59" r:id="rId39" xr:uid="{71541F5A-651A-46D0-AD9C-0C4423058807}"/>
    <hyperlink ref="M48" r:id="rId40" xr:uid="{BD2BC929-86DB-4A85-A218-23C09A60E361}"/>
    <hyperlink ref="M27" r:id="rId41" xr:uid="{F42CA670-8C22-43DF-8C12-DAAE642DF8A5}"/>
    <hyperlink ref="M20" r:id="rId42" xr:uid="{A9C300FE-97C3-4764-81C4-0B45A0C3B185}"/>
    <hyperlink ref="M29" r:id="rId43" xr:uid="{D8F9393A-AD9F-4F99-92B6-FC4EF9D3F16B}"/>
    <hyperlink ref="M30" r:id="rId44" xr:uid="{41539B90-46BC-4264-805E-2EF8FB2C2314}"/>
    <hyperlink ref="M49" r:id="rId45" xr:uid="{FEFAD263-EA7D-4B9E-9B19-94FC5416D6A9}"/>
    <hyperlink ref="M21" r:id="rId46" xr:uid="{953B122E-1D1F-49DD-874C-C488677C762D}"/>
  </hyperlinks>
  <pageMargins left="0.17" right="0.23622047244094491" top="0.21" bottom="0.12" header="0.23" footer="0.31496062992125984"/>
  <pageSetup paperSize="256" scale="41" fitToHeight="0" orientation="landscape" r:id="rId47"/>
  <drawing r:id="rId4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theme="6" tint="-0.499984740745262"/>
    <pageSetUpPr fitToPage="1"/>
  </sheetPr>
  <dimension ref="A1:Q76"/>
  <sheetViews>
    <sheetView view="pageBreakPreview" zoomScale="73" zoomScaleNormal="73" zoomScaleSheetLayoutView="73" workbookViewId="0">
      <selection activeCell="A13" sqref="A13:K13"/>
    </sheetView>
  </sheetViews>
  <sheetFormatPr baseColWidth="10" defaultColWidth="10.7109375" defaultRowHeight="15"/>
  <cols>
    <col min="1" max="1" width="4.85546875" customWidth="1"/>
    <col min="2" max="2" width="10.28515625" customWidth="1"/>
    <col min="3" max="3" width="13.42578125" customWidth="1"/>
    <col min="4" max="4" width="11.7109375" customWidth="1"/>
    <col min="5" max="5" width="13.7109375" customWidth="1"/>
    <col min="6" max="6" width="11.7109375" customWidth="1"/>
    <col min="7" max="7" width="9.5703125" style="42" customWidth="1"/>
    <col min="8" max="8" width="5.28515625" customWidth="1"/>
    <col min="9" max="9" width="40.42578125" customWidth="1"/>
    <col min="10" max="10" width="26.85546875" customWidth="1"/>
    <col min="11" max="11" width="12" style="394" customWidth="1"/>
    <col min="12" max="12" width="24.85546875" bestFit="1" customWidth="1"/>
  </cols>
  <sheetData>
    <row r="1" spans="1:12">
      <c r="A1" s="115"/>
      <c r="B1" s="115" t="s">
        <v>0</v>
      </c>
      <c r="C1" s="115"/>
      <c r="D1" s="2"/>
      <c r="E1" s="2"/>
      <c r="F1" s="2"/>
      <c r="G1" s="40"/>
      <c r="H1" s="30"/>
      <c r="I1" s="2"/>
      <c r="J1" s="2"/>
    </row>
    <row r="2" spans="1:12">
      <c r="A2" s="115"/>
      <c r="B2" s="115"/>
      <c r="C2" s="115"/>
      <c r="D2" s="2"/>
      <c r="E2" s="2"/>
      <c r="F2" s="2"/>
      <c r="G2" s="40"/>
      <c r="H2" s="30"/>
      <c r="I2" s="2"/>
      <c r="J2" s="2"/>
    </row>
    <row r="3" spans="1:12">
      <c r="A3" s="447" t="s">
        <v>1</v>
      </c>
      <c r="B3" s="447"/>
      <c r="C3" s="447"/>
      <c r="D3" s="2"/>
      <c r="E3" s="2"/>
      <c r="F3" s="2"/>
      <c r="G3" s="2"/>
      <c r="H3" s="40"/>
      <c r="I3" s="30"/>
      <c r="J3" s="2"/>
      <c r="K3" s="230"/>
    </row>
    <row r="4" spans="1:12" ht="10.5" customHeight="1">
      <c r="A4" s="446" t="s">
        <v>188</v>
      </c>
      <c r="B4" s="446"/>
      <c r="C4" s="446"/>
      <c r="D4" s="2"/>
      <c r="E4" s="2"/>
      <c r="F4" s="2"/>
      <c r="G4" s="2"/>
      <c r="H4" s="40"/>
      <c r="I4" s="30"/>
      <c r="J4" s="2"/>
      <c r="K4" s="230"/>
    </row>
    <row r="5" spans="1:12" ht="10.5" customHeight="1">
      <c r="A5" s="446" t="s">
        <v>633</v>
      </c>
      <c r="B5" s="446"/>
      <c r="C5" s="446"/>
      <c r="D5" s="2"/>
      <c r="E5" s="21"/>
      <c r="F5" s="21"/>
      <c r="G5" s="21"/>
      <c r="H5" s="41"/>
      <c r="I5" s="25"/>
      <c r="J5" s="21"/>
      <c r="K5" s="225" t="s">
        <v>119</v>
      </c>
    </row>
    <row r="6" spans="1:12" ht="10.5" customHeight="1">
      <c r="A6" s="448" t="s">
        <v>18</v>
      </c>
      <c r="B6" s="448"/>
      <c r="C6" s="448"/>
      <c r="D6" s="2"/>
      <c r="E6" s="21"/>
      <c r="F6" s="21"/>
      <c r="G6" s="21"/>
      <c r="H6" s="41"/>
      <c r="I6" s="25"/>
      <c r="J6" s="21"/>
      <c r="K6" s="225"/>
    </row>
    <row r="7" spans="1:12" ht="10.5" customHeight="1">
      <c r="A7" s="17"/>
      <c r="B7" s="17"/>
      <c r="C7" s="17"/>
      <c r="D7" s="2"/>
      <c r="E7" s="21"/>
      <c r="F7" s="21"/>
      <c r="G7" s="21"/>
      <c r="H7" s="41"/>
      <c r="I7" s="25"/>
      <c r="J7" s="21"/>
      <c r="K7" s="225"/>
    </row>
    <row r="8" spans="1:12" ht="15.75" customHeight="1">
      <c r="A8" s="17"/>
      <c r="B8" s="17"/>
      <c r="C8" s="17"/>
      <c r="D8" s="2"/>
      <c r="E8" s="21" t="s">
        <v>169</v>
      </c>
      <c r="F8" s="212"/>
      <c r="G8" s="212"/>
      <c r="H8" s="212"/>
      <c r="I8" s="212"/>
      <c r="J8" s="21"/>
      <c r="K8" s="225"/>
    </row>
    <row r="9" spans="1:12" ht="12.75" customHeight="1">
      <c r="A9" s="2"/>
      <c r="B9" s="2"/>
      <c r="C9" s="2"/>
      <c r="D9" s="2"/>
      <c r="E9" s="21"/>
      <c r="F9" s="211" t="s">
        <v>170</v>
      </c>
      <c r="G9" s="212"/>
      <c r="H9" s="212"/>
      <c r="I9" s="212"/>
      <c r="J9" s="2"/>
      <c r="K9" s="230"/>
    </row>
    <row r="10" spans="1:12" ht="15.75">
      <c r="A10" s="472" t="s">
        <v>171</v>
      </c>
      <c r="B10" s="472"/>
      <c r="C10" s="472"/>
      <c r="D10" s="472"/>
      <c r="E10" s="472"/>
      <c r="F10" s="472"/>
      <c r="G10" s="472"/>
      <c r="H10" s="472"/>
      <c r="I10" s="472"/>
      <c r="J10" s="472"/>
      <c r="K10" s="472"/>
    </row>
    <row r="11" spans="1:12">
      <c r="G11"/>
      <c r="H11" s="42"/>
    </row>
    <row r="12" spans="1:12">
      <c r="A12" s="127" t="s">
        <v>624</v>
      </c>
      <c r="B12" s="127"/>
      <c r="C12" s="127"/>
      <c r="D12" s="127"/>
      <c r="E12" s="127"/>
      <c r="F12" s="127"/>
      <c r="G12" s="127"/>
      <c r="H12" s="127"/>
      <c r="I12" s="127"/>
      <c r="J12" s="127"/>
      <c r="K12" s="395"/>
      <c r="L12" s="127"/>
    </row>
    <row r="13" spans="1:12" s="99" customFormat="1" ht="15.75" customHeight="1" thickBot="1">
      <c r="A13" s="436" t="s">
        <v>724</v>
      </c>
      <c r="B13" s="436"/>
      <c r="C13" s="436"/>
      <c r="D13" s="436"/>
      <c r="E13" s="436"/>
      <c r="F13" s="436"/>
      <c r="G13" s="436"/>
      <c r="H13" s="436"/>
      <c r="I13" s="436"/>
      <c r="J13" s="436"/>
      <c r="K13" s="436"/>
      <c r="L13" s="127"/>
    </row>
    <row r="14" spans="1:12" ht="22.5">
      <c r="A14" s="240" t="s">
        <v>72</v>
      </c>
      <c r="B14" s="240" t="s">
        <v>38</v>
      </c>
      <c r="C14" s="240" t="s">
        <v>39</v>
      </c>
      <c r="D14" s="240" t="s">
        <v>40</v>
      </c>
      <c r="E14" s="240" t="s">
        <v>41</v>
      </c>
      <c r="F14" s="240" t="s">
        <v>42</v>
      </c>
      <c r="G14" s="241" t="s">
        <v>73</v>
      </c>
      <c r="H14" s="240" t="s">
        <v>44</v>
      </c>
      <c r="I14" s="240" t="s">
        <v>74</v>
      </c>
      <c r="J14" s="240" t="s">
        <v>75</v>
      </c>
      <c r="K14" s="396" t="s">
        <v>50</v>
      </c>
      <c r="L14" s="240" t="s">
        <v>81</v>
      </c>
    </row>
    <row r="15" spans="1:12" ht="13.5" customHeight="1">
      <c r="A15" s="480" t="s">
        <v>582</v>
      </c>
      <c r="B15" s="481"/>
      <c r="C15" s="481"/>
      <c r="D15" s="481"/>
      <c r="E15" s="481"/>
      <c r="F15" s="481"/>
      <c r="G15" s="481"/>
      <c r="H15" s="481"/>
      <c r="I15" s="481"/>
      <c r="J15" s="481"/>
      <c r="K15" s="481"/>
      <c r="L15" s="482"/>
    </row>
    <row r="16" spans="1:12" ht="13.5" customHeight="1">
      <c r="A16" s="31">
        <v>1</v>
      </c>
      <c r="B16" s="322" t="s">
        <v>198</v>
      </c>
      <c r="C16" s="322" t="s">
        <v>199</v>
      </c>
      <c r="D16" s="322" t="s">
        <v>200</v>
      </c>
      <c r="E16" s="322" t="s">
        <v>201</v>
      </c>
      <c r="F16" s="322" t="s">
        <v>202</v>
      </c>
      <c r="G16" s="323">
        <v>4781937</v>
      </c>
      <c r="H16" s="222" t="s">
        <v>203</v>
      </c>
      <c r="I16" s="323" t="s">
        <v>722</v>
      </c>
      <c r="J16" s="333" t="s">
        <v>565</v>
      </c>
      <c r="K16" s="397">
        <v>44939</v>
      </c>
      <c r="L16" s="31" t="str">
        <f t="shared" ref="L16:L65" ca="1" si="0">DATEDIF(K16,TODAY(),"Y")&amp;" Años "&amp;DATEDIF(K16,TODAY(),"YM")&amp;" Meses "&amp;DATEDIF(K16,TODAY(),"MD")&amp;" Dias "</f>
        <v xml:space="preserve">2 Años 11 Meses 5 Dias </v>
      </c>
    </row>
    <row r="17" spans="1:12" ht="19.149999999999999" customHeight="1">
      <c r="A17" s="31">
        <v>2</v>
      </c>
      <c r="B17" s="322" t="s">
        <v>209</v>
      </c>
      <c r="C17" s="322" t="s">
        <v>190</v>
      </c>
      <c r="D17" s="322" t="s">
        <v>210</v>
      </c>
      <c r="E17" s="322" t="s">
        <v>211</v>
      </c>
      <c r="F17" s="322" t="s">
        <v>212</v>
      </c>
      <c r="G17" s="323">
        <v>6723966</v>
      </c>
      <c r="H17" s="222" t="s">
        <v>197</v>
      </c>
      <c r="I17" s="354" t="s">
        <v>721</v>
      </c>
      <c r="J17" s="333" t="s">
        <v>565</v>
      </c>
      <c r="K17" s="398">
        <v>44928</v>
      </c>
      <c r="L17" s="31" t="str">
        <f ca="1">DATEDIF(K17,TODAY(),"Y")&amp;" Años "&amp;DATEDIF(K17,TODAY(),"YM")&amp;" Meses "&amp;DATEDIF(K17,TODAY(),"MD")&amp;" Dias "</f>
        <v xml:space="preserve">2 Años 11 Meses 16 Dias </v>
      </c>
    </row>
    <row r="18" spans="1:12" ht="13.5" customHeight="1">
      <c r="A18" s="31">
        <v>3</v>
      </c>
      <c r="B18" s="43" t="s">
        <v>229</v>
      </c>
      <c r="C18" s="322" t="s">
        <v>566</v>
      </c>
      <c r="D18" s="322" t="s">
        <v>248</v>
      </c>
      <c r="E18" s="322" t="s">
        <v>567</v>
      </c>
      <c r="F18" s="322" t="s">
        <v>250</v>
      </c>
      <c r="G18" s="323">
        <v>5961519</v>
      </c>
      <c r="H18" s="222" t="s">
        <v>203</v>
      </c>
      <c r="I18" s="323" t="s">
        <v>568</v>
      </c>
      <c r="J18" s="333" t="s">
        <v>565</v>
      </c>
      <c r="K18" s="397">
        <v>44809</v>
      </c>
      <c r="L18" s="31" t="str">
        <f t="shared" ca="1" si="0"/>
        <v xml:space="preserve">3 Años 3 Meses 13 Dias </v>
      </c>
    </row>
    <row r="19" spans="1:12" ht="13.5" customHeight="1">
      <c r="A19" s="480" t="s">
        <v>581</v>
      </c>
      <c r="B19" s="481"/>
      <c r="C19" s="481"/>
      <c r="D19" s="481"/>
      <c r="E19" s="481"/>
      <c r="F19" s="481"/>
      <c r="G19" s="481"/>
      <c r="H19" s="481"/>
      <c r="I19" s="481"/>
      <c r="J19" s="481"/>
      <c r="K19" s="481"/>
      <c r="L19" s="482"/>
    </row>
    <row r="20" spans="1:12" ht="13.5" customHeight="1">
      <c r="A20" s="31">
        <v>4</v>
      </c>
      <c r="B20" s="322" t="s">
        <v>209</v>
      </c>
      <c r="C20" s="322" t="s">
        <v>213</v>
      </c>
      <c r="D20" s="322" t="s">
        <v>214</v>
      </c>
      <c r="E20" s="322" t="s">
        <v>215</v>
      </c>
      <c r="F20" s="322" t="s">
        <v>216</v>
      </c>
      <c r="G20" s="323">
        <v>6812457</v>
      </c>
      <c r="H20" s="222" t="s">
        <v>203</v>
      </c>
      <c r="I20" s="354" t="s">
        <v>682</v>
      </c>
      <c r="J20" s="333" t="s">
        <v>571</v>
      </c>
      <c r="K20" s="397">
        <v>44568</v>
      </c>
      <c r="L20" s="31" t="str">
        <f t="shared" ca="1" si="0"/>
        <v xml:space="preserve">3 Años 11 Meses 11 Dias </v>
      </c>
    </row>
    <row r="21" spans="1:12" ht="19.899999999999999" customHeight="1">
      <c r="A21" s="31">
        <v>5</v>
      </c>
      <c r="B21" s="43" t="s">
        <v>217</v>
      </c>
      <c r="C21" s="43" t="s">
        <v>218</v>
      </c>
      <c r="D21" s="43" t="s">
        <v>219</v>
      </c>
      <c r="E21" s="43" t="s">
        <v>220</v>
      </c>
      <c r="F21" s="43"/>
      <c r="G21" s="221">
        <v>6533292</v>
      </c>
      <c r="H21" s="244" t="s">
        <v>192</v>
      </c>
      <c r="I21" s="354" t="s">
        <v>687</v>
      </c>
      <c r="J21" s="333" t="s">
        <v>571</v>
      </c>
      <c r="K21" s="399">
        <v>45086</v>
      </c>
      <c r="L21" s="31" t="str">
        <f t="shared" ca="1" si="0"/>
        <v xml:space="preserve">2 Años 6 Meses 9 Dias </v>
      </c>
    </row>
    <row r="22" spans="1:12" ht="13.5" customHeight="1">
      <c r="A22" s="31">
        <v>6</v>
      </c>
      <c r="B22" s="43" t="s">
        <v>10</v>
      </c>
      <c r="C22" s="43" t="s">
        <v>194</v>
      </c>
      <c r="D22" s="43" t="s">
        <v>195</v>
      </c>
      <c r="E22" s="43" t="s">
        <v>196</v>
      </c>
      <c r="F22" s="43"/>
      <c r="G22" s="221">
        <v>7048396</v>
      </c>
      <c r="H22" s="244" t="s">
        <v>197</v>
      </c>
      <c r="I22" s="354" t="s">
        <v>367</v>
      </c>
      <c r="J22" s="333" t="s">
        <v>571</v>
      </c>
      <c r="K22" s="399">
        <v>45230</v>
      </c>
      <c r="L22" s="31" t="str">
        <f t="shared" ca="1" si="0"/>
        <v xml:space="preserve">2 Años 1 Meses 17 Dias </v>
      </c>
    </row>
    <row r="23" spans="1:12" ht="21" customHeight="1">
      <c r="A23" s="31">
        <v>7</v>
      </c>
      <c r="B23" s="43" t="s">
        <v>229</v>
      </c>
      <c r="C23" s="43" t="s">
        <v>230</v>
      </c>
      <c r="D23" s="43" t="s">
        <v>231</v>
      </c>
      <c r="E23" s="43" t="s">
        <v>232</v>
      </c>
      <c r="F23" s="43" t="s">
        <v>233</v>
      </c>
      <c r="G23" s="221">
        <v>6100797</v>
      </c>
      <c r="H23" s="43" t="s">
        <v>197</v>
      </c>
      <c r="I23" s="354" t="s">
        <v>641</v>
      </c>
      <c r="J23" s="333" t="s">
        <v>571</v>
      </c>
      <c r="K23" s="400">
        <v>45106</v>
      </c>
      <c r="L23" s="31" t="str">
        <f t="shared" ca="1" si="0"/>
        <v xml:space="preserve">2 Años 5 Meses 19 Dias </v>
      </c>
    </row>
    <row r="24" spans="1:12" ht="13.5" customHeight="1">
      <c r="A24" s="31">
        <v>8</v>
      </c>
      <c r="B24" s="43" t="s">
        <v>229</v>
      </c>
      <c r="C24" s="322" t="s">
        <v>231</v>
      </c>
      <c r="D24" s="322" t="s">
        <v>231</v>
      </c>
      <c r="E24" s="322" t="s">
        <v>245</v>
      </c>
      <c r="F24" s="322" t="s">
        <v>246</v>
      </c>
      <c r="G24" s="323">
        <v>4960106</v>
      </c>
      <c r="H24" s="222" t="s">
        <v>203</v>
      </c>
      <c r="I24" s="330" t="s">
        <v>572</v>
      </c>
      <c r="J24" s="333" t="s">
        <v>571</v>
      </c>
      <c r="K24" s="397">
        <v>41415</v>
      </c>
      <c r="L24" s="31" t="str">
        <f t="shared" ca="1" si="0"/>
        <v xml:space="preserve">12 Años 6 Meses 27 Dias </v>
      </c>
    </row>
    <row r="25" spans="1:12" ht="21" customHeight="1">
      <c r="A25" s="31">
        <v>9</v>
      </c>
      <c r="B25" s="322" t="s">
        <v>140</v>
      </c>
      <c r="C25" s="322" t="s">
        <v>645</v>
      </c>
      <c r="D25" s="322" t="s">
        <v>646</v>
      </c>
      <c r="E25" s="322" t="s">
        <v>647</v>
      </c>
      <c r="F25" s="322"/>
      <c r="G25" s="323">
        <v>4858431</v>
      </c>
      <c r="H25" s="222" t="s">
        <v>203</v>
      </c>
      <c r="I25" s="214" t="s">
        <v>685</v>
      </c>
      <c r="J25" s="333" t="s">
        <v>571</v>
      </c>
      <c r="K25" s="397">
        <v>45253</v>
      </c>
      <c r="L25" s="31" t="str">
        <f t="shared" ca="1" si="0"/>
        <v xml:space="preserve">2 Años 0 Meses 25 Dias </v>
      </c>
    </row>
    <row r="26" spans="1:12" ht="21.6" customHeight="1">
      <c r="A26" s="31">
        <v>10</v>
      </c>
      <c r="B26" s="43" t="s">
        <v>282</v>
      </c>
      <c r="C26" s="43" t="s">
        <v>283</v>
      </c>
      <c r="D26" s="43" t="s">
        <v>284</v>
      </c>
      <c r="E26" s="43" t="s">
        <v>285</v>
      </c>
      <c r="F26" s="43"/>
      <c r="G26" s="221">
        <v>5509843</v>
      </c>
      <c r="H26" s="244" t="s">
        <v>286</v>
      </c>
      <c r="I26" s="214" t="s">
        <v>683</v>
      </c>
      <c r="J26" s="333" t="s">
        <v>571</v>
      </c>
      <c r="K26" s="399">
        <v>45084</v>
      </c>
      <c r="L26" s="31" t="str">
        <f ca="1">DATEDIF(K26,TODAY(),"Y")&amp;" Años "&amp;DATEDIF(K26,TODAY(),"YM")&amp;" Meses "&amp;DATEDIF(K26,TODAY(),"MD")&amp;" Dias "</f>
        <v xml:space="preserve">2 Años 6 Meses 11 Dias </v>
      </c>
    </row>
    <row r="27" spans="1:12" ht="13.5" customHeight="1">
      <c r="A27" s="31">
        <v>11</v>
      </c>
      <c r="B27" s="322" t="s">
        <v>15</v>
      </c>
      <c r="C27" s="322" t="s">
        <v>287</v>
      </c>
      <c r="D27" s="322" t="s">
        <v>288</v>
      </c>
      <c r="E27" s="322" t="s">
        <v>289</v>
      </c>
      <c r="F27" s="322"/>
      <c r="G27" s="323">
        <v>7277873</v>
      </c>
      <c r="H27" s="222" t="s">
        <v>290</v>
      </c>
      <c r="I27" s="330" t="s">
        <v>723</v>
      </c>
      <c r="J27" s="333" t="s">
        <v>571</v>
      </c>
      <c r="K27" s="397">
        <v>43857</v>
      </c>
      <c r="L27" s="31" t="str">
        <f t="shared" ca="1" si="0"/>
        <v xml:space="preserve">5 Años 10 Meses 21 Dias </v>
      </c>
    </row>
    <row r="28" spans="1:12" ht="13.5" customHeight="1">
      <c r="A28" s="31">
        <v>12</v>
      </c>
      <c r="B28" s="322" t="s">
        <v>15</v>
      </c>
      <c r="C28" s="322" t="s">
        <v>297</v>
      </c>
      <c r="D28" s="322" t="s">
        <v>298</v>
      </c>
      <c r="E28" s="322" t="s">
        <v>299</v>
      </c>
      <c r="F28" s="322"/>
      <c r="G28" s="323">
        <v>7018817</v>
      </c>
      <c r="H28" s="222" t="s">
        <v>203</v>
      </c>
      <c r="I28" s="330" t="s">
        <v>640</v>
      </c>
      <c r="J28" s="333" t="s">
        <v>571</v>
      </c>
      <c r="K28" s="397">
        <v>43697</v>
      </c>
      <c r="L28" s="31" t="str">
        <f t="shared" ca="1" si="0"/>
        <v xml:space="preserve">6 Años 3 Meses 28 Dias </v>
      </c>
    </row>
    <row r="29" spans="1:12" ht="13.5" customHeight="1">
      <c r="A29" s="31">
        <v>13</v>
      </c>
      <c r="B29" s="322" t="s">
        <v>15</v>
      </c>
      <c r="C29" s="322" t="s">
        <v>300</v>
      </c>
      <c r="D29" s="322" t="s">
        <v>301</v>
      </c>
      <c r="E29" s="322" t="s">
        <v>302</v>
      </c>
      <c r="F29" s="322" t="s">
        <v>303</v>
      </c>
      <c r="G29" s="323">
        <v>7348148</v>
      </c>
      <c r="H29" s="222" t="s">
        <v>253</v>
      </c>
      <c r="I29" s="330" t="s">
        <v>673</v>
      </c>
      <c r="J29" s="333" t="s">
        <v>571</v>
      </c>
      <c r="K29" s="397">
        <v>44187</v>
      </c>
      <c r="L29" s="31" t="str">
        <f t="shared" ca="1" si="0"/>
        <v xml:space="preserve">4 Años 11 Meses 26 Dias </v>
      </c>
    </row>
    <row r="30" spans="1:12" ht="13.9" customHeight="1">
      <c r="A30" s="31">
        <v>14</v>
      </c>
      <c r="B30" s="322" t="s">
        <v>16</v>
      </c>
      <c r="C30" s="322" t="s">
        <v>305</v>
      </c>
      <c r="D30" s="322" t="s">
        <v>306</v>
      </c>
      <c r="E30" s="322" t="s">
        <v>307</v>
      </c>
      <c r="F30" s="322"/>
      <c r="G30" s="323">
        <v>7277293</v>
      </c>
      <c r="H30" s="222" t="s">
        <v>253</v>
      </c>
      <c r="I30" s="330" t="s">
        <v>574</v>
      </c>
      <c r="J30" s="333" t="s">
        <v>571</v>
      </c>
      <c r="K30" s="398">
        <v>44951</v>
      </c>
      <c r="L30" s="31" t="str">
        <f ca="1">DATEDIF(K30,TODAY(),"Y")&amp;" Años "&amp;DATEDIF(K30,TODAY(),"YM")&amp;" Meses "&amp;DATEDIF(K30,TODAY(),"MD")&amp;" Dias "</f>
        <v xml:space="preserve">2 Años 10 Meses 23 Dias </v>
      </c>
    </row>
    <row r="31" spans="1:12" ht="13.5" customHeight="1">
      <c r="A31" s="31">
        <v>15</v>
      </c>
      <c r="B31" s="43" t="s">
        <v>318</v>
      </c>
      <c r="C31" s="43" t="s">
        <v>319</v>
      </c>
      <c r="D31" s="43" t="s">
        <v>195</v>
      </c>
      <c r="E31" s="43" t="s">
        <v>320</v>
      </c>
      <c r="F31" s="43"/>
      <c r="G31" s="221">
        <v>8107648</v>
      </c>
      <c r="H31" s="244" t="s">
        <v>238</v>
      </c>
      <c r="I31" s="214" t="s">
        <v>683</v>
      </c>
      <c r="J31" s="333" t="s">
        <v>571</v>
      </c>
      <c r="K31" s="399">
        <v>45084</v>
      </c>
      <c r="L31" s="31" t="str">
        <f ca="1">DATEDIF(K31,TODAY(),"Y")&amp;" Años "&amp;DATEDIF(K31,TODAY(),"YM")&amp;" Meses "&amp;DATEDIF(K31,TODAY(),"MD")&amp;" Dias "</f>
        <v xml:space="preserve">2 Años 6 Meses 11 Dias </v>
      </c>
    </row>
    <row r="32" spans="1:12" ht="13.5" customHeight="1">
      <c r="A32" s="31">
        <v>16</v>
      </c>
      <c r="B32" s="322" t="s">
        <v>16</v>
      </c>
      <c r="C32" s="322" t="s">
        <v>309</v>
      </c>
      <c r="D32" s="322" t="s">
        <v>255</v>
      </c>
      <c r="E32" s="322" t="s">
        <v>575</v>
      </c>
      <c r="F32" s="322" t="s">
        <v>311</v>
      </c>
      <c r="G32" s="323">
        <v>7054084</v>
      </c>
      <c r="H32" s="222" t="s">
        <v>203</v>
      </c>
      <c r="I32" s="330" t="s">
        <v>577</v>
      </c>
      <c r="J32" s="333" t="s">
        <v>571</v>
      </c>
      <c r="K32" s="397">
        <v>44769</v>
      </c>
      <c r="L32" s="31" t="str">
        <f ca="1">DATEDIF(K32,TODAY(),"Y")&amp;" Años "&amp;DATEDIF(K32,TODAY(),"YM")&amp;" Meses "&amp;DATEDIF(K32,TODAY(),"MD")&amp;" Dias "</f>
        <v xml:space="preserve">3 Años 4 Meses 21 Dias </v>
      </c>
    </row>
    <row r="33" spans="1:12" ht="13.5" customHeight="1">
      <c r="A33" s="31">
        <v>17</v>
      </c>
      <c r="B33" s="322" t="s">
        <v>350</v>
      </c>
      <c r="C33" s="322" t="s">
        <v>351</v>
      </c>
      <c r="D33" s="322" t="s">
        <v>352</v>
      </c>
      <c r="E33" s="322" t="s">
        <v>310</v>
      </c>
      <c r="F33" s="322" t="s">
        <v>353</v>
      </c>
      <c r="G33" s="323">
        <v>6288269</v>
      </c>
      <c r="H33" s="222" t="s">
        <v>354</v>
      </c>
      <c r="I33" s="330" t="s">
        <v>373</v>
      </c>
      <c r="J33" s="333" t="s">
        <v>571</v>
      </c>
      <c r="K33" s="397">
        <v>44939</v>
      </c>
      <c r="L33" s="31" t="str">
        <f t="shared" ca="1" si="0"/>
        <v xml:space="preserve">2 Años 11 Meses 5 Dias </v>
      </c>
    </row>
    <row r="34" spans="1:12" ht="13.5" customHeight="1">
      <c r="A34" s="31">
        <v>18</v>
      </c>
      <c r="B34" s="322" t="s">
        <v>350</v>
      </c>
      <c r="C34" s="322" t="s">
        <v>276</v>
      </c>
      <c r="D34" s="322" t="s">
        <v>355</v>
      </c>
      <c r="E34" s="322" t="s">
        <v>356</v>
      </c>
      <c r="F34" s="322"/>
      <c r="G34" s="323">
        <v>9734078</v>
      </c>
      <c r="H34" s="222" t="s">
        <v>238</v>
      </c>
      <c r="I34" s="242" t="s">
        <v>680</v>
      </c>
      <c r="J34" s="333" t="s">
        <v>571</v>
      </c>
      <c r="K34" s="397">
        <v>44939</v>
      </c>
      <c r="L34" s="31" t="str">
        <f ca="1">DATEDIF(K34,TODAY(),"Y")&amp;" Años "&amp;DATEDIF(K34,TODAY(),"YM")&amp;" Meses "&amp;DATEDIF(K34,TODAY(),"MD")&amp;" Dias "</f>
        <v xml:space="preserve">2 Años 11 Meses 5 Dias </v>
      </c>
    </row>
    <row r="35" spans="1:12" ht="13.5" customHeight="1">
      <c r="A35" s="31">
        <v>19</v>
      </c>
      <c r="B35" s="322" t="s">
        <v>155</v>
      </c>
      <c r="C35" s="322" t="s">
        <v>361</v>
      </c>
      <c r="D35" s="322" t="s">
        <v>362</v>
      </c>
      <c r="E35" s="322" t="s">
        <v>363</v>
      </c>
      <c r="F35" s="322" t="s">
        <v>364</v>
      </c>
      <c r="G35" s="323">
        <v>1039546</v>
      </c>
      <c r="H35" s="222" t="s">
        <v>365</v>
      </c>
      <c r="I35" s="330" t="s">
        <v>576</v>
      </c>
      <c r="J35" s="333" t="s">
        <v>571</v>
      </c>
      <c r="K35" s="397">
        <v>44599</v>
      </c>
      <c r="L35" s="31" t="str">
        <f t="shared" ca="1" si="0"/>
        <v xml:space="preserve">3 Años 10 Meses 11 Dias </v>
      </c>
    </row>
    <row r="36" spans="1:12" ht="13.5" customHeight="1">
      <c r="A36" s="480" t="s">
        <v>580</v>
      </c>
      <c r="B36" s="481"/>
      <c r="C36" s="481"/>
      <c r="D36" s="481"/>
      <c r="E36" s="481"/>
      <c r="F36" s="481"/>
      <c r="G36" s="481"/>
      <c r="H36" s="481"/>
      <c r="I36" s="481"/>
      <c r="J36" s="481"/>
      <c r="K36" s="481"/>
      <c r="L36" s="482"/>
    </row>
    <row r="37" spans="1:12" ht="13.5" customHeight="1">
      <c r="A37" s="31">
        <v>20</v>
      </c>
      <c r="B37" s="43" t="s">
        <v>204</v>
      </c>
      <c r="C37" s="43" t="s">
        <v>205</v>
      </c>
      <c r="D37" s="43" t="s">
        <v>206</v>
      </c>
      <c r="E37" s="43" t="s">
        <v>207</v>
      </c>
      <c r="F37" s="43" t="s">
        <v>208</v>
      </c>
      <c r="G37" s="221">
        <v>5307964</v>
      </c>
      <c r="H37" s="244" t="s">
        <v>192</v>
      </c>
      <c r="I37" s="354" t="s">
        <v>660</v>
      </c>
      <c r="J37" s="350" t="s">
        <v>563</v>
      </c>
      <c r="K37" s="399">
        <v>45084</v>
      </c>
      <c r="L37" s="31" t="str">
        <f t="shared" ca="1" si="0"/>
        <v xml:space="preserve">2 Años 6 Meses 11 Dias </v>
      </c>
    </row>
    <row r="38" spans="1:12" ht="19.149999999999999" customHeight="1">
      <c r="A38" s="31">
        <v>21</v>
      </c>
      <c r="B38" s="43" t="s">
        <v>217</v>
      </c>
      <c r="C38" s="43" t="s">
        <v>221</v>
      </c>
      <c r="D38" s="43" t="s">
        <v>221</v>
      </c>
      <c r="E38" s="43" t="s">
        <v>222</v>
      </c>
      <c r="F38" s="43"/>
      <c r="G38" s="221">
        <v>8446415</v>
      </c>
      <c r="H38" s="244" t="s">
        <v>197</v>
      </c>
      <c r="I38" s="354" t="s">
        <v>366</v>
      </c>
      <c r="J38" s="350" t="s">
        <v>563</v>
      </c>
      <c r="K38" s="399">
        <v>45085</v>
      </c>
      <c r="L38" s="31" t="str">
        <f t="shared" ca="1" si="0"/>
        <v xml:space="preserve">2 Años 6 Meses 10 Dias </v>
      </c>
    </row>
    <row r="39" spans="1:12" ht="14.25" customHeight="1">
      <c r="A39" s="31">
        <v>22</v>
      </c>
      <c r="B39" s="43" t="s">
        <v>224</v>
      </c>
      <c r="C39" s="192" t="s">
        <v>703</v>
      </c>
      <c r="D39" s="192" t="s">
        <v>254</v>
      </c>
      <c r="E39" s="192" t="s">
        <v>299</v>
      </c>
      <c r="F39" s="192"/>
      <c r="G39" s="340">
        <v>3511766</v>
      </c>
      <c r="H39" s="197" t="s">
        <v>253</v>
      </c>
      <c r="I39" s="323" t="s">
        <v>369</v>
      </c>
      <c r="J39" s="350" t="s">
        <v>563</v>
      </c>
      <c r="K39" s="399">
        <v>45392</v>
      </c>
      <c r="L39" s="31" t="str">
        <f t="shared" ca="1" si="0"/>
        <v xml:space="preserve">1 Años 8 Meses 8 Dias </v>
      </c>
    </row>
    <row r="40" spans="1:12" ht="13.5" customHeight="1">
      <c r="A40" s="31">
        <v>23</v>
      </c>
      <c r="B40" s="43" t="s">
        <v>224</v>
      </c>
      <c r="C40" s="43" t="s">
        <v>225</v>
      </c>
      <c r="D40" s="43" t="s">
        <v>226</v>
      </c>
      <c r="E40" s="43" t="s">
        <v>227</v>
      </c>
      <c r="F40" s="43" t="s">
        <v>228</v>
      </c>
      <c r="G40" s="221">
        <v>4298597</v>
      </c>
      <c r="H40" s="244" t="s">
        <v>197</v>
      </c>
      <c r="I40" s="242" t="s">
        <v>368</v>
      </c>
      <c r="J40" s="350" t="s">
        <v>563</v>
      </c>
      <c r="K40" s="399">
        <v>45084</v>
      </c>
      <c r="L40" s="31" t="str">
        <f t="shared" ca="1" si="0"/>
        <v xml:space="preserve">2 Años 6 Meses 11 Dias </v>
      </c>
    </row>
    <row r="41" spans="1:12" ht="13.5" customHeight="1">
      <c r="A41" s="31">
        <v>24</v>
      </c>
      <c r="B41" s="43" t="s">
        <v>257</v>
      </c>
      <c r="C41" s="43" t="s">
        <v>260</v>
      </c>
      <c r="D41" s="43" t="s">
        <v>261</v>
      </c>
      <c r="E41" s="43" t="s">
        <v>262</v>
      </c>
      <c r="F41" s="43" t="s">
        <v>263</v>
      </c>
      <c r="G41" s="221">
        <v>5337931</v>
      </c>
      <c r="H41" s="244" t="s">
        <v>238</v>
      </c>
      <c r="I41" s="323" t="s">
        <v>369</v>
      </c>
      <c r="J41" s="350" t="s">
        <v>563</v>
      </c>
      <c r="K41" s="399">
        <v>45084</v>
      </c>
      <c r="L41" s="31" t="str">
        <f ca="1">DATEDIF(K41,TODAY(),"Y")&amp;" Años "&amp;DATEDIF(K41,TODAY(),"YM")&amp;" Meses "&amp;DATEDIF(K41,TODAY(),"MD")&amp;" Dias "</f>
        <v xml:space="preserve">2 Años 6 Meses 11 Dias </v>
      </c>
    </row>
    <row r="42" spans="1:12" ht="13.5" customHeight="1">
      <c r="A42" s="31">
        <v>25</v>
      </c>
      <c r="B42" s="43" t="s">
        <v>257</v>
      </c>
      <c r="C42" s="43" t="s">
        <v>258</v>
      </c>
      <c r="D42" s="43" t="s">
        <v>254</v>
      </c>
      <c r="E42" s="43" t="s">
        <v>259</v>
      </c>
      <c r="F42" s="43"/>
      <c r="G42" s="221">
        <v>4882914</v>
      </c>
      <c r="H42" s="244" t="s">
        <v>197</v>
      </c>
      <c r="I42" s="323" t="s">
        <v>369</v>
      </c>
      <c r="J42" s="350" t="s">
        <v>563</v>
      </c>
      <c r="K42" s="399">
        <v>45084</v>
      </c>
      <c r="L42" s="31" t="str">
        <f ca="1">DATEDIF(K42,TODAY(),"Y")&amp;" Años "&amp;DATEDIF(K42,TODAY(),"YM")&amp;" Meses "&amp;DATEDIF(K42,TODAY(),"MD")&amp;" Dias "</f>
        <v xml:space="preserve">2 Años 6 Meses 11 Dias </v>
      </c>
    </row>
    <row r="43" spans="1:12" ht="16.5" customHeight="1">
      <c r="A43" s="31">
        <v>26</v>
      </c>
      <c r="B43" s="43" t="s">
        <v>257</v>
      </c>
      <c r="C43" s="43" t="s">
        <v>657</v>
      </c>
      <c r="D43" s="43" t="s">
        <v>254</v>
      </c>
      <c r="E43" s="43" t="s">
        <v>658</v>
      </c>
      <c r="F43" s="43" t="s">
        <v>659</v>
      </c>
      <c r="G43" s="323">
        <v>4929511</v>
      </c>
      <c r="H43" s="222" t="s">
        <v>197</v>
      </c>
      <c r="I43" s="242" t="s">
        <v>368</v>
      </c>
      <c r="J43" s="350" t="s">
        <v>563</v>
      </c>
      <c r="K43" s="399">
        <v>45288</v>
      </c>
      <c r="L43" s="31" t="str">
        <f t="shared" ref="L43:L52" ca="1" si="1">DATEDIF(K43,TODAY(),"Y")&amp;" Años "&amp;DATEDIF(K43,TODAY(),"YM")&amp;" Meses "&amp;DATEDIF(K43,TODAY(),"MD")&amp;" Dias "</f>
        <v xml:space="preserve">1 Años 11 Meses 20 Dias </v>
      </c>
    </row>
    <row r="44" spans="1:12" ht="13.5" customHeight="1">
      <c r="A44" s="31">
        <v>27</v>
      </c>
      <c r="B44" s="43" t="s">
        <v>257</v>
      </c>
      <c r="C44" s="43" t="s">
        <v>254</v>
      </c>
      <c r="D44" s="43" t="s">
        <v>221</v>
      </c>
      <c r="E44" s="43" t="s">
        <v>264</v>
      </c>
      <c r="F44" s="43" t="s">
        <v>265</v>
      </c>
      <c r="G44" s="221">
        <v>6133994</v>
      </c>
      <c r="H44" s="244" t="s">
        <v>197</v>
      </c>
      <c r="I44" s="323" t="s">
        <v>639</v>
      </c>
      <c r="J44" s="350" t="s">
        <v>563</v>
      </c>
      <c r="K44" s="399">
        <v>45085</v>
      </c>
      <c r="L44" s="31" t="str">
        <f ca="1">DATEDIF(K44,TODAY(),"Y")&amp;" Años "&amp;DATEDIF(K44,TODAY(),"YM")&amp;" Meses "&amp;DATEDIF(K44,TODAY(),"MD")&amp;" Dias "</f>
        <v xml:space="preserve">2 Años 6 Meses 10 Dias </v>
      </c>
    </row>
    <row r="45" spans="1:12" ht="12.75" customHeight="1">
      <c r="A45" s="31">
        <v>28</v>
      </c>
      <c r="B45" s="43" t="s">
        <v>257</v>
      </c>
      <c r="C45" s="43" t="s">
        <v>266</v>
      </c>
      <c r="D45" s="43" t="s">
        <v>267</v>
      </c>
      <c r="E45" s="43" t="s">
        <v>268</v>
      </c>
      <c r="F45" s="43"/>
      <c r="G45" s="221">
        <v>5376613</v>
      </c>
      <c r="H45" s="244" t="s">
        <v>238</v>
      </c>
      <c r="I45" s="323" t="s">
        <v>369</v>
      </c>
      <c r="J45" s="350" t="s">
        <v>563</v>
      </c>
      <c r="K45" s="399">
        <v>45084</v>
      </c>
      <c r="L45" s="31" t="str">
        <f ca="1">DATEDIF(K45,TODAY(),"Y")&amp;" Años "&amp;DATEDIF(K45,TODAY(),"YM")&amp;" Meses "&amp;DATEDIF(K45,TODAY(),"MD")&amp;" Dias "</f>
        <v xml:space="preserve">2 Años 6 Meses 11 Dias </v>
      </c>
    </row>
    <row r="46" spans="1:12" ht="13.5" customHeight="1">
      <c r="A46" s="31">
        <v>29</v>
      </c>
      <c r="B46" s="43" t="s">
        <v>257</v>
      </c>
      <c r="C46" s="43" t="s">
        <v>276</v>
      </c>
      <c r="D46" s="43" t="s">
        <v>221</v>
      </c>
      <c r="E46" s="43" t="s">
        <v>277</v>
      </c>
      <c r="F46" s="81"/>
      <c r="G46" s="221">
        <v>6144234</v>
      </c>
      <c r="H46" s="244" t="s">
        <v>197</v>
      </c>
      <c r="I46" s="323" t="s">
        <v>369</v>
      </c>
      <c r="J46" s="350" t="s">
        <v>563</v>
      </c>
      <c r="K46" s="399">
        <v>45084</v>
      </c>
      <c r="L46" s="31" t="str">
        <f t="shared" ca="1" si="1"/>
        <v xml:space="preserve">2 Años 6 Meses 11 Dias </v>
      </c>
    </row>
    <row r="47" spans="1:12" ht="13.5" customHeight="1">
      <c r="A47" s="31">
        <v>30</v>
      </c>
      <c r="B47" s="43" t="s">
        <v>278</v>
      </c>
      <c r="C47" s="43" t="s">
        <v>279</v>
      </c>
      <c r="D47" s="43" t="s">
        <v>280</v>
      </c>
      <c r="E47" s="43" t="s">
        <v>281</v>
      </c>
      <c r="F47" s="43"/>
      <c r="G47" s="221">
        <v>4319305</v>
      </c>
      <c r="H47" s="244" t="s">
        <v>197</v>
      </c>
      <c r="I47" s="323" t="s">
        <v>369</v>
      </c>
      <c r="J47" s="350" t="s">
        <v>563</v>
      </c>
      <c r="K47" s="399">
        <v>45084</v>
      </c>
      <c r="L47" s="31" t="str">
        <f t="shared" ref="L47:L51" ca="1" si="2">DATEDIF(K47,TODAY(),"Y")&amp;" Años "&amp;DATEDIF(K47,TODAY(),"YM")&amp;" Meses "&amp;DATEDIF(K47,TODAY(),"MD")&amp;" Dias "</f>
        <v xml:space="preserve">2 Años 6 Meses 11 Dias </v>
      </c>
    </row>
    <row r="48" spans="1:12" ht="13.5" customHeight="1">
      <c r="A48" s="31">
        <v>31</v>
      </c>
      <c r="B48" s="43" t="s">
        <v>278</v>
      </c>
      <c r="C48" s="43" t="s">
        <v>291</v>
      </c>
      <c r="D48" s="43" t="s">
        <v>292</v>
      </c>
      <c r="E48" s="43" t="s">
        <v>293</v>
      </c>
      <c r="F48" s="43"/>
      <c r="G48" s="221">
        <v>6901662</v>
      </c>
      <c r="H48" s="244" t="s">
        <v>197</v>
      </c>
      <c r="I48" s="323" t="s">
        <v>369</v>
      </c>
      <c r="J48" s="350" t="s">
        <v>563</v>
      </c>
      <c r="K48" s="399">
        <v>45084</v>
      </c>
      <c r="L48" s="31" t="str">
        <f t="shared" ca="1" si="2"/>
        <v xml:space="preserve">2 Años 6 Meses 11 Dias </v>
      </c>
    </row>
    <row r="49" spans="1:12" ht="13.5" customHeight="1">
      <c r="A49" s="31">
        <v>32</v>
      </c>
      <c r="B49" s="43" t="s">
        <v>278</v>
      </c>
      <c r="C49" s="43" t="s">
        <v>294</v>
      </c>
      <c r="D49" s="43" t="s">
        <v>295</v>
      </c>
      <c r="E49" s="43" t="s">
        <v>285</v>
      </c>
      <c r="F49" s="43" t="s">
        <v>296</v>
      </c>
      <c r="G49" s="221">
        <v>6819455</v>
      </c>
      <c r="H49" s="244" t="s">
        <v>197</v>
      </c>
      <c r="I49" s="242" t="s">
        <v>368</v>
      </c>
      <c r="J49" s="350" t="s">
        <v>563</v>
      </c>
      <c r="K49" s="399">
        <v>45084</v>
      </c>
      <c r="L49" s="31" t="str">
        <f t="shared" ca="1" si="2"/>
        <v xml:space="preserve">2 Años 6 Meses 11 Dias </v>
      </c>
    </row>
    <row r="50" spans="1:12" ht="13.5" customHeight="1">
      <c r="A50" s="31">
        <v>33</v>
      </c>
      <c r="B50" s="43" t="s">
        <v>318</v>
      </c>
      <c r="C50" s="43" t="s">
        <v>267</v>
      </c>
      <c r="D50" s="43" t="s">
        <v>267</v>
      </c>
      <c r="E50" s="43" t="s">
        <v>329</v>
      </c>
      <c r="F50" s="43"/>
      <c r="G50" s="221">
        <v>7872668</v>
      </c>
      <c r="H50" s="244" t="s">
        <v>192</v>
      </c>
      <c r="I50" s="323" t="s">
        <v>369</v>
      </c>
      <c r="J50" s="350" t="s">
        <v>563</v>
      </c>
      <c r="K50" s="399">
        <v>45084</v>
      </c>
      <c r="L50" s="31" t="str">
        <f t="shared" ca="1" si="2"/>
        <v xml:space="preserve">2 Años 6 Meses 11 Dias </v>
      </c>
    </row>
    <row r="51" spans="1:12" ht="13.5" customHeight="1">
      <c r="A51" s="31">
        <v>34</v>
      </c>
      <c r="B51" s="43" t="s">
        <v>318</v>
      </c>
      <c r="C51" s="43" t="s">
        <v>323</v>
      </c>
      <c r="D51" s="43" t="s">
        <v>305</v>
      </c>
      <c r="E51" s="43" t="s">
        <v>324</v>
      </c>
      <c r="F51" s="43" t="s">
        <v>263</v>
      </c>
      <c r="G51" s="221">
        <v>8874169</v>
      </c>
      <c r="H51" s="244" t="s">
        <v>238</v>
      </c>
      <c r="I51" s="242" t="s">
        <v>368</v>
      </c>
      <c r="J51" s="350" t="s">
        <v>563</v>
      </c>
      <c r="K51" s="399">
        <v>45084</v>
      </c>
      <c r="L51" s="31" t="str">
        <f t="shared" ca="1" si="2"/>
        <v xml:space="preserve">2 Años 6 Meses 11 Dias </v>
      </c>
    </row>
    <row r="52" spans="1:12" ht="13.5" customHeight="1">
      <c r="A52" s="31">
        <v>35</v>
      </c>
      <c r="B52" s="43" t="s">
        <v>318</v>
      </c>
      <c r="C52" s="43" t="s">
        <v>321</v>
      </c>
      <c r="D52" s="43" t="s">
        <v>266</v>
      </c>
      <c r="E52" s="43" t="s">
        <v>322</v>
      </c>
      <c r="F52" s="43"/>
      <c r="G52" s="221">
        <v>6246772</v>
      </c>
      <c r="H52" s="244" t="s">
        <v>238</v>
      </c>
      <c r="I52" s="323" t="s">
        <v>369</v>
      </c>
      <c r="J52" s="350" t="s">
        <v>563</v>
      </c>
      <c r="K52" s="399">
        <v>45084</v>
      </c>
      <c r="L52" s="31" t="str">
        <f t="shared" ca="1" si="1"/>
        <v xml:space="preserve">2 Años 6 Meses 11 Dias </v>
      </c>
    </row>
    <row r="53" spans="1:12" ht="13.5" customHeight="1">
      <c r="A53" s="31">
        <v>36</v>
      </c>
      <c r="B53" s="43" t="s">
        <v>318</v>
      </c>
      <c r="C53" s="43" t="s">
        <v>325</v>
      </c>
      <c r="D53" s="43" t="s">
        <v>326</v>
      </c>
      <c r="E53" s="43" t="s">
        <v>327</v>
      </c>
      <c r="F53" s="43" t="s">
        <v>328</v>
      </c>
      <c r="G53" s="221">
        <v>7060385</v>
      </c>
      <c r="H53" s="244" t="s">
        <v>197</v>
      </c>
      <c r="I53" s="323" t="s">
        <v>369</v>
      </c>
      <c r="J53" s="350" t="s">
        <v>563</v>
      </c>
      <c r="K53" s="399">
        <v>45084</v>
      </c>
      <c r="L53" s="31" t="str">
        <f t="shared" ca="1" si="0"/>
        <v xml:space="preserve">2 Años 6 Meses 11 Dias </v>
      </c>
    </row>
    <row r="54" spans="1:12" ht="13.5" customHeight="1">
      <c r="A54" s="31">
        <v>37</v>
      </c>
      <c r="B54" s="43" t="s">
        <v>318</v>
      </c>
      <c r="C54" s="43" t="s">
        <v>330</v>
      </c>
      <c r="D54" s="43" t="s">
        <v>331</v>
      </c>
      <c r="E54" s="43" t="s">
        <v>223</v>
      </c>
      <c r="F54" s="43" t="s">
        <v>311</v>
      </c>
      <c r="G54" s="221">
        <v>8068393</v>
      </c>
      <c r="H54" s="244" t="s">
        <v>238</v>
      </c>
      <c r="I54" s="242" t="s">
        <v>368</v>
      </c>
      <c r="J54" s="350" t="s">
        <v>563</v>
      </c>
      <c r="K54" s="399">
        <v>45084</v>
      </c>
      <c r="L54" s="31" t="str">
        <f ca="1">DATEDIF(K54,TODAY(),"Y")&amp;" Años "&amp;DATEDIF(K54,TODAY(),"YM")&amp;" Meses "&amp;DATEDIF(K54,TODAY(),"MD")&amp;" Dias "</f>
        <v xml:space="preserve">2 Años 6 Meses 11 Dias </v>
      </c>
    </row>
    <row r="55" spans="1:12" ht="19.149999999999999" customHeight="1">
      <c r="A55" s="31">
        <v>38</v>
      </c>
      <c r="B55" s="322" t="s">
        <v>16</v>
      </c>
      <c r="C55" s="322" t="s">
        <v>312</v>
      </c>
      <c r="D55" s="322" t="s">
        <v>313</v>
      </c>
      <c r="E55" s="322" t="s">
        <v>314</v>
      </c>
      <c r="F55" s="322" t="s">
        <v>315</v>
      </c>
      <c r="G55" s="221">
        <v>8860109</v>
      </c>
      <c r="H55" s="244" t="s">
        <v>238</v>
      </c>
      <c r="I55" s="242" t="s">
        <v>368</v>
      </c>
      <c r="J55" s="350" t="s">
        <v>563</v>
      </c>
      <c r="K55" s="401">
        <v>45128</v>
      </c>
      <c r="L55" s="31" t="str">
        <f ca="1">DATEDIF(K55,TODAY(),"Y")&amp;" Años "&amp;DATEDIF(K55,TODAY(),"YM")&amp;" Meses "&amp;DATEDIF(K55,TODAY(),"MD")&amp;" Dias "</f>
        <v xml:space="preserve">2 Años 4 Meses 27 Dias </v>
      </c>
    </row>
    <row r="56" spans="1:12" ht="14.25" customHeight="1">
      <c r="A56" s="31">
        <v>39</v>
      </c>
      <c r="B56" s="322" t="s">
        <v>16</v>
      </c>
      <c r="C56" s="43" t="s">
        <v>692</v>
      </c>
      <c r="D56" s="43" t="s">
        <v>693</v>
      </c>
      <c r="E56" s="43" t="s">
        <v>694</v>
      </c>
      <c r="F56" s="192"/>
      <c r="G56" s="340">
        <v>8862207</v>
      </c>
      <c r="H56" s="192" t="s">
        <v>238</v>
      </c>
      <c r="I56" s="242" t="s">
        <v>368</v>
      </c>
      <c r="J56" s="350" t="s">
        <v>563</v>
      </c>
      <c r="K56" s="401">
        <v>45381</v>
      </c>
      <c r="L56" s="31" t="str">
        <f ca="1">DATEDIF(K56,TODAY(),"Y")&amp;" Años "&amp;DATEDIF(K56,TODAY(),"YM")&amp;" Meses "&amp;DATEDIF(K56,TODAY(),"MD")&amp;" Dias "</f>
        <v xml:space="preserve">1 Años 8 Meses 18 Dias </v>
      </c>
    </row>
    <row r="57" spans="1:12" ht="13.5" customHeight="1">
      <c r="A57" s="31">
        <v>40</v>
      </c>
      <c r="B57" s="43" t="s">
        <v>318</v>
      </c>
      <c r="C57" s="43" t="s">
        <v>333</v>
      </c>
      <c r="D57" s="43" t="s">
        <v>334</v>
      </c>
      <c r="E57" s="43" t="s">
        <v>263</v>
      </c>
      <c r="F57" s="43"/>
      <c r="G57" s="221">
        <v>9412003</v>
      </c>
      <c r="H57" s="244" t="s">
        <v>192</v>
      </c>
      <c r="I57" s="355" t="s">
        <v>639</v>
      </c>
      <c r="J57" s="350" t="s">
        <v>563</v>
      </c>
      <c r="K57" s="399">
        <v>45084</v>
      </c>
      <c r="L57" s="31" t="str">
        <f t="shared" ca="1" si="0"/>
        <v xml:space="preserve">2 Años 6 Meses 11 Dias </v>
      </c>
    </row>
    <row r="58" spans="1:12" ht="13.5" customHeight="1">
      <c r="A58" s="31">
        <v>41</v>
      </c>
      <c r="B58" s="43" t="s">
        <v>318</v>
      </c>
      <c r="C58" s="43" t="s">
        <v>199</v>
      </c>
      <c r="D58" s="43" t="s">
        <v>280</v>
      </c>
      <c r="E58" s="43" t="s">
        <v>335</v>
      </c>
      <c r="F58" s="43"/>
      <c r="G58" s="221">
        <v>9077468</v>
      </c>
      <c r="H58" s="244" t="s">
        <v>197</v>
      </c>
      <c r="I58" s="323" t="s">
        <v>686</v>
      </c>
      <c r="J58" s="350" t="s">
        <v>563</v>
      </c>
      <c r="K58" s="399">
        <v>45084</v>
      </c>
      <c r="L58" s="31" t="str">
        <f t="shared" ca="1" si="0"/>
        <v xml:space="preserve">2 Años 6 Meses 11 Dias </v>
      </c>
    </row>
    <row r="59" spans="1:12" ht="13.5" customHeight="1">
      <c r="A59" s="31">
        <v>42</v>
      </c>
      <c r="B59" s="43" t="s">
        <v>332</v>
      </c>
      <c r="C59" s="43" t="s">
        <v>336</v>
      </c>
      <c r="D59" s="43" t="s">
        <v>337</v>
      </c>
      <c r="E59" s="43" t="s">
        <v>338</v>
      </c>
      <c r="F59" s="43"/>
      <c r="G59" s="221">
        <v>9906086</v>
      </c>
      <c r="H59" s="244" t="s">
        <v>197</v>
      </c>
      <c r="I59" s="323" t="s">
        <v>686</v>
      </c>
      <c r="J59" s="350" t="s">
        <v>563</v>
      </c>
      <c r="K59" s="399">
        <v>45084</v>
      </c>
      <c r="L59" s="31" t="str">
        <f t="shared" ca="1" si="0"/>
        <v xml:space="preserve">2 Años 6 Meses 11 Dias </v>
      </c>
    </row>
    <row r="60" spans="1:12" ht="13.5" customHeight="1">
      <c r="A60" s="31">
        <v>43</v>
      </c>
      <c r="B60" s="43" t="s">
        <v>332</v>
      </c>
      <c r="C60" s="43" t="s">
        <v>339</v>
      </c>
      <c r="D60" s="43" t="s">
        <v>340</v>
      </c>
      <c r="E60" s="43" t="s">
        <v>341</v>
      </c>
      <c r="F60" s="43"/>
      <c r="G60" s="221">
        <v>12948856</v>
      </c>
      <c r="H60" s="244" t="s">
        <v>238</v>
      </c>
      <c r="I60" s="323" t="s">
        <v>369</v>
      </c>
      <c r="J60" s="350" t="s">
        <v>563</v>
      </c>
      <c r="K60" s="399">
        <v>45084</v>
      </c>
      <c r="L60" s="31" t="str">
        <f t="shared" ca="1" si="0"/>
        <v xml:space="preserve">2 Años 6 Meses 11 Dias </v>
      </c>
    </row>
    <row r="61" spans="1:12" ht="13.5" customHeight="1">
      <c r="A61" s="31">
        <v>44</v>
      </c>
      <c r="B61" s="43" t="s">
        <v>332</v>
      </c>
      <c r="C61" s="43" t="s">
        <v>342</v>
      </c>
      <c r="D61" s="43" t="s">
        <v>343</v>
      </c>
      <c r="E61" s="43" t="s">
        <v>344</v>
      </c>
      <c r="F61" s="43" t="s">
        <v>345</v>
      </c>
      <c r="G61" s="221">
        <v>9771998</v>
      </c>
      <c r="H61" s="244" t="s">
        <v>238</v>
      </c>
      <c r="I61" s="242" t="s">
        <v>368</v>
      </c>
      <c r="J61" s="350" t="s">
        <v>563</v>
      </c>
      <c r="K61" s="399">
        <v>45084</v>
      </c>
      <c r="L61" s="31" t="str">
        <f t="shared" ca="1" si="0"/>
        <v xml:space="preserve">2 Años 6 Meses 11 Dias </v>
      </c>
    </row>
    <row r="62" spans="1:12" ht="13.5" customHeight="1">
      <c r="A62" s="31">
        <v>45</v>
      </c>
      <c r="B62" s="43" t="s">
        <v>332</v>
      </c>
      <c r="C62" s="43" t="s">
        <v>346</v>
      </c>
      <c r="D62" s="43" t="s">
        <v>347</v>
      </c>
      <c r="E62" s="43" t="s">
        <v>348</v>
      </c>
      <c r="F62" s="43" t="s">
        <v>349</v>
      </c>
      <c r="G62" s="221">
        <v>8378545</v>
      </c>
      <c r="H62" s="244" t="s">
        <v>197</v>
      </c>
      <c r="I62" s="355" t="s">
        <v>639</v>
      </c>
      <c r="J62" s="350" t="s">
        <v>563</v>
      </c>
      <c r="K62" s="399">
        <v>45084</v>
      </c>
      <c r="L62" s="31" t="str">
        <f t="shared" ca="1" si="0"/>
        <v xml:space="preserve">2 Años 6 Meses 11 Dias </v>
      </c>
    </row>
    <row r="63" spans="1:12" ht="13.5" customHeight="1">
      <c r="A63" s="31">
        <v>46</v>
      </c>
      <c r="B63" s="322" t="s">
        <v>332</v>
      </c>
      <c r="C63" s="322" t="s">
        <v>357</v>
      </c>
      <c r="D63" s="322" t="s">
        <v>358</v>
      </c>
      <c r="E63" s="322" t="s">
        <v>359</v>
      </c>
      <c r="F63" s="322"/>
      <c r="G63" s="323">
        <v>4695759</v>
      </c>
      <c r="H63" s="222" t="s">
        <v>238</v>
      </c>
      <c r="I63" s="242" t="s">
        <v>377</v>
      </c>
      <c r="J63" s="350" t="s">
        <v>563</v>
      </c>
      <c r="K63" s="397">
        <v>45141</v>
      </c>
      <c r="L63" s="31" t="str">
        <f t="shared" ca="1" si="0"/>
        <v xml:space="preserve">2 Años 4 Meses 15 Dias </v>
      </c>
    </row>
    <row r="64" spans="1:12" ht="13.5" customHeight="1">
      <c r="A64" s="480" t="s">
        <v>579</v>
      </c>
      <c r="B64" s="481"/>
      <c r="C64" s="481"/>
      <c r="D64" s="481"/>
      <c r="E64" s="481"/>
      <c r="F64" s="481"/>
      <c r="G64" s="481"/>
      <c r="H64" s="481"/>
      <c r="I64" s="481"/>
      <c r="J64" s="481"/>
      <c r="K64" s="481"/>
      <c r="L64" s="482"/>
    </row>
    <row r="65" spans="1:17" ht="13.5" customHeight="1">
      <c r="A65" s="31">
        <v>47</v>
      </c>
      <c r="B65" s="43" t="s">
        <v>229</v>
      </c>
      <c r="C65" s="322" t="s">
        <v>569</v>
      </c>
      <c r="D65" s="322" t="s">
        <v>255</v>
      </c>
      <c r="E65" s="322" t="s">
        <v>256</v>
      </c>
      <c r="F65" s="322"/>
      <c r="G65" s="323">
        <v>4906861</v>
      </c>
      <c r="H65" s="222" t="s">
        <v>203</v>
      </c>
      <c r="I65" s="330" t="s">
        <v>638</v>
      </c>
      <c r="J65" s="356" t="s">
        <v>578</v>
      </c>
      <c r="K65" s="397">
        <v>44802</v>
      </c>
      <c r="L65" s="31" t="str">
        <f t="shared" ca="1" si="0"/>
        <v xml:space="preserve">3 Años 3 Meses 19 Dias </v>
      </c>
    </row>
    <row r="66" spans="1:17" ht="13.5" customHeight="1">
      <c r="B66" s="300"/>
      <c r="C66" s="236"/>
      <c r="D66" s="236"/>
      <c r="E66" s="236"/>
      <c r="F66" s="236"/>
      <c r="G66" s="301"/>
      <c r="H66" s="215"/>
      <c r="I66" s="300"/>
      <c r="J66" s="215"/>
      <c r="K66" s="402"/>
    </row>
    <row r="67" spans="1:17" ht="12" customHeight="1">
      <c r="A67" s="49" t="s">
        <v>656</v>
      </c>
      <c r="B67" s="49"/>
      <c r="C67" s="49"/>
      <c r="D67" s="49"/>
      <c r="E67" s="49"/>
      <c r="F67" s="49"/>
      <c r="G67" s="49"/>
      <c r="H67" s="49"/>
      <c r="I67" s="49"/>
      <c r="J67" s="49"/>
      <c r="K67" s="403"/>
      <c r="L67" s="49"/>
      <c r="M67" s="49"/>
      <c r="N67" s="49"/>
      <c r="O67" s="49"/>
      <c r="P67" s="182"/>
    </row>
    <row r="68" spans="1:17" ht="12" customHeight="1">
      <c r="A68" s="84" t="s">
        <v>611</v>
      </c>
      <c r="B68" s="84"/>
      <c r="C68" s="84"/>
      <c r="D68" s="84"/>
      <c r="E68" s="84"/>
      <c r="F68" s="84"/>
      <c r="G68" s="84"/>
      <c r="H68" s="84"/>
      <c r="I68" s="84"/>
      <c r="J68" s="84"/>
      <c r="K68" s="395"/>
      <c r="L68" s="84"/>
      <c r="M68" s="84"/>
      <c r="N68" s="84"/>
      <c r="O68" s="84"/>
      <c r="P68" s="186"/>
    </row>
    <row r="69" spans="1:17" ht="14.45" customHeight="1">
      <c r="A69" s="432" t="s">
        <v>689</v>
      </c>
      <c r="B69" s="433"/>
      <c r="C69" s="433"/>
      <c r="D69" s="433"/>
      <c r="E69" s="46"/>
      <c r="F69" s="47"/>
      <c r="G69" s="48"/>
      <c r="H69" s="47"/>
      <c r="I69" s="47"/>
      <c r="J69" s="47"/>
      <c r="K69" s="230"/>
      <c r="L69" s="47"/>
      <c r="M69" s="50"/>
      <c r="P69" s="11"/>
    </row>
    <row r="70" spans="1:17">
      <c r="A70" s="2"/>
      <c r="B70" s="2"/>
      <c r="C70" s="2"/>
      <c r="D70" s="2"/>
      <c r="E70" s="14"/>
      <c r="F70" s="14"/>
      <c r="G70" s="2"/>
      <c r="H70" s="5"/>
      <c r="I70" s="2"/>
      <c r="J70" s="2"/>
      <c r="K70" s="230"/>
    </row>
    <row r="71" spans="1:17">
      <c r="A71" s="2"/>
      <c r="B71" s="2"/>
      <c r="C71" s="2"/>
      <c r="D71" s="2"/>
      <c r="E71" s="14"/>
      <c r="F71" s="14"/>
      <c r="G71" s="2"/>
      <c r="H71" s="5"/>
      <c r="I71" s="2"/>
      <c r="J71" s="2"/>
      <c r="K71" s="230"/>
      <c r="L71" s="2"/>
      <c r="M71" s="2"/>
      <c r="N71" s="2"/>
      <c r="O71" s="2"/>
      <c r="P71" s="2"/>
      <c r="Q71" s="2"/>
    </row>
    <row r="72" spans="1:17">
      <c r="G72"/>
      <c r="L72" s="2"/>
      <c r="M72" s="2"/>
      <c r="N72" s="2"/>
      <c r="O72" s="2"/>
      <c r="P72" s="2"/>
      <c r="Q72" s="2"/>
    </row>
    <row r="73" spans="1:17">
      <c r="A73" s="51"/>
      <c r="E73" s="5"/>
      <c r="G73"/>
    </row>
    <row r="74" spans="1:17">
      <c r="A74" s="51"/>
      <c r="C74" s="441" t="s">
        <v>610</v>
      </c>
      <c r="D74" s="441"/>
      <c r="E74" s="441"/>
      <c r="F74" s="11"/>
      <c r="G74"/>
      <c r="J74" s="441" t="s">
        <v>690</v>
      </c>
      <c r="K74" s="441"/>
      <c r="L74" s="441"/>
    </row>
    <row r="75" spans="1:17">
      <c r="C75" s="431" t="s">
        <v>167</v>
      </c>
      <c r="D75" s="431"/>
      <c r="E75" s="431"/>
      <c r="F75" s="11"/>
      <c r="G75"/>
      <c r="J75" s="431" t="s">
        <v>691</v>
      </c>
      <c r="K75" s="431"/>
      <c r="L75" s="431"/>
    </row>
    <row r="76" spans="1:17">
      <c r="G76"/>
    </row>
  </sheetData>
  <mergeCells count="15">
    <mergeCell ref="A13:K13"/>
    <mergeCell ref="A69:D69"/>
    <mergeCell ref="C74:E74"/>
    <mergeCell ref="C75:E75"/>
    <mergeCell ref="A64:L64"/>
    <mergeCell ref="A36:L36"/>
    <mergeCell ref="A15:L15"/>
    <mergeCell ref="A19:L19"/>
    <mergeCell ref="J75:L75"/>
    <mergeCell ref="J74:L74"/>
    <mergeCell ref="A3:C3"/>
    <mergeCell ref="A4:C4"/>
    <mergeCell ref="A5:C5"/>
    <mergeCell ref="A6:C6"/>
    <mergeCell ref="A10:K10"/>
  </mergeCells>
  <conditionalFormatting sqref="G16">
    <cfRule type="duplicateValues" dxfId="25" priority="14"/>
  </conditionalFormatting>
  <conditionalFormatting sqref="G17">
    <cfRule type="duplicateValues" dxfId="24" priority="9"/>
  </conditionalFormatting>
  <conditionalFormatting sqref="G18">
    <cfRule type="duplicateValues" dxfId="23" priority="15"/>
  </conditionalFormatting>
  <conditionalFormatting sqref="G20">
    <cfRule type="duplicateValues" dxfId="22" priority="13"/>
  </conditionalFormatting>
  <conditionalFormatting sqref="G21:G22">
    <cfRule type="duplicateValues" dxfId="21" priority="8"/>
  </conditionalFormatting>
  <conditionalFormatting sqref="G24:G25">
    <cfRule type="duplicateValues" dxfId="20" priority="11"/>
  </conditionalFormatting>
  <conditionalFormatting sqref="G35 G23 G27:G30 G32:G33">
    <cfRule type="duplicateValues" dxfId="19" priority="10"/>
  </conditionalFormatting>
  <conditionalFormatting sqref="G39">
    <cfRule type="duplicateValues" dxfId="18" priority="1"/>
  </conditionalFormatting>
  <conditionalFormatting sqref="G51">
    <cfRule type="duplicateValues" dxfId="17" priority="12"/>
  </conditionalFormatting>
  <conditionalFormatting sqref="G55">
    <cfRule type="duplicateValues" dxfId="16" priority="182"/>
  </conditionalFormatting>
  <conditionalFormatting sqref="G57:G62 G26 G37 G44:G50 G52:G54 G31 G40:G42">
    <cfRule type="duplicateValues" dxfId="15" priority="207"/>
  </conditionalFormatting>
  <conditionalFormatting sqref="G63 G34 G38">
    <cfRule type="duplicateValues" dxfId="14" priority="195"/>
  </conditionalFormatting>
  <conditionalFormatting sqref="G65">
    <cfRule type="duplicateValues" dxfId="13" priority="2"/>
  </conditionalFormatting>
  <conditionalFormatting sqref="G66">
    <cfRule type="duplicateValues" dxfId="12" priority="23"/>
    <cfRule type="duplicateValues" dxfId="11" priority="181"/>
  </conditionalFormatting>
  <pageMargins left="0.43307086614173229" right="0.23622047244094491" top="0.35433070866141736" bottom="0.74803149606299213" header="0.31496062992125984" footer="0.31496062992125984"/>
  <pageSetup paperSize="5" scale="5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T35"/>
  <sheetViews>
    <sheetView view="pageBreakPreview" topLeftCell="A6" zoomScale="84" zoomScaleNormal="90" zoomScaleSheetLayoutView="84" workbookViewId="0">
      <selection activeCell="A12" sqref="A12:K12"/>
    </sheetView>
  </sheetViews>
  <sheetFormatPr baseColWidth="10" defaultColWidth="10.7109375" defaultRowHeight="15"/>
  <cols>
    <col min="1" max="1" width="4" customWidth="1"/>
    <col min="2" max="2" width="8.28515625" customWidth="1"/>
    <col min="3" max="3" width="9.140625" customWidth="1"/>
    <col min="4" max="4" width="8.5703125" customWidth="1"/>
    <col min="5" max="5" width="9.140625" customWidth="1"/>
    <col min="6" max="6" width="8.28515625" customWidth="1"/>
    <col min="7" max="7" width="8.5703125" customWidth="1"/>
    <col min="8" max="8" width="4.5703125" customWidth="1"/>
    <col min="9" max="9" width="9.85546875" customWidth="1"/>
    <col min="10" max="10" width="20.85546875" customWidth="1"/>
    <col min="11" max="11" width="11.85546875" bestFit="1" customWidth="1"/>
    <col min="12" max="12" width="10.7109375" customWidth="1"/>
    <col min="13" max="13" width="7.7109375" customWidth="1"/>
    <col min="14" max="14" width="18.7109375" customWidth="1"/>
    <col min="15" max="15" width="14.28515625" customWidth="1"/>
  </cols>
  <sheetData>
    <row r="1" spans="1:20">
      <c r="A1" s="1"/>
      <c r="B1" s="2"/>
      <c r="C1" s="2"/>
      <c r="D1" s="2"/>
      <c r="E1" s="2"/>
      <c r="F1" s="2"/>
      <c r="G1" s="2"/>
      <c r="H1" s="40"/>
      <c r="I1" s="30"/>
      <c r="J1" s="2"/>
      <c r="K1" s="2"/>
    </row>
    <row r="2" spans="1:20">
      <c r="A2" s="1"/>
      <c r="B2" s="2"/>
      <c r="C2" s="2"/>
      <c r="D2" s="2"/>
      <c r="E2" s="2"/>
      <c r="F2" s="2"/>
      <c r="G2" s="2"/>
      <c r="H2" s="40"/>
      <c r="I2" s="30"/>
      <c r="J2" s="2"/>
      <c r="K2" s="2"/>
    </row>
    <row r="3" spans="1:20" ht="10.5" customHeight="1">
      <c r="A3" s="10"/>
      <c r="B3" s="447" t="s">
        <v>1</v>
      </c>
      <c r="C3" s="447"/>
      <c r="D3" s="447"/>
      <c r="E3" s="2"/>
      <c r="F3" s="2"/>
      <c r="G3" s="2"/>
      <c r="H3" s="40"/>
      <c r="I3" s="30"/>
      <c r="J3" s="2"/>
      <c r="K3" s="2"/>
    </row>
    <row r="4" spans="1:20" ht="10.5" customHeight="1">
      <c r="A4" s="15"/>
      <c r="B4" s="446" t="s">
        <v>187</v>
      </c>
      <c r="C4" s="446"/>
      <c r="D4" s="446"/>
      <c r="E4" s="2"/>
      <c r="F4" s="2"/>
      <c r="G4" s="2"/>
      <c r="H4" s="40"/>
      <c r="I4" s="30"/>
      <c r="J4" s="2"/>
      <c r="K4" s="2"/>
    </row>
    <row r="5" spans="1:20" ht="10.5" customHeight="1">
      <c r="A5" s="9"/>
      <c r="B5" s="446" t="s">
        <v>633</v>
      </c>
      <c r="C5" s="446"/>
      <c r="D5" s="446"/>
      <c r="E5" s="21"/>
      <c r="F5" s="21"/>
      <c r="G5" s="21"/>
      <c r="H5" s="41"/>
      <c r="I5" s="25"/>
      <c r="J5" s="21"/>
      <c r="K5" s="25"/>
      <c r="N5" s="25" t="s">
        <v>120</v>
      </c>
    </row>
    <row r="6" spans="1:20" ht="10.5" customHeight="1">
      <c r="A6" s="8"/>
      <c r="B6" s="17"/>
      <c r="C6" s="17" t="s">
        <v>18</v>
      </c>
      <c r="D6" s="17"/>
      <c r="E6" s="2"/>
      <c r="F6" s="2"/>
      <c r="G6" s="2"/>
      <c r="H6" s="40"/>
      <c r="I6" s="30"/>
      <c r="J6" s="2"/>
      <c r="K6" s="2"/>
    </row>
    <row r="7" spans="1:20" ht="15.75">
      <c r="A7" s="472" t="s">
        <v>80</v>
      </c>
      <c r="B7" s="472"/>
      <c r="C7" s="472"/>
      <c r="D7" s="472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</row>
    <row r="8" spans="1:20" ht="15.75">
      <c r="A8" s="472" t="s">
        <v>82</v>
      </c>
      <c r="B8" s="472"/>
      <c r="C8" s="472"/>
      <c r="D8" s="472"/>
      <c r="E8" s="472"/>
      <c r="F8" s="472"/>
      <c r="G8" s="472"/>
      <c r="H8" s="472"/>
      <c r="I8" s="472"/>
      <c r="J8" s="472"/>
      <c r="K8" s="472"/>
      <c r="L8" s="472"/>
      <c r="M8" s="472"/>
      <c r="N8" s="472"/>
      <c r="O8" s="472"/>
    </row>
    <row r="9" spans="1:20" ht="15.75">
      <c r="A9" s="472" t="s">
        <v>83</v>
      </c>
      <c r="B9" s="472"/>
      <c r="C9" s="472"/>
      <c r="D9" s="472"/>
      <c r="E9" s="472"/>
      <c r="F9" s="472"/>
      <c r="G9" s="472"/>
      <c r="H9" s="472"/>
      <c r="I9" s="472"/>
      <c r="J9" s="472"/>
      <c r="K9" s="472"/>
      <c r="L9" s="472"/>
      <c r="M9" s="472"/>
      <c r="N9" s="472"/>
      <c r="O9" s="472"/>
    </row>
    <row r="10" spans="1:20" ht="9.75" customHeight="1"/>
    <row r="11" spans="1:20" ht="9.75" customHeight="1">
      <c r="A11" s="127" t="s">
        <v>625</v>
      </c>
      <c r="B11" s="127"/>
      <c r="C11" s="127"/>
      <c r="D11" s="127"/>
      <c r="E11" s="127"/>
      <c r="F11" s="127"/>
      <c r="G11" s="127"/>
      <c r="H11" s="127"/>
      <c r="I11" s="127"/>
      <c r="J11" s="20"/>
      <c r="K11" s="127"/>
      <c r="L11" s="127"/>
    </row>
    <row r="12" spans="1:20" s="99" customFormat="1" ht="15" customHeight="1" thickBot="1">
      <c r="A12" s="436" t="s">
        <v>724</v>
      </c>
      <c r="B12" s="436"/>
      <c r="C12" s="436"/>
      <c r="D12" s="436"/>
      <c r="E12" s="436"/>
      <c r="F12" s="436"/>
      <c r="G12" s="436"/>
      <c r="H12" s="436"/>
      <c r="I12" s="436"/>
      <c r="J12" s="436"/>
      <c r="K12" s="436"/>
      <c r="L12" s="189"/>
    </row>
    <row r="13" spans="1:20" ht="16.5" thickBot="1">
      <c r="A13" s="483" t="s">
        <v>84</v>
      </c>
      <c r="B13" s="483"/>
      <c r="C13" s="483"/>
      <c r="D13" s="483"/>
      <c r="E13" s="483"/>
      <c r="F13" s="483"/>
      <c r="G13" s="483"/>
      <c r="H13" s="483"/>
      <c r="I13" s="483"/>
      <c r="J13" s="483"/>
      <c r="K13" s="483"/>
      <c r="L13" s="483"/>
      <c r="M13" s="483"/>
      <c r="N13" s="483"/>
      <c r="O13" s="483"/>
      <c r="Q13" s="166"/>
      <c r="R13" s="166"/>
      <c r="S13" s="166"/>
      <c r="T13" s="166"/>
    </row>
    <row r="14" spans="1:20" ht="34.5" thickBot="1">
      <c r="A14" s="123" t="s">
        <v>72</v>
      </c>
      <c r="B14" s="122" t="s">
        <v>38</v>
      </c>
      <c r="C14" s="122" t="s">
        <v>96</v>
      </c>
      <c r="D14" s="122" t="s">
        <v>87</v>
      </c>
      <c r="E14" s="122" t="s">
        <v>88</v>
      </c>
      <c r="F14" s="122" t="s">
        <v>89</v>
      </c>
      <c r="G14" s="122" t="s">
        <v>43</v>
      </c>
      <c r="H14" s="122" t="s">
        <v>90</v>
      </c>
      <c r="I14" s="122" t="s">
        <v>91</v>
      </c>
      <c r="J14" s="122" t="s">
        <v>92</v>
      </c>
      <c r="K14" s="122" t="s">
        <v>85</v>
      </c>
      <c r="L14" s="122" t="s">
        <v>86</v>
      </c>
      <c r="M14" s="122" t="s">
        <v>93</v>
      </c>
      <c r="N14" s="122" t="s">
        <v>94</v>
      </c>
      <c r="O14" s="122" t="s">
        <v>95</v>
      </c>
      <c r="P14" s="166"/>
      <c r="Q14" s="166"/>
      <c r="R14" s="166"/>
      <c r="S14" s="166"/>
      <c r="T14" s="166"/>
    </row>
    <row r="15" spans="1:20" ht="13.5" customHeight="1">
      <c r="A15" s="75"/>
      <c r="B15" s="76"/>
      <c r="C15" s="76"/>
      <c r="D15" s="76"/>
      <c r="E15" s="76"/>
      <c r="F15" s="76"/>
      <c r="G15" s="76"/>
      <c r="H15" s="76"/>
      <c r="I15" s="77"/>
      <c r="J15" s="76"/>
      <c r="K15" s="78"/>
      <c r="L15" s="79"/>
      <c r="M15" s="78"/>
      <c r="N15" s="56"/>
      <c r="O15" s="57"/>
    </row>
    <row r="16" spans="1:20" ht="13.5" customHeight="1">
      <c r="A16" s="80"/>
      <c r="B16" s="59"/>
      <c r="C16" s="59"/>
      <c r="D16" s="59"/>
      <c r="E16" s="59"/>
      <c r="F16" s="59"/>
      <c r="G16" s="59"/>
      <c r="H16" s="59"/>
      <c r="I16" s="60"/>
      <c r="J16" s="59"/>
      <c r="K16" s="61"/>
      <c r="L16" s="62"/>
      <c r="M16" s="61"/>
      <c r="N16" s="43"/>
      <c r="O16" s="58"/>
    </row>
    <row r="17" spans="1:16" ht="13.5" customHeight="1">
      <c r="A17" s="80"/>
      <c r="B17" s="59"/>
      <c r="C17" s="59"/>
      <c r="D17" s="59"/>
      <c r="E17" s="59"/>
      <c r="F17" s="59"/>
      <c r="G17" s="59"/>
      <c r="H17" s="59"/>
      <c r="I17" s="60"/>
      <c r="J17" s="59"/>
      <c r="K17" s="61"/>
      <c r="L17" s="62"/>
      <c r="M17" s="61"/>
      <c r="N17" s="43"/>
      <c r="O17" s="58"/>
    </row>
    <row r="18" spans="1:16" ht="13.5" customHeight="1">
      <c r="A18" s="81"/>
      <c r="B18" s="81"/>
      <c r="C18" s="81"/>
      <c r="D18" s="81"/>
      <c r="E18" s="81"/>
      <c r="F18" s="81"/>
      <c r="G18" s="94"/>
      <c r="H18" s="81"/>
      <c r="I18" s="92"/>
      <c r="J18" s="81"/>
      <c r="K18" s="93"/>
      <c r="L18" s="81"/>
      <c r="M18" s="93"/>
      <c r="N18" s="93"/>
      <c r="O18" s="93"/>
    </row>
    <row r="19" spans="1:16" ht="16.5" thickBot="1">
      <c r="A19" s="483" t="s">
        <v>97</v>
      </c>
      <c r="B19" s="483"/>
      <c r="C19" s="483"/>
      <c r="D19" s="483"/>
      <c r="E19" s="483"/>
      <c r="F19" s="483"/>
      <c r="G19" s="483"/>
      <c r="H19" s="483"/>
      <c r="I19" s="483"/>
      <c r="J19" s="483"/>
      <c r="K19" s="483"/>
      <c r="L19" s="483"/>
      <c r="M19" s="483"/>
      <c r="N19" s="483"/>
    </row>
    <row r="20" spans="1:16" ht="34.5" thickBot="1">
      <c r="A20" s="122" t="s">
        <v>72</v>
      </c>
      <c r="B20" s="122" t="s">
        <v>38</v>
      </c>
      <c r="C20" s="122" t="s">
        <v>96</v>
      </c>
      <c r="D20" s="122" t="s">
        <v>87</v>
      </c>
      <c r="E20" s="122" t="s">
        <v>88</v>
      </c>
      <c r="F20" s="122" t="s">
        <v>89</v>
      </c>
      <c r="G20" s="122" t="s">
        <v>43</v>
      </c>
      <c r="H20" s="122" t="s">
        <v>90</v>
      </c>
      <c r="I20" s="122" t="s">
        <v>98</v>
      </c>
      <c r="J20" s="122" t="s">
        <v>92</v>
      </c>
      <c r="K20" s="122" t="s">
        <v>99</v>
      </c>
      <c r="L20" s="122" t="s">
        <v>86</v>
      </c>
      <c r="M20" s="122" t="s">
        <v>94</v>
      </c>
      <c r="N20" s="122" t="s">
        <v>95</v>
      </c>
    </row>
    <row r="21" spans="1:16" ht="13.5" customHeight="1">
      <c r="A21" s="86"/>
      <c r="B21" s="87"/>
      <c r="C21" s="87"/>
      <c r="D21" s="87"/>
      <c r="E21" s="87"/>
      <c r="F21" s="87"/>
      <c r="G21" s="87"/>
      <c r="H21" s="87"/>
      <c r="I21" s="88"/>
      <c r="J21" s="87"/>
      <c r="K21" s="87"/>
      <c r="L21" s="87"/>
      <c r="M21" s="87"/>
      <c r="N21" s="89"/>
    </row>
    <row r="22" spans="1:16" ht="13.5" customHeight="1">
      <c r="A22" s="90"/>
      <c r="B22" s="26"/>
      <c r="C22" s="26"/>
      <c r="D22" s="26"/>
      <c r="E22" s="26"/>
      <c r="F22" s="26"/>
      <c r="G22" s="26"/>
      <c r="H22" s="26"/>
      <c r="I22" s="85"/>
      <c r="J22" s="26"/>
      <c r="K22" s="26"/>
      <c r="L22" s="26"/>
      <c r="M22" s="26"/>
      <c r="N22" s="91"/>
    </row>
    <row r="23" spans="1:16" ht="13.5" customHeight="1">
      <c r="A23" s="90"/>
      <c r="B23" s="26"/>
      <c r="C23" s="26"/>
      <c r="D23" s="26"/>
      <c r="E23" s="26"/>
      <c r="F23" s="26"/>
      <c r="G23" s="26"/>
      <c r="H23" s="26"/>
      <c r="I23" s="85"/>
      <c r="J23" s="26"/>
      <c r="K23" s="26"/>
      <c r="L23" s="26"/>
      <c r="M23" s="26"/>
      <c r="N23" s="91"/>
    </row>
    <row r="24" spans="1:16" ht="13.5" customHeight="1">
      <c r="A24" s="90"/>
      <c r="B24" s="26"/>
      <c r="C24" s="26"/>
      <c r="D24" s="26"/>
      <c r="E24" s="26"/>
      <c r="F24" s="26"/>
      <c r="G24" s="26"/>
      <c r="H24" s="26"/>
      <c r="I24" s="85"/>
      <c r="J24" s="26"/>
      <c r="K24" s="26"/>
      <c r="L24" s="26"/>
      <c r="M24" s="26"/>
      <c r="N24" s="91"/>
    </row>
    <row r="26" spans="1:16">
      <c r="L26" s="49"/>
    </row>
    <row r="27" spans="1:16" ht="12" customHeight="1">
      <c r="A27" s="49" t="s">
        <v>656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182"/>
    </row>
    <row r="28" spans="1:16" ht="12" customHeight="1">
      <c r="A28" s="84" t="s">
        <v>611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186"/>
    </row>
    <row r="29" spans="1:16" ht="14.45" customHeight="1">
      <c r="A29" s="432" t="s">
        <v>689</v>
      </c>
      <c r="B29" s="433"/>
      <c r="C29" s="433"/>
      <c r="D29" s="433"/>
      <c r="E29" s="46"/>
      <c r="F29" s="47"/>
      <c r="G29" s="48"/>
      <c r="H29" s="47"/>
      <c r="I29" s="47"/>
      <c r="J29" s="47"/>
      <c r="K29" s="48"/>
      <c r="L29" s="47"/>
      <c r="M29" s="50"/>
      <c r="P29" s="11"/>
    </row>
    <row r="30" spans="1:16">
      <c r="A30" s="2"/>
      <c r="B30" s="2"/>
      <c r="C30" s="2"/>
      <c r="D30" s="2"/>
      <c r="E30" s="14"/>
      <c r="F30" s="14"/>
      <c r="G30" s="2"/>
      <c r="H30" s="5"/>
      <c r="I30" s="2"/>
      <c r="J30" s="2"/>
      <c r="K30" s="2"/>
    </row>
    <row r="31" spans="1:16">
      <c r="A31" s="2"/>
      <c r="B31" s="2"/>
      <c r="C31" s="2"/>
      <c r="D31" s="2"/>
      <c r="E31" s="14"/>
      <c r="F31" s="14"/>
      <c r="G31" s="2"/>
      <c r="H31" s="5"/>
      <c r="I31" s="2"/>
      <c r="J31" s="2"/>
      <c r="K31" s="2"/>
      <c r="L31" s="2"/>
      <c r="M31" s="2"/>
    </row>
    <row r="32" spans="1:16">
      <c r="L32" s="13"/>
      <c r="M32" s="2"/>
    </row>
    <row r="33" spans="1:14">
      <c r="A33" s="51"/>
      <c r="E33" s="5"/>
    </row>
    <row r="34" spans="1:14">
      <c r="A34" s="51"/>
      <c r="D34" s="441" t="s">
        <v>610</v>
      </c>
      <c r="E34" s="441"/>
      <c r="F34" s="441"/>
      <c r="G34" s="441"/>
      <c r="K34" s="441" t="s">
        <v>690</v>
      </c>
      <c r="L34" s="441"/>
      <c r="M34" s="441"/>
      <c r="N34" s="441"/>
    </row>
    <row r="35" spans="1:14">
      <c r="D35" s="431" t="s">
        <v>167</v>
      </c>
      <c r="E35" s="431"/>
      <c r="F35" s="431"/>
      <c r="G35" s="431"/>
      <c r="K35" s="431" t="s">
        <v>691</v>
      </c>
      <c r="L35" s="431"/>
      <c r="M35" s="431"/>
      <c r="N35" s="431"/>
    </row>
  </sheetData>
  <mergeCells count="14">
    <mergeCell ref="D34:G34"/>
    <mergeCell ref="D35:G35"/>
    <mergeCell ref="K35:N35"/>
    <mergeCell ref="K34:N34"/>
    <mergeCell ref="A29:D29"/>
    <mergeCell ref="B3:D3"/>
    <mergeCell ref="B4:D4"/>
    <mergeCell ref="B5:D5"/>
    <mergeCell ref="A19:N19"/>
    <mergeCell ref="A13:O13"/>
    <mergeCell ref="A8:O8"/>
    <mergeCell ref="A7:O7"/>
    <mergeCell ref="A9:O9"/>
    <mergeCell ref="A12:K12"/>
  </mergeCells>
  <phoneticPr fontId="30" type="noConversion"/>
  <conditionalFormatting sqref="G21:G24">
    <cfRule type="duplicateValues" dxfId="10" priority="71"/>
  </conditionalFormatting>
  <pageMargins left="0.41" right="0.23622047244094491" top="0.48" bottom="0.74803149606299213" header="0.31496062992125984" footer="0.31496062992125984"/>
  <pageSetup paperSize="5" scale="9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5"/>
  <sheetViews>
    <sheetView view="pageBreakPreview" zoomScale="91" zoomScaleNormal="100" zoomScaleSheetLayoutView="91" workbookViewId="0">
      <selection activeCell="A12" sqref="A12:K12"/>
    </sheetView>
  </sheetViews>
  <sheetFormatPr baseColWidth="10" defaultColWidth="10.7109375" defaultRowHeight="15"/>
  <cols>
    <col min="1" max="1" width="5" customWidth="1"/>
    <col min="2" max="2" width="10.85546875" customWidth="1"/>
    <col min="3" max="3" width="11.28515625" customWidth="1"/>
    <col min="7" max="7" width="8.28515625" customWidth="1"/>
    <col min="8" max="8" width="5.85546875" customWidth="1"/>
    <col min="9" max="9" width="9.7109375" customWidth="1"/>
    <col min="10" max="10" width="36.28515625" customWidth="1"/>
    <col min="11" max="11" width="9.7109375" customWidth="1"/>
    <col min="12" max="12" width="12.42578125" customWidth="1"/>
    <col min="13" max="13" width="38.85546875" customWidth="1"/>
  </cols>
  <sheetData>
    <row r="1" spans="1:14">
      <c r="A1" s="1" t="s">
        <v>0</v>
      </c>
      <c r="B1" s="2"/>
      <c r="C1" s="2"/>
      <c r="D1" s="2"/>
      <c r="E1" s="2"/>
      <c r="F1" s="2"/>
      <c r="G1" s="40"/>
      <c r="H1" s="40"/>
      <c r="I1" s="30"/>
      <c r="J1" s="2"/>
      <c r="K1" s="30"/>
    </row>
    <row r="2" spans="1:14" ht="12.75" customHeight="1">
      <c r="A2" s="1"/>
      <c r="B2" s="2"/>
      <c r="C2" s="2"/>
      <c r="D2" s="2"/>
      <c r="E2" s="2"/>
      <c r="F2" s="2"/>
      <c r="G2" s="40"/>
      <c r="H2" s="40"/>
      <c r="I2" s="30"/>
      <c r="J2" s="2"/>
      <c r="K2" s="30"/>
    </row>
    <row r="3" spans="1:14">
      <c r="A3" s="10"/>
      <c r="B3" s="447" t="s">
        <v>1</v>
      </c>
      <c r="C3" s="447"/>
      <c r="D3" s="447"/>
      <c r="E3" s="2"/>
      <c r="F3" s="2"/>
      <c r="G3" s="40"/>
      <c r="H3" s="40"/>
      <c r="I3" s="30"/>
      <c r="J3" s="2"/>
      <c r="K3" s="30"/>
    </row>
    <row r="4" spans="1:14" ht="10.5" customHeight="1">
      <c r="A4" s="9"/>
      <c r="B4" s="446" t="s">
        <v>187</v>
      </c>
      <c r="C4" s="446"/>
      <c r="D4" s="446"/>
      <c r="E4" s="21"/>
      <c r="F4" s="21"/>
      <c r="G4" s="41"/>
      <c r="H4" s="41"/>
      <c r="I4" s="25"/>
      <c r="J4" s="21"/>
      <c r="K4" s="25"/>
      <c r="M4" s="25" t="s">
        <v>103</v>
      </c>
    </row>
    <row r="5" spans="1:14" ht="9.75" customHeight="1">
      <c r="A5" s="16"/>
      <c r="B5" s="446" t="s">
        <v>633</v>
      </c>
      <c r="C5" s="446"/>
      <c r="D5" s="446"/>
      <c r="E5" s="21"/>
      <c r="F5" s="21"/>
      <c r="G5" s="41"/>
      <c r="H5" s="41"/>
      <c r="I5" s="25"/>
      <c r="J5" s="21"/>
      <c r="K5" s="25"/>
      <c r="M5" s="25"/>
    </row>
    <row r="6" spans="1:14" ht="9.75" customHeight="1">
      <c r="A6" s="16"/>
      <c r="B6" s="17"/>
      <c r="C6" s="17" t="s">
        <v>18</v>
      </c>
      <c r="D6" s="17"/>
      <c r="E6" s="21"/>
      <c r="F6" s="21"/>
      <c r="G6" s="41"/>
      <c r="H6" s="41"/>
      <c r="I6" s="25"/>
      <c r="J6" s="21"/>
      <c r="K6" s="25"/>
      <c r="M6" s="25"/>
    </row>
    <row r="7" spans="1:14" s="173" customFormat="1" ht="6" customHeight="1">
      <c r="A7" s="484"/>
      <c r="B7" s="484"/>
      <c r="C7" s="484"/>
      <c r="D7" s="484"/>
      <c r="E7" s="170"/>
      <c r="F7" s="170"/>
      <c r="G7" s="171"/>
      <c r="H7" s="171"/>
      <c r="I7" s="172"/>
      <c r="J7" s="170"/>
      <c r="K7" s="172"/>
    </row>
    <row r="8" spans="1:14" s="173" customFormat="1" ht="15.75">
      <c r="A8" s="472" t="s">
        <v>80</v>
      </c>
      <c r="B8" s="472"/>
      <c r="C8" s="472"/>
      <c r="D8" s="472"/>
      <c r="E8" s="472"/>
      <c r="F8" s="472"/>
      <c r="G8" s="472"/>
      <c r="H8" s="472"/>
      <c r="I8" s="472"/>
      <c r="J8" s="472"/>
      <c r="K8" s="472"/>
      <c r="L8" s="472"/>
      <c r="M8" s="472"/>
    </row>
    <row r="9" spans="1:14" s="173" customFormat="1" ht="15.75">
      <c r="A9" s="472" t="s">
        <v>147</v>
      </c>
      <c r="B9" s="472"/>
      <c r="C9" s="472"/>
      <c r="D9" s="472"/>
      <c r="E9" s="472"/>
      <c r="F9" s="472"/>
      <c r="G9" s="472"/>
      <c r="H9" s="472"/>
      <c r="I9" s="472"/>
      <c r="J9" s="472"/>
      <c r="K9" s="472"/>
      <c r="L9" s="472"/>
      <c r="M9" s="472"/>
    </row>
    <row r="10" spans="1:14" s="174" customFormat="1" ht="13.5" customHeight="1">
      <c r="G10" s="175"/>
      <c r="K10" s="176"/>
    </row>
    <row r="11" spans="1:14" s="174" customFormat="1" ht="14.25">
      <c r="A11" s="20" t="s">
        <v>626</v>
      </c>
      <c r="B11" s="20"/>
      <c r="C11" s="20"/>
      <c r="D11" s="20"/>
      <c r="E11" s="20"/>
      <c r="F11" s="20"/>
      <c r="G11" s="20"/>
      <c r="H11" s="20"/>
      <c r="I11" s="20"/>
      <c r="J11" s="177"/>
      <c r="K11" s="177"/>
      <c r="L11" s="177"/>
      <c r="M11" s="177"/>
    </row>
    <row r="12" spans="1:14" s="174" customFormat="1" ht="15" customHeight="1" thickBot="1">
      <c r="A12" s="436" t="s">
        <v>724</v>
      </c>
      <c r="B12" s="436"/>
      <c r="C12" s="436"/>
      <c r="D12" s="436"/>
      <c r="E12" s="436"/>
      <c r="F12" s="436"/>
      <c r="G12" s="436"/>
      <c r="H12" s="436"/>
      <c r="I12" s="436"/>
      <c r="J12" s="436"/>
      <c r="K12" s="436"/>
      <c r="L12" s="189"/>
    </row>
    <row r="13" spans="1:14" ht="24">
      <c r="A13" s="302" t="s">
        <v>37</v>
      </c>
      <c r="B13" s="302" t="s">
        <v>38</v>
      </c>
      <c r="C13" s="302" t="s">
        <v>39</v>
      </c>
      <c r="D13" s="302" t="s">
        <v>40</v>
      </c>
      <c r="E13" s="302" t="s">
        <v>41</v>
      </c>
      <c r="F13" s="302" t="s">
        <v>42</v>
      </c>
      <c r="G13" s="302" t="s">
        <v>43</v>
      </c>
      <c r="H13" s="302" t="s">
        <v>44</v>
      </c>
      <c r="I13" s="302" t="s">
        <v>143</v>
      </c>
      <c r="J13" s="302" t="s">
        <v>138</v>
      </c>
      <c r="K13" s="302" t="s">
        <v>100</v>
      </c>
      <c r="L13" s="302" t="s">
        <v>101</v>
      </c>
      <c r="M13" s="302" t="s">
        <v>102</v>
      </c>
    </row>
    <row r="14" spans="1:14" s="393" customFormat="1" ht="15" customHeight="1">
      <c r="A14" s="353">
        <v>1</v>
      </c>
      <c r="B14" s="198" t="s">
        <v>198</v>
      </c>
      <c r="C14" s="198" t="s">
        <v>199</v>
      </c>
      <c r="D14" s="198" t="s">
        <v>200</v>
      </c>
      <c r="E14" s="198" t="s">
        <v>201</v>
      </c>
      <c r="F14" s="198" t="s">
        <v>202</v>
      </c>
      <c r="G14" s="331">
        <v>4781937</v>
      </c>
      <c r="H14" s="332" t="s">
        <v>203</v>
      </c>
      <c r="I14" s="418" t="s">
        <v>706</v>
      </c>
      <c r="J14" s="419" t="s">
        <v>565</v>
      </c>
      <c r="K14" s="338">
        <v>45394</v>
      </c>
      <c r="L14" s="338">
        <v>45427</v>
      </c>
      <c r="M14" s="405" t="s">
        <v>674</v>
      </c>
      <c r="N14" s="392"/>
    </row>
    <row r="15" spans="1:14" s="393" customFormat="1" ht="15" customHeight="1">
      <c r="A15" s="353">
        <v>2</v>
      </c>
      <c r="B15" s="198" t="s">
        <v>15</v>
      </c>
      <c r="C15" s="198" t="s">
        <v>287</v>
      </c>
      <c r="D15" s="198" t="s">
        <v>288</v>
      </c>
      <c r="E15" s="198" t="s">
        <v>289</v>
      </c>
      <c r="F15" s="198"/>
      <c r="G15" s="331">
        <v>7277873</v>
      </c>
      <c r="H15" s="332" t="s">
        <v>290</v>
      </c>
      <c r="I15" s="418" t="s">
        <v>707</v>
      </c>
      <c r="J15" s="419" t="s">
        <v>571</v>
      </c>
      <c r="K15" s="338">
        <v>45378</v>
      </c>
      <c r="L15" s="338">
        <v>45421</v>
      </c>
      <c r="M15" s="421" t="s">
        <v>668</v>
      </c>
      <c r="N15" s="392"/>
    </row>
    <row r="16" spans="1:14" s="393" customFormat="1" ht="15" customHeight="1">
      <c r="A16" s="353">
        <v>3</v>
      </c>
      <c r="B16" s="192" t="s">
        <v>318</v>
      </c>
      <c r="C16" s="192" t="s">
        <v>199</v>
      </c>
      <c r="D16" s="192" t="s">
        <v>280</v>
      </c>
      <c r="E16" s="192" t="s">
        <v>335</v>
      </c>
      <c r="F16" s="192"/>
      <c r="G16" s="341">
        <v>9077468</v>
      </c>
      <c r="H16" s="197" t="s">
        <v>197</v>
      </c>
      <c r="I16" s="418" t="s">
        <v>708</v>
      </c>
      <c r="J16" s="420" t="s">
        <v>563</v>
      </c>
      <c r="K16" s="338">
        <v>45397</v>
      </c>
      <c r="L16" s="338">
        <v>45432</v>
      </c>
      <c r="M16" s="421" t="s">
        <v>668</v>
      </c>
      <c r="N16" s="392"/>
    </row>
    <row r="17" spans="1:16">
      <c r="A17" s="353">
        <v>4</v>
      </c>
      <c r="B17" s="192" t="s">
        <v>332</v>
      </c>
      <c r="C17" s="192" t="s">
        <v>336</v>
      </c>
      <c r="D17" s="192" t="s">
        <v>337</v>
      </c>
      <c r="E17" s="192" t="s">
        <v>338</v>
      </c>
      <c r="F17" s="192"/>
      <c r="G17" s="341">
        <v>9906086</v>
      </c>
      <c r="H17" s="197" t="s">
        <v>197</v>
      </c>
      <c r="I17" s="418" t="s">
        <v>709</v>
      </c>
      <c r="J17" s="420" t="s">
        <v>563</v>
      </c>
      <c r="K17" s="338">
        <v>45401</v>
      </c>
      <c r="L17" s="338">
        <v>45427</v>
      </c>
      <c r="M17" s="421" t="s">
        <v>668</v>
      </c>
    </row>
    <row r="18" spans="1:16" ht="12" customHeight="1">
      <c r="A18" s="49" t="s">
        <v>656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182"/>
    </row>
    <row r="19" spans="1:16" ht="12" customHeight="1">
      <c r="A19" s="84" t="s">
        <v>611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186"/>
    </row>
    <row r="20" spans="1:16" ht="14.45" customHeight="1">
      <c r="A20" s="432" t="s">
        <v>689</v>
      </c>
      <c r="B20" s="433"/>
      <c r="C20" s="433"/>
      <c r="D20" s="433"/>
      <c r="E20" s="46"/>
      <c r="F20" s="47"/>
      <c r="G20" s="48"/>
      <c r="H20" s="47"/>
      <c r="I20" s="47"/>
      <c r="J20" s="47"/>
      <c r="K20" s="48"/>
      <c r="L20" s="47"/>
      <c r="M20" s="50"/>
      <c r="P20" s="11"/>
    </row>
    <row r="21" spans="1:16">
      <c r="A21" s="2"/>
    </row>
    <row r="22" spans="1:16">
      <c r="A22" s="2"/>
    </row>
    <row r="23" spans="1:16">
      <c r="D23" s="441" t="s">
        <v>610</v>
      </c>
      <c r="E23" s="441"/>
      <c r="F23" s="441"/>
      <c r="G23" s="11"/>
      <c r="J23" s="441" t="s">
        <v>690</v>
      </c>
      <c r="K23" s="441"/>
      <c r="L23" s="441"/>
    </row>
    <row r="24" spans="1:16">
      <c r="A24" s="51"/>
      <c r="D24" s="431" t="s">
        <v>167</v>
      </c>
      <c r="E24" s="431"/>
      <c r="F24" s="431"/>
      <c r="G24" s="11"/>
      <c r="J24" s="431" t="s">
        <v>691</v>
      </c>
      <c r="K24" s="431"/>
      <c r="L24" s="431"/>
    </row>
    <row r="25" spans="1:16">
      <c r="A25" s="51"/>
    </row>
  </sheetData>
  <mergeCells count="12">
    <mergeCell ref="J23:L23"/>
    <mergeCell ref="J24:L24"/>
    <mergeCell ref="A7:D7"/>
    <mergeCell ref="A8:M8"/>
    <mergeCell ref="A9:M9"/>
    <mergeCell ref="A12:K12"/>
    <mergeCell ref="A20:D20"/>
    <mergeCell ref="B3:D3"/>
    <mergeCell ref="B4:D4"/>
    <mergeCell ref="B5:D5"/>
    <mergeCell ref="D23:F23"/>
    <mergeCell ref="D24:F24"/>
  </mergeCells>
  <phoneticPr fontId="30" type="noConversion"/>
  <conditionalFormatting sqref="G14">
    <cfRule type="duplicateValues" dxfId="9" priority="4"/>
  </conditionalFormatting>
  <conditionalFormatting sqref="G15">
    <cfRule type="duplicateValues" dxfId="8" priority="3"/>
  </conditionalFormatting>
  <conditionalFormatting sqref="G16">
    <cfRule type="duplicateValues" dxfId="7" priority="2"/>
  </conditionalFormatting>
  <conditionalFormatting sqref="G17">
    <cfRule type="duplicateValues" dxfId="6" priority="1"/>
  </conditionalFormatting>
  <pageMargins left="0.25" right="0.25" top="0.75" bottom="0.75" header="0.3" footer="0.3"/>
  <pageSetup paperSize="256" scale="73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P27"/>
  <sheetViews>
    <sheetView view="pageBreakPreview" topLeftCell="A7" zoomScale="91" zoomScaleNormal="90" zoomScaleSheetLayoutView="91" workbookViewId="0">
      <selection activeCell="A12" sqref="A12:K12"/>
    </sheetView>
  </sheetViews>
  <sheetFormatPr baseColWidth="10" defaultColWidth="10.7109375" defaultRowHeight="15"/>
  <cols>
    <col min="1" max="1" width="5.28515625" customWidth="1"/>
    <col min="2" max="2" width="10.5703125" customWidth="1"/>
    <col min="5" max="5" width="10" customWidth="1"/>
    <col min="7" max="7" width="9.7109375" style="11" customWidth="1"/>
    <col min="8" max="8" width="5.85546875" style="11" customWidth="1"/>
    <col min="9" max="9" width="12.28515625" style="11" customWidth="1"/>
    <col min="10" max="10" width="30.5703125" customWidth="1"/>
    <col min="11" max="11" width="24.140625" customWidth="1"/>
    <col min="12" max="12" width="39.85546875" customWidth="1"/>
  </cols>
  <sheetData>
    <row r="1" spans="1:12">
      <c r="A1" s="1" t="s">
        <v>0</v>
      </c>
      <c r="B1" s="2"/>
      <c r="C1" s="2"/>
      <c r="D1" s="2"/>
      <c r="E1" s="2"/>
      <c r="F1" s="2"/>
      <c r="G1" s="5"/>
      <c r="H1" s="5"/>
      <c r="I1" s="5"/>
      <c r="J1" s="2"/>
      <c r="K1" s="2"/>
    </row>
    <row r="2" spans="1:12">
      <c r="A2" s="1"/>
      <c r="B2" s="2"/>
      <c r="C2" s="2"/>
      <c r="D2" s="2"/>
      <c r="E2" s="2"/>
      <c r="F2" s="2"/>
      <c r="G2" s="5"/>
      <c r="H2" s="5"/>
      <c r="I2" s="5"/>
      <c r="J2" s="2"/>
      <c r="K2" s="2"/>
    </row>
    <row r="3" spans="1:12" ht="10.5" customHeight="1">
      <c r="A3" s="10"/>
      <c r="B3" s="447" t="s">
        <v>1</v>
      </c>
      <c r="C3" s="447"/>
      <c r="D3" s="447"/>
      <c r="E3" s="2"/>
      <c r="F3" s="2"/>
      <c r="G3" s="5"/>
      <c r="H3" s="5"/>
      <c r="I3" s="5"/>
      <c r="J3" s="2"/>
      <c r="K3" s="2"/>
    </row>
    <row r="4" spans="1:12" ht="10.5" customHeight="1">
      <c r="A4" s="9"/>
      <c r="B4" s="446" t="s">
        <v>187</v>
      </c>
      <c r="C4" s="446"/>
      <c r="D4" s="446"/>
      <c r="E4" s="21"/>
      <c r="F4" s="21"/>
      <c r="G4" s="22"/>
      <c r="H4" s="22"/>
      <c r="I4" s="22"/>
      <c r="J4" s="21"/>
      <c r="K4" s="439" t="s">
        <v>121</v>
      </c>
      <c r="L4" s="439"/>
    </row>
    <row r="5" spans="1:12" ht="10.5" customHeight="1">
      <c r="A5" s="16"/>
      <c r="B5" s="446" t="s">
        <v>633</v>
      </c>
      <c r="C5" s="446"/>
      <c r="D5" s="446"/>
      <c r="E5" s="21"/>
      <c r="F5" s="21"/>
      <c r="G5" s="22"/>
      <c r="H5" s="22"/>
      <c r="I5" s="22"/>
      <c r="J5" s="21"/>
      <c r="K5" s="25"/>
      <c r="L5" s="25"/>
    </row>
    <row r="6" spans="1:12" ht="10.5" customHeight="1">
      <c r="A6" s="16"/>
      <c r="B6" s="17"/>
      <c r="C6" s="17" t="s">
        <v>18</v>
      </c>
      <c r="D6" s="17"/>
      <c r="E6" s="21"/>
      <c r="F6" s="21"/>
      <c r="G6" s="22"/>
      <c r="H6" s="22"/>
      <c r="I6" s="22"/>
      <c r="J6" s="21"/>
      <c r="K6" s="25"/>
      <c r="L6" s="25"/>
    </row>
    <row r="7" spans="1:12" ht="10.5" customHeight="1">
      <c r="A7" s="8"/>
      <c r="B7" s="2"/>
      <c r="C7" s="2"/>
      <c r="D7" s="2"/>
      <c r="E7" s="2"/>
      <c r="F7" s="2"/>
      <c r="G7" s="5"/>
      <c r="H7" s="5"/>
      <c r="I7" s="5"/>
      <c r="J7" s="2"/>
      <c r="K7" s="2"/>
    </row>
    <row r="8" spans="1:12" ht="15.75">
      <c r="A8" s="472" t="s">
        <v>80</v>
      </c>
      <c r="B8" s="472"/>
      <c r="C8" s="472"/>
      <c r="D8" s="472"/>
      <c r="E8" s="472"/>
      <c r="F8" s="472"/>
      <c r="G8" s="472"/>
      <c r="H8" s="472"/>
      <c r="I8" s="472"/>
      <c r="J8" s="472"/>
      <c r="K8" s="472"/>
      <c r="L8" s="472"/>
    </row>
    <row r="9" spans="1:12" ht="15.75">
      <c r="A9" s="483" t="s">
        <v>104</v>
      </c>
      <c r="B9" s="483"/>
      <c r="C9" s="483"/>
      <c r="D9" s="483"/>
      <c r="E9" s="483"/>
      <c r="F9" s="483"/>
      <c r="G9" s="483"/>
      <c r="H9" s="483"/>
      <c r="I9" s="483"/>
      <c r="J9" s="483"/>
      <c r="K9" s="483"/>
      <c r="L9" s="483"/>
    </row>
    <row r="11" spans="1:12">
      <c r="A11" s="435" t="s">
        <v>627</v>
      </c>
      <c r="B11" s="435"/>
      <c r="C11" s="435"/>
      <c r="D11" s="435"/>
      <c r="E11" s="435"/>
      <c r="F11" s="435"/>
      <c r="G11" s="435"/>
      <c r="H11" s="435"/>
      <c r="I11" s="435"/>
      <c r="J11" s="435"/>
      <c r="K11" s="435"/>
      <c r="L11" s="435"/>
    </row>
    <row r="12" spans="1:12" s="99" customFormat="1" ht="15.75" customHeight="1" thickBot="1">
      <c r="A12" s="436" t="s">
        <v>724</v>
      </c>
      <c r="B12" s="436"/>
      <c r="C12" s="436"/>
      <c r="D12" s="436"/>
      <c r="E12" s="436"/>
      <c r="F12" s="436"/>
      <c r="G12" s="436"/>
      <c r="H12" s="436"/>
      <c r="I12" s="436"/>
      <c r="J12" s="436"/>
      <c r="K12" s="436"/>
      <c r="L12" s="127"/>
    </row>
    <row r="13" spans="1:12" ht="22.5">
      <c r="A13" s="407" t="s">
        <v>72</v>
      </c>
      <c r="B13" s="407" t="s">
        <v>38</v>
      </c>
      <c r="C13" s="407" t="s">
        <v>39</v>
      </c>
      <c r="D13" s="407" t="s">
        <v>40</v>
      </c>
      <c r="E13" s="407" t="s">
        <v>49</v>
      </c>
      <c r="F13" s="407" t="s">
        <v>56</v>
      </c>
      <c r="G13" s="407" t="s">
        <v>43</v>
      </c>
      <c r="H13" s="407" t="s">
        <v>44</v>
      </c>
      <c r="I13" s="407" t="s">
        <v>105</v>
      </c>
      <c r="J13" s="407" t="s">
        <v>106</v>
      </c>
      <c r="K13" s="415" t="s">
        <v>107</v>
      </c>
      <c r="L13" s="416" t="s">
        <v>108</v>
      </c>
    </row>
    <row r="14" spans="1:12">
      <c r="A14" s="414">
        <v>1</v>
      </c>
      <c r="B14" s="43" t="s">
        <v>217</v>
      </c>
      <c r="C14" s="43" t="s">
        <v>189</v>
      </c>
      <c r="D14" s="43" t="s">
        <v>190</v>
      </c>
      <c r="E14" s="43" t="s">
        <v>191</v>
      </c>
      <c r="F14" s="43"/>
      <c r="G14" s="413">
        <v>7958173</v>
      </c>
      <c r="H14" s="244" t="s">
        <v>192</v>
      </c>
      <c r="I14" s="417">
        <v>45350</v>
      </c>
      <c r="J14" s="355" t="s">
        <v>676</v>
      </c>
      <c r="K14" s="355" t="s">
        <v>677</v>
      </c>
      <c r="L14" s="412" t="s">
        <v>674</v>
      </c>
    </row>
    <row r="15" spans="1:12" ht="15.95" customHeight="1">
      <c r="A15" s="414">
        <v>2</v>
      </c>
      <c r="B15" s="408" t="s">
        <v>234</v>
      </c>
      <c r="C15" s="408" t="s">
        <v>235</v>
      </c>
      <c r="D15" s="408" t="s">
        <v>236</v>
      </c>
      <c r="E15" s="408" t="s">
        <v>237</v>
      </c>
      <c r="F15" s="408" t="s">
        <v>223</v>
      </c>
      <c r="G15" s="409">
        <v>5391699</v>
      </c>
      <c r="H15" s="410" t="s">
        <v>238</v>
      </c>
      <c r="I15" s="376">
        <v>45316</v>
      </c>
      <c r="J15" s="411" t="s">
        <v>369</v>
      </c>
      <c r="K15" s="377" t="s">
        <v>675</v>
      </c>
      <c r="L15" s="412" t="s">
        <v>674</v>
      </c>
    </row>
    <row r="16" spans="1:12" ht="15.95" customHeight="1">
      <c r="A16" s="414">
        <v>3</v>
      </c>
      <c r="B16" s="192" t="s">
        <v>239</v>
      </c>
      <c r="C16" s="192" t="s">
        <v>240</v>
      </c>
      <c r="D16" s="192" t="s">
        <v>241</v>
      </c>
      <c r="E16" s="192" t="s">
        <v>242</v>
      </c>
      <c r="F16" s="192" t="s">
        <v>243</v>
      </c>
      <c r="G16" s="340">
        <v>5348350</v>
      </c>
      <c r="H16" s="341" t="s">
        <v>238</v>
      </c>
      <c r="I16" s="376">
        <v>45316</v>
      </c>
      <c r="J16" s="404" t="s">
        <v>369</v>
      </c>
      <c r="K16" s="377" t="s">
        <v>675</v>
      </c>
      <c r="L16" s="354" t="s">
        <v>674</v>
      </c>
    </row>
    <row r="17" spans="1:16">
      <c r="A17" s="174"/>
      <c r="B17" s="174"/>
      <c r="C17" s="174"/>
      <c r="D17" s="174"/>
      <c r="E17" s="174"/>
      <c r="F17" s="174"/>
      <c r="G17" s="184"/>
      <c r="H17" s="184"/>
      <c r="I17" s="184"/>
      <c r="J17" s="174"/>
      <c r="K17" s="174"/>
      <c r="L17" s="174"/>
    </row>
    <row r="18" spans="1:16" ht="12" customHeight="1">
      <c r="A18" s="49" t="s">
        <v>656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182"/>
    </row>
    <row r="19" spans="1:16" ht="12" customHeight="1">
      <c r="A19" s="84" t="s">
        <v>611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186"/>
    </row>
    <row r="20" spans="1:16" ht="14.45" customHeight="1">
      <c r="A20" s="432" t="s">
        <v>689</v>
      </c>
      <c r="B20" s="433"/>
      <c r="C20" s="433"/>
      <c r="D20" s="433"/>
      <c r="E20" s="46"/>
      <c r="F20" s="47"/>
      <c r="G20" s="48"/>
      <c r="H20" s="47"/>
      <c r="I20" s="47"/>
      <c r="J20" s="47"/>
      <c r="K20" s="48"/>
      <c r="L20" s="47"/>
      <c r="M20" s="50"/>
      <c r="P20" s="11"/>
    </row>
    <row r="21" spans="1:16">
      <c r="A21" s="2"/>
      <c r="B21" s="2"/>
      <c r="C21" s="2"/>
      <c r="D21" s="2"/>
      <c r="E21" s="14"/>
      <c r="F21" s="14"/>
      <c r="G21" s="2"/>
      <c r="H21" s="5"/>
      <c r="I21" s="2"/>
      <c r="J21" s="2"/>
      <c r="K21" s="2"/>
    </row>
    <row r="22" spans="1:16">
      <c r="A22" s="2"/>
      <c r="B22" s="2"/>
      <c r="C22" s="2"/>
      <c r="D22" s="2"/>
      <c r="E22" s="14"/>
      <c r="F22" s="14"/>
      <c r="G22" s="2"/>
      <c r="H22" s="5"/>
      <c r="I22" s="2"/>
      <c r="J22" s="2"/>
      <c r="K22" s="2"/>
    </row>
    <row r="23" spans="1:16">
      <c r="G23"/>
      <c r="H23"/>
      <c r="I23"/>
    </row>
    <row r="24" spans="1:16">
      <c r="A24" s="51"/>
      <c r="F24" s="5"/>
      <c r="G24"/>
      <c r="H24"/>
      <c r="I24"/>
    </row>
    <row r="25" spans="1:16">
      <c r="A25" s="51"/>
      <c r="C25" s="441" t="s">
        <v>610</v>
      </c>
      <c r="D25" s="441"/>
      <c r="E25" s="441"/>
      <c r="F25" s="11"/>
      <c r="H25"/>
      <c r="I25" s="441" t="s">
        <v>690</v>
      </c>
      <c r="J25" s="441"/>
      <c r="K25" s="441"/>
      <c r="L25" s="441"/>
    </row>
    <row r="26" spans="1:16">
      <c r="C26" s="431" t="s">
        <v>167</v>
      </c>
      <c r="D26" s="431"/>
      <c r="E26" s="431"/>
      <c r="F26" s="11"/>
      <c r="H26"/>
      <c r="I26" s="431" t="s">
        <v>691</v>
      </c>
      <c r="J26" s="431"/>
      <c r="K26" s="431"/>
      <c r="L26" s="431"/>
    </row>
    <row r="27" spans="1:16">
      <c r="F27" s="11"/>
      <c r="I27"/>
    </row>
  </sheetData>
  <mergeCells count="13">
    <mergeCell ref="C26:E26"/>
    <mergeCell ref="A11:L11"/>
    <mergeCell ref="A9:L9"/>
    <mergeCell ref="I26:L26"/>
    <mergeCell ref="I25:L25"/>
    <mergeCell ref="A8:L8"/>
    <mergeCell ref="K4:L4"/>
    <mergeCell ref="A12:K12"/>
    <mergeCell ref="C25:E25"/>
    <mergeCell ref="B3:D3"/>
    <mergeCell ref="B4:D4"/>
    <mergeCell ref="B5:D5"/>
    <mergeCell ref="A20:D20"/>
  </mergeCells>
  <conditionalFormatting sqref="G14">
    <cfRule type="duplicateValues" dxfId="5" priority="1"/>
  </conditionalFormatting>
  <pageMargins left="0.31" right="0.25" top="0.53" bottom="0.75" header="0.3" footer="0.3"/>
  <pageSetup paperSize="256" scale="77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P32"/>
  <sheetViews>
    <sheetView view="pageBreakPreview" zoomScale="77" zoomScaleNormal="90" zoomScaleSheetLayoutView="77" workbookViewId="0">
      <selection activeCell="A12" sqref="A12:K12"/>
    </sheetView>
  </sheetViews>
  <sheetFormatPr baseColWidth="10" defaultColWidth="10.7109375" defaultRowHeight="15"/>
  <cols>
    <col min="1" max="1" width="6.42578125" customWidth="1"/>
    <col min="2" max="2" width="10.5703125" customWidth="1"/>
    <col min="3" max="3" width="14.28515625" customWidth="1"/>
    <col min="4" max="4" width="13.7109375" customWidth="1"/>
    <col min="5" max="5" width="13.5703125" customWidth="1"/>
    <col min="6" max="6" width="17.42578125" customWidth="1"/>
    <col min="8" max="8" width="5.5703125" customWidth="1"/>
    <col min="9" max="9" width="14.7109375" customWidth="1"/>
    <col min="10" max="10" width="20.140625" customWidth="1"/>
    <col min="11" max="11" width="8.5703125" customWidth="1"/>
    <col min="12" max="12" width="9" customWidth="1"/>
    <col min="13" max="13" width="8.140625" customWidth="1"/>
  </cols>
  <sheetData>
    <row r="1" spans="1:13">
      <c r="A1" s="1" t="s">
        <v>0</v>
      </c>
      <c r="B1" s="2"/>
      <c r="C1" s="2"/>
      <c r="D1" s="2"/>
      <c r="E1" s="2"/>
      <c r="F1" s="2"/>
      <c r="G1" s="40"/>
      <c r="H1" s="40"/>
      <c r="I1" s="30"/>
      <c r="J1" s="2"/>
      <c r="K1" s="30"/>
    </row>
    <row r="2" spans="1:13">
      <c r="A2" s="1"/>
      <c r="B2" s="2"/>
      <c r="C2" s="2"/>
      <c r="D2" s="2"/>
      <c r="E2" s="2"/>
      <c r="F2" s="2"/>
      <c r="G2" s="40"/>
      <c r="H2" s="40"/>
      <c r="I2" s="30"/>
      <c r="J2" s="2"/>
      <c r="K2" s="30"/>
    </row>
    <row r="3" spans="1:13" ht="12" customHeight="1">
      <c r="A3" s="10"/>
      <c r="B3" s="447" t="s">
        <v>1</v>
      </c>
      <c r="C3" s="447"/>
      <c r="D3" s="447"/>
      <c r="E3" s="10"/>
      <c r="F3" s="2"/>
      <c r="G3" s="40"/>
      <c r="H3" s="40"/>
      <c r="I3" s="30"/>
      <c r="J3" s="2"/>
      <c r="K3" s="30"/>
    </row>
    <row r="4" spans="1:13" ht="12" customHeight="1">
      <c r="A4" s="9"/>
      <c r="B4" s="446" t="s">
        <v>188</v>
      </c>
      <c r="C4" s="446"/>
      <c r="D4" s="446"/>
      <c r="E4" s="9"/>
      <c r="F4" s="21"/>
      <c r="G4" s="41"/>
      <c r="H4" s="41"/>
      <c r="I4" s="25"/>
      <c r="J4" s="21"/>
      <c r="K4" s="25"/>
      <c r="M4" s="25" t="s">
        <v>118</v>
      </c>
    </row>
    <row r="5" spans="1:13" ht="12" customHeight="1">
      <c r="A5" s="16"/>
      <c r="B5" s="446" t="s">
        <v>633</v>
      </c>
      <c r="C5" s="446"/>
      <c r="D5" s="446"/>
      <c r="E5" s="16"/>
      <c r="F5" s="21"/>
      <c r="G5" s="41"/>
      <c r="H5" s="41"/>
      <c r="I5" s="25"/>
      <c r="J5" s="21"/>
      <c r="K5" s="25"/>
      <c r="M5" s="25"/>
    </row>
    <row r="6" spans="1:13" ht="12" customHeight="1">
      <c r="A6" s="8"/>
      <c r="B6" s="17"/>
      <c r="C6" s="17" t="s">
        <v>18</v>
      </c>
      <c r="D6" s="17"/>
      <c r="E6" s="8"/>
      <c r="F6" s="2"/>
      <c r="G6" s="40"/>
      <c r="H6" s="40"/>
      <c r="I6" s="30"/>
      <c r="J6" s="2"/>
      <c r="K6" s="30"/>
    </row>
    <row r="7" spans="1:13" ht="15.75">
      <c r="A7" s="472" t="s">
        <v>80</v>
      </c>
      <c r="B7" s="472"/>
      <c r="C7" s="472"/>
      <c r="D7" s="472"/>
      <c r="E7" s="472"/>
      <c r="F7" s="472"/>
      <c r="G7" s="472"/>
      <c r="H7" s="472"/>
      <c r="I7" s="472"/>
      <c r="J7" s="472"/>
      <c r="K7" s="472"/>
      <c r="L7" s="472"/>
      <c r="M7" s="472"/>
    </row>
    <row r="8" spans="1:13" ht="15.75">
      <c r="A8" s="472" t="s">
        <v>116</v>
      </c>
      <c r="B8" s="472"/>
      <c r="C8" s="472"/>
      <c r="D8" s="472"/>
      <c r="E8" s="472"/>
      <c r="F8" s="472"/>
      <c r="G8" s="472"/>
      <c r="H8" s="472"/>
      <c r="I8" s="472"/>
      <c r="J8" s="472"/>
      <c r="K8" s="472"/>
      <c r="L8" s="472"/>
      <c r="M8" s="472"/>
    </row>
    <row r="9" spans="1:13" ht="15.75">
      <c r="A9" s="472" t="s">
        <v>117</v>
      </c>
      <c r="B9" s="472"/>
      <c r="C9" s="472"/>
      <c r="D9" s="472"/>
      <c r="E9" s="472"/>
      <c r="F9" s="472"/>
      <c r="G9" s="472"/>
      <c r="H9" s="472"/>
      <c r="I9" s="472"/>
      <c r="J9" s="472"/>
      <c r="K9" s="472"/>
      <c r="L9" s="472"/>
      <c r="M9" s="472"/>
    </row>
    <row r="10" spans="1:13">
      <c r="G10" s="42"/>
      <c r="K10" s="24"/>
    </row>
    <row r="11" spans="1:13">
      <c r="A11" s="435" t="s">
        <v>628</v>
      </c>
      <c r="B11" s="435"/>
      <c r="C11" s="435"/>
      <c r="D11" s="435"/>
      <c r="E11" s="435"/>
      <c r="F11" s="435"/>
      <c r="G11" s="435"/>
      <c r="H11" s="435"/>
      <c r="I11" s="435"/>
      <c r="J11" s="435"/>
      <c r="K11" s="435"/>
      <c r="L11" s="435"/>
    </row>
    <row r="12" spans="1:13" s="99" customFormat="1" ht="15" customHeight="1" thickBot="1">
      <c r="A12" s="436" t="s">
        <v>724</v>
      </c>
      <c r="B12" s="436"/>
      <c r="C12" s="436"/>
      <c r="D12" s="436"/>
      <c r="E12" s="436"/>
      <c r="F12" s="436"/>
      <c r="G12" s="436"/>
      <c r="H12" s="436"/>
      <c r="I12" s="436"/>
      <c r="J12" s="436"/>
      <c r="K12" s="436"/>
      <c r="L12" s="189"/>
    </row>
    <row r="13" spans="1:13" ht="15.75" thickBot="1">
      <c r="A13" s="485"/>
      <c r="B13" s="485"/>
      <c r="C13" s="485"/>
      <c r="D13" s="485"/>
      <c r="E13" s="485"/>
      <c r="F13" s="485"/>
      <c r="G13" s="485"/>
      <c r="H13" s="485"/>
      <c r="I13" s="485"/>
      <c r="J13" s="485"/>
      <c r="K13" s="485"/>
      <c r="L13" s="485"/>
      <c r="M13" s="485"/>
    </row>
    <row r="14" spans="1:13" ht="34.5" thickBot="1">
      <c r="A14" s="124" t="s">
        <v>37</v>
      </c>
      <c r="B14" s="124" t="s">
        <v>38</v>
      </c>
      <c r="C14" s="124" t="s">
        <v>39</v>
      </c>
      <c r="D14" s="124" t="s">
        <v>40</v>
      </c>
      <c r="E14" s="124" t="s">
        <v>41</v>
      </c>
      <c r="F14" s="124" t="s">
        <v>42</v>
      </c>
      <c r="G14" s="124" t="s">
        <v>43</v>
      </c>
      <c r="H14" s="124" t="s">
        <v>44</v>
      </c>
      <c r="I14" s="124" t="s">
        <v>109</v>
      </c>
      <c r="J14" s="124" t="s">
        <v>110</v>
      </c>
      <c r="K14" s="124" t="s">
        <v>111</v>
      </c>
      <c r="L14" s="124" t="s">
        <v>112</v>
      </c>
      <c r="M14" s="124" t="s">
        <v>94</v>
      </c>
    </row>
    <row r="15" spans="1:13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8"/>
      <c r="L15" s="67"/>
      <c r="M15" s="69"/>
    </row>
    <row r="16" spans="1:13">
      <c r="A16" s="70"/>
      <c r="B16" s="44"/>
      <c r="C16" s="44"/>
      <c r="D16" s="44"/>
      <c r="E16" s="44"/>
      <c r="F16" s="44"/>
      <c r="G16" s="44"/>
      <c r="H16" s="44"/>
      <c r="I16" s="44"/>
      <c r="J16" s="44"/>
      <c r="K16" s="45"/>
      <c r="L16" s="44"/>
      <c r="M16" s="71"/>
    </row>
    <row r="17" spans="1:16" ht="15.75" thickBot="1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4"/>
    </row>
    <row r="18" spans="1:16" ht="15.75" thickBot="1">
      <c r="A18" s="485" t="s">
        <v>113</v>
      </c>
      <c r="B18" s="485"/>
      <c r="C18" s="485"/>
      <c r="D18" s="485"/>
      <c r="E18" s="485"/>
      <c r="F18" s="485"/>
      <c r="G18" s="485"/>
      <c r="H18" s="485"/>
      <c r="I18" s="485"/>
      <c r="J18" s="485"/>
      <c r="K18" s="485"/>
      <c r="L18" s="485"/>
      <c r="M18" s="485"/>
    </row>
    <row r="19" spans="1:16" ht="34.5" thickBot="1">
      <c r="A19" s="122" t="s">
        <v>37</v>
      </c>
      <c r="B19" s="122" t="s">
        <v>38</v>
      </c>
      <c r="C19" s="122" t="s">
        <v>39</v>
      </c>
      <c r="D19" s="122" t="s">
        <v>40</v>
      </c>
      <c r="E19" s="122" t="s">
        <v>41</v>
      </c>
      <c r="F19" s="122" t="s">
        <v>42</v>
      </c>
      <c r="G19" s="122" t="s">
        <v>43</v>
      </c>
      <c r="H19" s="122" t="s">
        <v>44</v>
      </c>
      <c r="I19" s="122" t="s">
        <v>114</v>
      </c>
      <c r="J19" s="122" t="s">
        <v>110</v>
      </c>
      <c r="K19" s="122" t="s">
        <v>115</v>
      </c>
      <c r="L19" s="122" t="s">
        <v>112</v>
      </c>
      <c r="M19" s="122" t="s">
        <v>94</v>
      </c>
    </row>
    <row r="20" spans="1:16">
      <c r="A20" s="5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5"/>
    </row>
    <row r="21" spans="1:16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3"/>
    </row>
    <row r="22" spans="1:16" ht="15.75" thickBo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</row>
    <row r="23" spans="1:16" ht="15.75" customHeight="1"/>
    <row r="24" spans="1:16" ht="12" customHeight="1">
      <c r="A24" s="49" t="s">
        <v>656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182"/>
    </row>
    <row r="25" spans="1:16" ht="12" customHeight="1">
      <c r="A25" s="84" t="s">
        <v>611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186"/>
    </row>
    <row r="26" spans="1:16" ht="14.45" customHeight="1">
      <c r="A26" s="432" t="s">
        <v>689</v>
      </c>
      <c r="B26" s="433"/>
      <c r="C26" s="433"/>
      <c r="D26" s="433"/>
      <c r="E26" s="46"/>
      <c r="F26" s="47"/>
      <c r="G26" s="48"/>
      <c r="H26" s="47"/>
      <c r="I26" s="47"/>
      <c r="J26" s="47"/>
      <c r="K26" s="48"/>
      <c r="L26" s="47"/>
      <c r="M26" s="50"/>
      <c r="P26" s="11"/>
    </row>
    <row r="27" spans="1:16">
      <c r="A27" s="2"/>
      <c r="B27" s="2"/>
      <c r="C27" s="2"/>
      <c r="D27" s="2"/>
      <c r="E27" s="14"/>
      <c r="F27" s="14"/>
      <c r="G27" s="2"/>
      <c r="H27" s="5"/>
      <c r="I27" s="2"/>
      <c r="J27" s="2"/>
      <c r="K27" s="2"/>
    </row>
    <row r="28" spans="1:16">
      <c r="A28" s="2"/>
      <c r="B28" s="2"/>
      <c r="C28" s="2"/>
      <c r="D28" s="2"/>
      <c r="E28" s="14"/>
      <c r="F28" s="14"/>
      <c r="G28" s="2"/>
      <c r="H28" s="5"/>
      <c r="I28" s="2"/>
      <c r="J28" s="2"/>
      <c r="K28" s="2"/>
    </row>
    <row r="30" spans="1:16">
      <c r="A30" s="51"/>
      <c r="F30" s="5"/>
    </row>
    <row r="31" spans="1:16">
      <c r="A31" s="51"/>
      <c r="D31" s="441" t="s">
        <v>610</v>
      </c>
      <c r="E31" s="441"/>
      <c r="F31" s="2"/>
      <c r="G31" s="11"/>
      <c r="I31" s="441" t="s">
        <v>690</v>
      </c>
      <c r="J31" s="441"/>
      <c r="K31" s="441"/>
      <c r="L31" s="441"/>
    </row>
    <row r="32" spans="1:16">
      <c r="D32" s="431" t="s">
        <v>167</v>
      </c>
      <c r="E32" s="431"/>
      <c r="F32" s="2"/>
      <c r="G32" s="11"/>
      <c r="I32" s="431" t="s">
        <v>691</v>
      </c>
      <c r="J32" s="431"/>
      <c r="K32" s="431"/>
      <c r="L32" s="431"/>
    </row>
  </sheetData>
  <mergeCells count="15">
    <mergeCell ref="D31:E31"/>
    <mergeCell ref="D32:E32"/>
    <mergeCell ref="A18:M18"/>
    <mergeCell ref="I31:L31"/>
    <mergeCell ref="I32:L32"/>
    <mergeCell ref="A26:D26"/>
    <mergeCell ref="B3:D3"/>
    <mergeCell ref="B4:D4"/>
    <mergeCell ref="B5:D5"/>
    <mergeCell ref="A13:M13"/>
    <mergeCell ref="A9:M9"/>
    <mergeCell ref="A7:M7"/>
    <mergeCell ref="A8:M8"/>
    <mergeCell ref="A11:L11"/>
    <mergeCell ref="A12:K12"/>
  </mergeCells>
  <pageMargins left="0.51" right="0.7" top="0.52" bottom="0.75" header="0.3" footer="0.3"/>
  <pageSetup paperSize="256" scale="87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P27"/>
  <sheetViews>
    <sheetView view="pageBreakPreview" zoomScale="60" zoomScaleNormal="90" workbookViewId="0">
      <selection activeCell="A12" sqref="A12:K12"/>
    </sheetView>
  </sheetViews>
  <sheetFormatPr baseColWidth="10" defaultColWidth="10.7109375" defaultRowHeight="15"/>
  <cols>
    <col min="1" max="1" width="4.140625" customWidth="1"/>
    <col min="2" max="2" width="12" customWidth="1"/>
    <col min="4" max="4" width="12.7109375" customWidth="1"/>
    <col min="5" max="5" width="13.42578125" customWidth="1"/>
    <col min="6" max="6" width="13.28515625" customWidth="1"/>
    <col min="7" max="7" width="8" style="42" bestFit="1" customWidth="1"/>
    <col min="8" max="8" width="7.28515625" customWidth="1"/>
    <col min="9" max="9" width="17" customWidth="1"/>
    <col min="10" max="10" width="12.140625" customWidth="1"/>
    <col min="11" max="11" width="7.85546875" customWidth="1"/>
    <col min="12" max="12" width="15.5703125" customWidth="1"/>
    <col min="13" max="13" width="31" customWidth="1"/>
  </cols>
  <sheetData>
    <row r="1" spans="1:13">
      <c r="A1" s="1" t="s">
        <v>0</v>
      </c>
      <c r="B1" s="2"/>
      <c r="C1" s="2"/>
      <c r="D1" s="2"/>
      <c r="E1" s="2"/>
      <c r="F1" s="2"/>
      <c r="G1" s="40"/>
      <c r="H1" s="40"/>
      <c r="I1" s="30"/>
      <c r="J1" s="2"/>
      <c r="K1" s="30"/>
    </row>
    <row r="2" spans="1:13">
      <c r="A2" s="1"/>
      <c r="B2" s="2"/>
      <c r="C2" s="2"/>
      <c r="D2" s="2"/>
      <c r="E2" s="2"/>
      <c r="F2" s="2"/>
      <c r="G2" s="40"/>
      <c r="H2" s="40"/>
      <c r="I2" s="30"/>
      <c r="J2" s="2"/>
      <c r="K2" s="30"/>
    </row>
    <row r="3" spans="1:13" ht="12" customHeight="1">
      <c r="A3" s="10"/>
      <c r="B3" s="447" t="s">
        <v>1</v>
      </c>
      <c r="C3" s="447"/>
      <c r="D3" s="447"/>
      <c r="E3" s="2"/>
      <c r="F3" s="2"/>
      <c r="G3" s="40"/>
      <c r="H3" s="40"/>
      <c r="I3" s="30"/>
      <c r="J3" s="2"/>
      <c r="K3" s="30"/>
    </row>
    <row r="4" spans="1:13" ht="12" customHeight="1">
      <c r="A4" s="9"/>
      <c r="B4" s="446" t="s">
        <v>187</v>
      </c>
      <c r="C4" s="446"/>
      <c r="D4" s="446"/>
      <c r="E4" s="21"/>
      <c r="F4" s="21"/>
      <c r="G4" s="41"/>
      <c r="H4" s="41"/>
      <c r="I4" s="25"/>
      <c r="J4" s="21"/>
      <c r="K4" s="25"/>
      <c r="M4" s="25" t="s">
        <v>126</v>
      </c>
    </row>
    <row r="5" spans="1:13" ht="12" customHeight="1">
      <c r="A5" s="16"/>
      <c r="B5" s="446" t="s">
        <v>633</v>
      </c>
      <c r="C5" s="446"/>
      <c r="D5" s="446"/>
      <c r="E5" s="21"/>
      <c r="F5" s="21"/>
      <c r="G5" s="41"/>
      <c r="H5" s="41"/>
      <c r="I5" s="25"/>
      <c r="J5" s="21"/>
      <c r="K5" s="25"/>
      <c r="M5" s="25"/>
    </row>
    <row r="6" spans="1:13" ht="12" customHeight="1">
      <c r="A6" s="16"/>
      <c r="B6" s="17"/>
      <c r="C6" s="17" t="s">
        <v>18</v>
      </c>
      <c r="D6" s="17"/>
      <c r="E6" s="21"/>
      <c r="F6" s="21"/>
      <c r="G6" s="41"/>
      <c r="H6" s="41"/>
      <c r="I6" s="25"/>
      <c r="J6" s="21"/>
      <c r="K6" s="25"/>
      <c r="M6" s="25"/>
    </row>
    <row r="7" spans="1:13" ht="12" customHeight="1">
      <c r="A7" s="448"/>
      <c r="B7" s="448"/>
      <c r="C7" s="448"/>
      <c r="D7" s="448"/>
      <c r="E7" s="2"/>
      <c r="F7" s="2"/>
      <c r="G7" s="40"/>
      <c r="H7" s="40"/>
      <c r="I7" s="30"/>
      <c r="J7" s="2"/>
      <c r="K7" s="30"/>
    </row>
    <row r="8" spans="1:13" ht="15.75">
      <c r="A8" s="472" t="s">
        <v>80</v>
      </c>
      <c r="B8" s="472"/>
      <c r="C8" s="472"/>
      <c r="D8" s="472"/>
      <c r="E8" s="472"/>
      <c r="F8" s="472"/>
      <c r="G8" s="472"/>
      <c r="H8" s="472"/>
      <c r="I8" s="472"/>
      <c r="J8" s="472"/>
      <c r="K8" s="472"/>
      <c r="L8" s="472"/>
      <c r="M8" s="472"/>
    </row>
    <row r="9" spans="1:13" ht="15.75">
      <c r="A9" s="472" t="s">
        <v>125</v>
      </c>
      <c r="B9" s="472"/>
      <c r="C9" s="472"/>
      <c r="D9" s="472"/>
      <c r="E9" s="472"/>
      <c r="F9" s="472"/>
      <c r="G9" s="472"/>
      <c r="H9" s="472"/>
      <c r="I9" s="472"/>
      <c r="J9" s="472"/>
      <c r="K9" s="472"/>
      <c r="L9" s="472"/>
      <c r="M9" s="472"/>
    </row>
    <row r="10" spans="1:13">
      <c r="K10" s="24"/>
    </row>
    <row r="11" spans="1:13">
      <c r="A11" s="435" t="s">
        <v>629</v>
      </c>
      <c r="B11" s="435"/>
      <c r="C11" s="435"/>
      <c r="D11" s="435"/>
      <c r="E11" s="435"/>
      <c r="F11" s="435"/>
      <c r="G11" s="435"/>
      <c r="H11" s="435"/>
      <c r="I11" s="435"/>
      <c r="J11" s="435"/>
      <c r="K11" s="435"/>
      <c r="L11" s="435"/>
      <c r="M11" s="20"/>
    </row>
    <row r="12" spans="1:13" s="99" customFormat="1" ht="15.75" customHeight="1" thickBot="1">
      <c r="A12" s="436" t="s">
        <v>724</v>
      </c>
      <c r="B12" s="436"/>
      <c r="C12" s="436"/>
      <c r="D12" s="436"/>
      <c r="E12" s="436"/>
      <c r="F12" s="436"/>
      <c r="G12" s="436"/>
      <c r="H12" s="436"/>
      <c r="I12" s="436"/>
      <c r="J12" s="436"/>
      <c r="K12" s="436"/>
      <c r="L12" s="189"/>
    </row>
    <row r="13" spans="1:13" ht="23.25" thickBot="1">
      <c r="A13" s="162" t="s">
        <v>37</v>
      </c>
      <c r="B13" s="162" t="s">
        <v>38</v>
      </c>
      <c r="C13" s="162" t="s">
        <v>39</v>
      </c>
      <c r="D13" s="162" t="s">
        <v>40</v>
      </c>
      <c r="E13" s="162" t="s">
        <v>41</v>
      </c>
      <c r="F13" s="162" t="s">
        <v>42</v>
      </c>
      <c r="G13" s="163" t="s">
        <v>43</v>
      </c>
      <c r="H13" s="162" t="s">
        <v>44</v>
      </c>
      <c r="I13" s="162" t="s">
        <v>122</v>
      </c>
      <c r="J13" s="162" t="s">
        <v>123</v>
      </c>
      <c r="K13" s="162" t="s">
        <v>124</v>
      </c>
      <c r="L13" s="162" t="s">
        <v>112</v>
      </c>
      <c r="M13" s="162" t="s">
        <v>94</v>
      </c>
    </row>
    <row r="14" spans="1:13" ht="12.75" customHeight="1">
      <c r="A14" s="192"/>
      <c r="B14" s="193"/>
      <c r="C14" s="194"/>
      <c r="D14" s="195"/>
      <c r="E14" s="195"/>
      <c r="F14" s="195"/>
      <c r="G14" s="196"/>
      <c r="H14" s="197"/>
      <c r="I14" s="248"/>
      <c r="J14" s="190"/>
      <c r="K14" s="198"/>
      <c r="L14" s="191"/>
      <c r="M14" s="192"/>
    </row>
    <row r="15" spans="1:13" ht="12.75" customHeight="1">
      <c r="A15" s="192"/>
      <c r="B15" s="192"/>
      <c r="C15" s="192"/>
      <c r="D15" s="192"/>
      <c r="E15" s="192"/>
      <c r="F15" s="192"/>
      <c r="G15" s="192"/>
      <c r="H15" s="192"/>
      <c r="I15" s="199"/>
      <c r="J15" s="198"/>
      <c r="K15" s="198"/>
      <c r="L15" s="198"/>
      <c r="M15" s="198"/>
    </row>
    <row r="17" spans="1:16" ht="12" customHeight="1">
      <c r="A17" s="49" t="s">
        <v>656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182"/>
    </row>
    <row r="18" spans="1:16" ht="12" customHeight="1">
      <c r="A18" s="84" t="s">
        <v>611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186"/>
    </row>
    <row r="19" spans="1:16" ht="14.45" customHeight="1">
      <c r="A19" s="432" t="s">
        <v>689</v>
      </c>
      <c r="B19" s="433"/>
      <c r="C19" s="433"/>
      <c r="D19" s="433"/>
      <c r="E19" s="46"/>
      <c r="F19" s="47"/>
      <c r="G19" s="48"/>
      <c r="H19" s="47"/>
      <c r="I19" s="47"/>
      <c r="J19" s="47"/>
      <c r="K19" s="48"/>
      <c r="L19" s="47"/>
      <c r="M19" s="50"/>
      <c r="P19" s="11"/>
    </row>
    <row r="20" spans="1:16">
      <c r="A20" s="2"/>
      <c r="B20" s="2"/>
      <c r="C20" s="2"/>
      <c r="D20" s="2"/>
      <c r="E20" s="14"/>
      <c r="F20" s="14"/>
      <c r="G20" s="2"/>
      <c r="H20" s="5"/>
      <c r="I20" s="2"/>
      <c r="J20" s="2"/>
      <c r="K20" s="2"/>
    </row>
    <row r="21" spans="1:16">
      <c r="A21" s="2"/>
      <c r="B21" s="2"/>
      <c r="C21" s="2"/>
      <c r="D21" s="2"/>
      <c r="E21" s="14"/>
      <c r="F21" s="14"/>
      <c r="G21" s="2"/>
      <c r="H21" s="5"/>
      <c r="I21" s="2"/>
      <c r="J21" s="2"/>
      <c r="K21" s="2"/>
    </row>
    <row r="22" spans="1:16">
      <c r="G22"/>
    </row>
    <row r="23" spans="1:16">
      <c r="A23" s="51"/>
      <c r="F23" s="5"/>
      <c r="G23"/>
    </row>
    <row r="24" spans="1:16">
      <c r="A24" s="51"/>
      <c r="D24" s="441" t="s">
        <v>610</v>
      </c>
      <c r="E24" s="441"/>
      <c r="F24" s="441"/>
      <c r="G24" s="11"/>
      <c r="I24" s="441" t="s">
        <v>690</v>
      </c>
      <c r="J24" s="441"/>
      <c r="K24" s="441"/>
      <c r="L24" s="441"/>
      <c r="M24" s="441"/>
    </row>
    <row r="25" spans="1:16">
      <c r="D25" s="431" t="s">
        <v>167</v>
      </c>
      <c r="E25" s="431"/>
      <c r="F25" s="431"/>
      <c r="G25" s="11"/>
      <c r="I25" s="431" t="s">
        <v>691</v>
      </c>
      <c r="J25" s="431"/>
      <c r="K25" s="431"/>
      <c r="L25" s="431"/>
      <c r="M25" s="431"/>
    </row>
    <row r="26" spans="1:16">
      <c r="F26" s="42"/>
      <c r="G26"/>
    </row>
    <row r="27" spans="1:16">
      <c r="F27" s="42"/>
      <c r="G27"/>
    </row>
  </sheetData>
  <sortState xmlns:xlrd2="http://schemas.microsoft.com/office/spreadsheetml/2017/richdata2" ref="A14:I15">
    <sortCondition ref="E14:E15"/>
  </sortState>
  <mergeCells count="13">
    <mergeCell ref="B3:D3"/>
    <mergeCell ref="B4:D4"/>
    <mergeCell ref="B5:D5"/>
    <mergeCell ref="D24:F24"/>
    <mergeCell ref="D25:F25"/>
    <mergeCell ref="A7:D7"/>
    <mergeCell ref="A8:M8"/>
    <mergeCell ref="A9:M9"/>
    <mergeCell ref="A11:L11"/>
    <mergeCell ref="A12:K12"/>
    <mergeCell ref="A19:D19"/>
    <mergeCell ref="I25:M25"/>
    <mergeCell ref="I24:M24"/>
  </mergeCells>
  <conditionalFormatting sqref="G15">
    <cfRule type="duplicateValues" dxfId="4" priority="74"/>
  </conditionalFormatting>
  <pageMargins left="0.39370078740157483" right="0.70866141732283472" top="0.53" bottom="0.74803149606299213" header="0.31496062992125984" footer="0.31496062992125984"/>
  <pageSetup paperSize="256" scale="76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P68"/>
  <sheetViews>
    <sheetView view="pageBreakPreview" topLeftCell="A53" zoomScale="91" zoomScaleNormal="100" zoomScaleSheetLayoutView="91" workbookViewId="0">
      <selection activeCell="F23" sqref="F23"/>
    </sheetView>
  </sheetViews>
  <sheetFormatPr baseColWidth="10" defaultColWidth="10.7109375" defaultRowHeight="15"/>
  <cols>
    <col min="1" max="1" width="3.85546875" style="11" customWidth="1"/>
    <col min="2" max="2" width="9.85546875" customWidth="1"/>
    <col min="3" max="3" width="8.85546875" customWidth="1"/>
    <col min="4" max="4" width="10.28515625" customWidth="1"/>
    <col min="5" max="5" width="9.42578125" customWidth="1"/>
    <col min="6" max="6" width="10" customWidth="1"/>
    <col min="7" max="7" width="8.85546875" style="121" customWidth="1"/>
    <col min="8" max="8" width="5.42578125" style="11" customWidth="1"/>
    <col min="9" max="9" width="14.85546875" style="42" customWidth="1"/>
    <col min="10" max="10" width="10.5703125" customWidth="1"/>
    <col min="11" max="11" width="12.42578125" style="202" customWidth="1"/>
    <col min="12" max="12" width="11.85546875" style="11" customWidth="1"/>
    <col min="13" max="13" width="33.5703125" customWidth="1"/>
  </cols>
  <sheetData>
    <row r="1" spans="1:13">
      <c r="A1" s="185" t="s">
        <v>0</v>
      </c>
      <c r="B1" s="2"/>
      <c r="C1" s="2"/>
      <c r="D1" s="2"/>
      <c r="E1" s="2"/>
      <c r="F1" s="2"/>
      <c r="G1" s="179"/>
      <c r="H1" s="5"/>
      <c r="I1" s="40"/>
      <c r="K1"/>
    </row>
    <row r="2" spans="1:13" ht="12.75" customHeight="1">
      <c r="A2" s="185"/>
      <c r="B2" s="2"/>
      <c r="C2" s="2"/>
      <c r="D2" s="2"/>
      <c r="E2" s="2"/>
      <c r="F2" s="2"/>
      <c r="G2" s="179"/>
      <c r="H2" s="5"/>
      <c r="I2" s="40"/>
      <c r="K2"/>
    </row>
    <row r="3" spans="1:13">
      <c r="A3" s="15"/>
      <c r="B3" s="447" t="s">
        <v>1</v>
      </c>
      <c r="C3" s="447"/>
      <c r="D3" s="447"/>
      <c r="E3" s="2"/>
      <c r="F3" s="2"/>
      <c r="G3" s="179"/>
      <c r="H3" s="5"/>
      <c r="I3" s="40"/>
      <c r="K3"/>
    </row>
    <row r="4" spans="1:13" ht="10.5" customHeight="1">
      <c r="A4" s="16"/>
      <c r="B4" s="446" t="s">
        <v>188</v>
      </c>
      <c r="C4" s="446"/>
      <c r="D4" s="446"/>
      <c r="E4" s="21"/>
      <c r="F4" s="21"/>
      <c r="G4" s="22"/>
      <c r="H4" s="22"/>
      <c r="I4" s="41"/>
      <c r="K4"/>
      <c r="M4" s="21" t="s">
        <v>149</v>
      </c>
    </row>
    <row r="5" spans="1:13" ht="9.75" customHeight="1">
      <c r="A5" s="16"/>
      <c r="B5" s="446" t="s">
        <v>633</v>
      </c>
      <c r="C5" s="446"/>
      <c r="D5" s="446"/>
      <c r="F5" s="21"/>
      <c r="G5" s="22"/>
      <c r="H5" s="22"/>
      <c r="I5" s="41"/>
      <c r="K5" s="25"/>
    </row>
    <row r="6" spans="1:13" ht="9.75" customHeight="1">
      <c r="A6" s="16"/>
      <c r="B6" s="17"/>
      <c r="C6" s="17" t="s">
        <v>18</v>
      </c>
      <c r="D6" s="17"/>
      <c r="E6" s="21"/>
      <c r="F6" s="21"/>
      <c r="G6" s="22"/>
      <c r="H6" s="22"/>
      <c r="I6" s="41"/>
      <c r="J6" s="21"/>
      <c r="K6" s="201"/>
    </row>
    <row r="7" spans="1:13" s="173" customFormat="1" ht="6" customHeight="1">
      <c r="A7" s="484"/>
      <c r="B7" s="484"/>
      <c r="C7" s="484"/>
      <c r="D7" s="484"/>
      <c r="E7" s="170"/>
      <c r="F7" s="170"/>
      <c r="G7" s="180"/>
      <c r="H7" s="183"/>
      <c r="I7" s="171"/>
      <c r="J7" s="170"/>
      <c r="K7" s="200"/>
      <c r="L7" s="238"/>
    </row>
    <row r="8" spans="1:13" s="173" customFormat="1" ht="15.75">
      <c r="A8" s="472" t="s">
        <v>80</v>
      </c>
      <c r="B8" s="472"/>
      <c r="C8" s="472"/>
      <c r="D8" s="472"/>
      <c r="E8" s="472"/>
      <c r="F8" s="472"/>
      <c r="G8" s="472"/>
      <c r="H8" s="472"/>
      <c r="I8" s="472"/>
      <c r="J8" s="472"/>
      <c r="K8" s="472"/>
      <c r="L8" s="238"/>
    </row>
    <row r="9" spans="1:13" s="173" customFormat="1" ht="15.75">
      <c r="A9" s="472" t="s">
        <v>153</v>
      </c>
      <c r="B9" s="472"/>
      <c r="C9" s="472"/>
      <c r="D9" s="472"/>
      <c r="E9" s="472"/>
      <c r="F9" s="472"/>
      <c r="G9" s="472"/>
      <c r="H9" s="472"/>
      <c r="I9" s="472"/>
      <c r="J9" s="472"/>
      <c r="K9" s="472"/>
      <c r="L9" s="238"/>
    </row>
    <row r="10" spans="1:13" s="174" customFormat="1" ht="13.5" customHeight="1">
      <c r="A10" s="184"/>
      <c r="G10" s="181"/>
      <c r="H10" s="184"/>
      <c r="I10" s="175"/>
      <c r="K10" s="202"/>
      <c r="L10" s="184"/>
    </row>
    <row r="11" spans="1:13">
      <c r="A11" s="127" t="s">
        <v>630</v>
      </c>
      <c r="B11" s="127"/>
      <c r="C11" s="127"/>
      <c r="D11" s="127"/>
      <c r="E11" s="127"/>
      <c r="F11" s="127"/>
      <c r="G11" s="270"/>
      <c r="H11" s="127"/>
      <c r="I11" s="188"/>
      <c r="J11" s="127"/>
      <c r="K11" s="127"/>
    </row>
    <row r="12" spans="1:13" ht="15.75" thickBot="1">
      <c r="A12" s="436" t="s">
        <v>724</v>
      </c>
      <c r="B12" s="436"/>
      <c r="C12" s="436"/>
      <c r="D12" s="436"/>
      <c r="E12" s="436"/>
      <c r="F12" s="436"/>
      <c r="G12" s="436"/>
      <c r="H12" s="436"/>
      <c r="I12" s="436"/>
      <c r="J12" s="436"/>
      <c r="K12" s="436"/>
    </row>
    <row r="13" spans="1:13" s="50" customFormat="1" ht="45" customHeight="1" thickBot="1">
      <c r="A13" s="178" t="s">
        <v>37</v>
      </c>
      <c r="B13" s="178" t="s">
        <v>38</v>
      </c>
      <c r="C13" s="178" t="s">
        <v>39</v>
      </c>
      <c r="D13" s="178" t="s">
        <v>40</v>
      </c>
      <c r="E13" s="178" t="s">
        <v>41</v>
      </c>
      <c r="F13" s="178" t="s">
        <v>42</v>
      </c>
      <c r="G13" s="178" t="s">
        <v>43</v>
      </c>
      <c r="H13" s="178" t="s">
        <v>44</v>
      </c>
      <c r="I13" s="223" t="s">
        <v>150</v>
      </c>
      <c r="J13" s="208" t="s">
        <v>151</v>
      </c>
      <c r="K13" s="209" t="s">
        <v>152</v>
      </c>
      <c r="L13" s="209" t="s">
        <v>175</v>
      </c>
      <c r="M13" s="271" t="s">
        <v>148</v>
      </c>
    </row>
    <row r="14" spans="1:13" s="50" customFormat="1" ht="14.1" customHeight="1">
      <c r="A14" s="243">
        <v>1</v>
      </c>
      <c r="B14" s="323" t="s">
        <v>198</v>
      </c>
      <c r="C14" s="323" t="s">
        <v>199</v>
      </c>
      <c r="D14" s="323" t="s">
        <v>200</v>
      </c>
      <c r="E14" s="323" t="s">
        <v>201</v>
      </c>
      <c r="F14" s="322" t="s">
        <v>202</v>
      </c>
      <c r="G14" s="222">
        <v>4781937</v>
      </c>
      <c r="H14" s="323" t="s">
        <v>203</v>
      </c>
      <c r="I14" s="357" t="s">
        <v>583</v>
      </c>
      <c r="J14" s="358" t="s">
        <v>584</v>
      </c>
      <c r="K14" s="359" t="s">
        <v>585</v>
      </c>
      <c r="L14" s="360" t="s">
        <v>586</v>
      </c>
      <c r="M14" s="361" t="s">
        <v>394</v>
      </c>
    </row>
    <row r="15" spans="1:13" s="50" customFormat="1" ht="14.1" customHeight="1">
      <c r="A15" s="243">
        <v>2</v>
      </c>
      <c r="B15" s="323" t="s">
        <v>204</v>
      </c>
      <c r="C15" s="323" t="s">
        <v>205</v>
      </c>
      <c r="D15" s="323" t="s">
        <v>206</v>
      </c>
      <c r="E15" s="323" t="s">
        <v>207</v>
      </c>
      <c r="F15" s="322" t="s">
        <v>208</v>
      </c>
      <c r="G15" s="222">
        <v>5307964</v>
      </c>
      <c r="H15" s="323" t="s">
        <v>192</v>
      </c>
      <c r="I15" s="357" t="s">
        <v>583</v>
      </c>
      <c r="J15" s="358" t="s">
        <v>584</v>
      </c>
      <c r="K15" s="43" t="s">
        <v>587</v>
      </c>
      <c r="L15" s="244" t="s">
        <v>588</v>
      </c>
      <c r="M15" s="361" t="s">
        <v>395</v>
      </c>
    </row>
    <row r="16" spans="1:13" s="50" customFormat="1" ht="14.1" customHeight="1">
      <c r="A16" s="243">
        <v>3</v>
      </c>
      <c r="B16" s="323" t="s">
        <v>209</v>
      </c>
      <c r="C16" s="323" t="s">
        <v>190</v>
      </c>
      <c r="D16" s="323" t="s">
        <v>210</v>
      </c>
      <c r="E16" s="323" t="s">
        <v>211</v>
      </c>
      <c r="F16" s="322" t="s">
        <v>212</v>
      </c>
      <c r="G16" s="222">
        <v>6723966</v>
      </c>
      <c r="H16" s="323" t="s">
        <v>197</v>
      </c>
      <c r="I16" s="357" t="s">
        <v>583</v>
      </c>
      <c r="J16" s="358" t="s">
        <v>584</v>
      </c>
      <c r="K16" s="359" t="s">
        <v>589</v>
      </c>
      <c r="L16" s="360" t="s">
        <v>590</v>
      </c>
      <c r="M16" s="362" t="s">
        <v>396</v>
      </c>
    </row>
    <row r="17" spans="1:13" s="50" customFormat="1" ht="14.1" customHeight="1">
      <c r="A17" s="243">
        <v>4</v>
      </c>
      <c r="B17" s="323" t="s">
        <v>209</v>
      </c>
      <c r="C17" s="323" t="s">
        <v>213</v>
      </c>
      <c r="D17" s="323" t="s">
        <v>214</v>
      </c>
      <c r="E17" s="323" t="s">
        <v>215</v>
      </c>
      <c r="F17" s="322" t="s">
        <v>216</v>
      </c>
      <c r="G17" s="222">
        <v>6812457</v>
      </c>
      <c r="H17" s="323" t="s">
        <v>203</v>
      </c>
      <c r="I17" s="357">
        <v>130183107</v>
      </c>
      <c r="J17" s="358" t="s">
        <v>584</v>
      </c>
      <c r="K17" s="359" t="s">
        <v>589</v>
      </c>
      <c r="L17" s="360" t="s">
        <v>590</v>
      </c>
      <c r="M17" s="361" t="s">
        <v>397</v>
      </c>
    </row>
    <row r="18" spans="1:13" s="50" customFormat="1" ht="14.1" customHeight="1">
      <c r="A18" s="243">
        <v>5</v>
      </c>
      <c r="B18" s="323" t="s">
        <v>217</v>
      </c>
      <c r="C18" s="323" t="s">
        <v>218</v>
      </c>
      <c r="D18" s="323" t="s">
        <v>219</v>
      </c>
      <c r="E18" s="323" t="s">
        <v>220</v>
      </c>
      <c r="F18" s="322"/>
      <c r="G18" s="222">
        <v>6533292</v>
      </c>
      <c r="H18" s="323" t="s">
        <v>192</v>
      </c>
      <c r="I18" s="221">
        <v>110180905</v>
      </c>
      <c r="J18" s="358" t="s">
        <v>584</v>
      </c>
      <c r="K18" s="43" t="s">
        <v>585</v>
      </c>
      <c r="L18" s="244" t="s">
        <v>586</v>
      </c>
      <c r="M18" s="361" t="s">
        <v>398</v>
      </c>
    </row>
    <row r="19" spans="1:13" s="50" customFormat="1" ht="14.1" customHeight="1">
      <c r="A19" s="243">
        <v>6</v>
      </c>
      <c r="B19" s="323" t="s">
        <v>217</v>
      </c>
      <c r="C19" s="323" t="s">
        <v>221</v>
      </c>
      <c r="D19" s="323" t="s">
        <v>221</v>
      </c>
      <c r="E19" s="323" t="s">
        <v>222</v>
      </c>
      <c r="F19" s="322"/>
      <c r="G19" s="222">
        <v>8446415</v>
      </c>
      <c r="H19" s="323" t="s">
        <v>197</v>
      </c>
      <c r="I19" s="363" t="s">
        <v>583</v>
      </c>
      <c r="J19" s="358" t="s">
        <v>584</v>
      </c>
      <c r="K19" s="43" t="s">
        <v>589</v>
      </c>
      <c r="L19" s="244" t="s">
        <v>592</v>
      </c>
      <c r="M19" s="361" t="s">
        <v>399</v>
      </c>
    </row>
    <row r="20" spans="1:13" s="50" customFormat="1" ht="14.1" customHeight="1">
      <c r="A20" s="243">
        <v>7</v>
      </c>
      <c r="B20" s="43" t="s">
        <v>10</v>
      </c>
      <c r="C20" s="43" t="s">
        <v>194</v>
      </c>
      <c r="D20" s="43" t="s">
        <v>195</v>
      </c>
      <c r="E20" s="43" t="s">
        <v>196</v>
      </c>
      <c r="F20" s="43"/>
      <c r="G20" s="244">
        <v>7048396</v>
      </c>
      <c r="H20" s="221" t="s">
        <v>197</v>
      </c>
      <c r="I20" s="363" t="s">
        <v>583</v>
      </c>
      <c r="J20" s="358" t="s">
        <v>584</v>
      </c>
      <c r="K20" s="43" t="s">
        <v>589</v>
      </c>
      <c r="L20" s="244" t="s">
        <v>586</v>
      </c>
      <c r="M20" s="347" t="s">
        <v>400</v>
      </c>
    </row>
    <row r="21" spans="1:13" s="50" customFormat="1" ht="14.1" customHeight="1">
      <c r="A21" s="243">
        <v>8</v>
      </c>
      <c r="B21" s="323" t="s">
        <v>224</v>
      </c>
      <c r="C21" s="192" t="s">
        <v>703</v>
      </c>
      <c r="D21" s="192" t="s">
        <v>254</v>
      </c>
      <c r="E21" s="192" t="s">
        <v>299</v>
      </c>
      <c r="F21" s="192"/>
      <c r="G21" s="340">
        <v>3511766</v>
      </c>
      <c r="H21" s="197" t="s">
        <v>253</v>
      </c>
      <c r="I21" s="363" t="s">
        <v>583</v>
      </c>
      <c r="J21" s="358" t="s">
        <v>584</v>
      </c>
      <c r="K21" s="43" t="s">
        <v>587</v>
      </c>
      <c r="L21" s="244" t="s">
        <v>710</v>
      </c>
      <c r="M21" s="386" t="s">
        <v>702</v>
      </c>
    </row>
    <row r="22" spans="1:13" s="50" customFormat="1" ht="14.1" customHeight="1">
      <c r="A22" s="243">
        <v>9</v>
      </c>
      <c r="B22" s="323" t="s">
        <v>224</v>
      </c>
      <c r="C22" s="323" t="s">
        <v>225</v>
      </c>
      <c r="D22" s="323" t="s">
        <v>226</v>
      </c>
      <c r="E22" s="323" t="s">
        <v>227</v>
      </c>
      <c r="F22" s="322" t="s">
        <v>228</v>
      </c>
      <c r="G22" s="222">
        <v>4298597</v>
      </c>
      <c r="H22" s="323" t="s">
        <v>197</v>
      </c>
      <c r="I22" s="363" t="s">
        <v>583</v>
      </c>
      <c r="J22" s="358" t="s">
        <v>584</v>
      </c>
      <c r="K22" s="43" t="s">
        <v>589</v>
      </c>
      <c r="L22" s="244" t="s">
        <v>588</v>
      </c>
      <c r="M22" s="361" t="s">
        <v>401</v>
      </c>
    </row>
    <row r="23" spans="1:13" s="50" customFormat="1" ht="14.1" customHeight="1">
      <c r="A23" s="243">
        <v>10</v>
      </c>
      <c r="B23" s="43" t="s">
        <v>229</v>
      </c>
      <c r="C23" s="43" t="s">
        <v>230</v>
      </c>
      <c r="D23" s="43" t="s">
        <v>231</v>
      </c>
      <c r="E23" s="43" t="s">
        <v>232</v>
      </c>
      <c r="F23" s="43" t="s">
        <v>233</v>
      </c>
      <c r="G23" s="244">
        <v>6100797</v>
      </c>
      <c r="H23" s="221" t="s">
        <v>197</v>
      </c>
      <c r="I23" s="363" t="s">
        <v>583</v>
      </c>
      <c r="J23" s="358" t="s">
        <v>584</v>
      </c>
      <c r="K23" s="43" t="s">
        <v>589</v>
      </c>
      <c r="L23" s="244" t="s">
        <v>594</v>
      </c>
      <c r="M23" s="352" t="s">
        <v>402</v>
      </c>
    </row>
    <row r="24" spans="1:13" s="50" customFormat="1" ht="14.1" customHeight="1">
      <c r="A24" s="243">
        <v>11</v>
      </c>
      <c r="B24" s="43" t="s">
        <v>229</v>
      </c>
      <c r="C24" s="242" t="s">
        <v>231</v>
      </c>
      <c r="D24" s="323" t="s">
        <v>231</v>
      </c>
      <c r="E24" s="323" t="s">
        <v>245</v>
      </c>
      <c r="F24" s="322" t="s">
        <v>246</v>
      </c>
      <c r="G24" s="222">
        <v>4960106</v>
      </c>
      <c r="H24" s="323" t="s">
        <v>203</v>
      </c>
      <c r="I24" s="357">
        <v>130726600</v>
      </c>
      <c r="J24" s="358" t="s">
        <v>584</v>
      </c>
      <c r="K24" s="359" t="s">
        <v>589</v>
      </c>
      <c r="L24" s="360" t="s">
        <v>591</v>
      </c>
      <c r="M24" s="361" t="s">
        <v>403</v>
      </c>
    </row>
    <row r="25" spans="1:13" s="50" customFormat="1" ht="14.1" customHeight="1">
      <c r="A25" s="243">
        <v>12</v>
      </c>
      <c r="B25" s="43" t="s">
        <v>229</v>
      </c>
      <c r="C25" s="242" t="s">
        <v>247</v>
      </c>
      <c r="D25" s="323" t="s">
        <v>248</v>
      </c>
      <c r="E25" s="323" t="s">
        <v>249</v>
      </c>
      <c r="F25" s="322" t="s">
        <v>250</v>
      </c>
      <c r="G25" s="222">
        <v>5961519</v>
      </c>
      <c r="H25" s="323" t="s">
        <v>203</v>
      </c>
      <c r="I25" s="357" t="s">
        <v>596</v>
      </c>
      <c r="J25" s="358" t="s">
        <v>584</v>
      </c>
      <c r="K25" s="359" t="s">
        <v>589</v>
      </c>
      <c r="L25" s="360" t="s">
        <v>591</v>
      </c>
      <c r="M25" s="361" t="s">
        <v>404</v>
      </c>
    </row>
    <row r="26" spans="1:13" s="50" customFormat="1" ht="14.1" customHeight="1">
      <c r="A26" s="243">
        <v>13</v>
      </c>
      <c r="B26" s="43" t="s">
        <v>229</v>
      </c>
      <c r="C26" s="242" t="s">
        <v>254</v>
      </c>
      <c r="D26" s="323" t="s">
        <v>255</v>
      </c>
      <c r="E26" s="323" t="s">
        <v>256</v>
      </c>
      <c r="F26" s="322"/>
      <c r="G26" s="222">
        <v>4906861</v>
      </c>
      <c r="H26" s="323" t="s">
        <v>203</v>
      </c>
      <c r="I26" s="357" t="s">
        <v>597</v>
      </c>
      <c r="J26" s="358" t="s">
        <v>584</v>
      </c>
      <c r="K26" s="359" t="s">
        <v>589</v>
      </c>
      <c r="L26" s="360" t="s">
        <v>591</v>
      </c>
      <c r="M26" s="361" t="s">
        <v>405</v>
      </c>
    </row>
    <row r="27" spans="1:13" s="50" customFormat="1" ht="14.1" customHeight="1">
      <c r="A27" s="243">
        <v>14</v>
      </c>
      <c r="B27" s="323" t="s">
        <v>244</v>
      </c>
      <c r="C27" s="242" t="s">
        <v>654</v>
      </c>
      <c r="D27" s="323" t="s">
        <v>646</v>
      </c>
      <c r="E27" s="323" t="s">
        <v>655</v>
      </c>
      <c r="F27" s="322"/>
      <c r="G27" s="379">
        <v>4858431</v>
      </c>
      <c r="H27" s="327" t="s">
        <v>197</v>
      </c>
      <c r="I27" s="363" t="s">
        <v>583</v>
      </c>
      <c r="J27" s="358" t="s">
        <v>584</v>
      </c>
      <c r="K27" s="359" t="s">
        <v>589</v>
      </c>
      <c r="L27" s="360" t="s">
        <v>586</v>
      </c>
      <c r="M27" s="380" t="s">
        <v>649</v>
      </c>
    </row>
    <row r="28" spans="1:13" s="50" customFormat="1" ht="14.1" customHeight="1">
      <c r="A28" s="243">
        <v>15</v>
      </c>
      <c r="B28" s="323" t="s">
        <v>244</v>
      </c>
      <c r="C28" s="43" t="s">
        <v>657</v>
      </c>
      <c r="D28" s="43" t="s">
        <v>254</v>
      </c>
      <c r="E28" s="43" t="s">
        <v>658</v>
      </c>
      <c r="F28" s="43" t="s">
        <v>659</v>
      </c>
      <c r="G28" s="323">
        <v>4929511</v>
      </c>
      <c r="H28" s="222" t="s">
        <v>197</v>
      </c>
      <c r="I28" s="357">
        <v>116513802</v>
      </c>
      <c r="J28" s="358" t="s">
        <v>584</v>
      </c>
      <c r="K28" s="359" t="s">
        <v>589</v>
      </c>
      <c r="L28" s="360" t="s">
        <v>588</v>
      </c>
      <c r="M28" s="380" t="s">
        <v>663</v>
      </c>
    </row>
    <row r="29" spans="1:13" s="50" customFormat="1" ht="14.1" customHeight="1">
      <c r="A29" s="243">
        <v>16</v>
      </c>
      <c r="B29" s="323" t="s">
        <v>257</v>
      </c>
      <c r="C29" s="323" t="s">
        <v>276</v>
      </c>
      <c r="D29" s="323" t="s">
        <v>221</v>
      </c>
      <c r="E29" s="323" t="s">
        <v>277</v>
      </c>
      <c r="F29" s="322"/>
      <c r="G29" s="222">
        <v>6144234</v>
      </c>
      <c r="H29" s="323" t="s">
        <v>197</v>
      </c>
      <c r="I29" s="363" t="s">
        <v>583</v>
      </c>
      <c r="J29" s="358" t="s">
        <v>584</v>
      </c>
      <c r="K29" s="43" t="s">
        <v>589</v>
      </c>
      <c r="L29" s="244" t="s">
        <v>594</v>
      </c>
      <c r="M29" s="361" t="s">
        <v>410</v>
      </c>
    </row>
    <row r="30" spans="1:13" s="50" customFormat="1" ht="14.1" customHeight="1">
      <c r="A30" s="243">
        <v>17</v>
      </c>
      <c r="B30" s="323" t="s">
        <v>257</v>
      </c>
      <c r="C30" s="323" t="s">
        <v>260</v>
      </c>
      <c r="D30" s="323" t="s">
        <v>261</v>
      </c>
      <c r="E30" s="323" t="s">
        <v>262</v>
      </c>
      <c r="F30" s="322" t="s">
        <v>263</v>
      </c>
      <c r="G30" s="222">
        <v>5337931</v>
      </c>
      <c r="H30" s="323" t="s">
        <v>238</v>
      </c>
      <c r="I30" s="363" t="s">
        <v>596</v>
      </c>
      <c r="J30" s="358" t="s">
        <v>584</v>
      </c>
      <c r="K30" s="43" t="s">
        <v>589</v>
      </c>
      <c r="L30" s="244" t="s">
        <v>586</v>
      </c>
      <c r="M30" s="361" t="s">
        <v>407</v>
      </c>
    </row>
    <row r="31" spans="1:13" s="50" customFormat="1" ht="14.1" customHeight="1">
      <c r="A31" s="243">
        <v>18</v>
      </c>
      <c r="B31" s="323" t="s">
        <v>257</v>
      </c>
      <c r="C31" s="323" t="s">
        <v>266</v>
      </c>
      <c r="D31" s="323" t="s">
        <v>267</v>
      </c>
      <c r="E31" s="323" t="s">
        <v>268</v>
      </c>
      <c r="F31" s="322"/>
      <c r="G31" s="222">
        <v>5376613</v>
      </c>
      <c r="H31" s="323" t="s">
        <v>238</v>
      </c>
      <c r="I31" s="221">
        <v>120017503</v>
      </c>
      <c r="J31" s="358" t="s">
        <v>584</v>
      </c>
      <c r="K31" s="43" t="s">
        <v>595</v>
      </c>
      <c r="L31" s="244" t="s">
        <v>594</v>
      </c>
      <c r="M31" s="364" t="s">
        <v>409</v>
      </c>
    </row>
    <row r="32" spans="1:13" s="50" customFormat="1" ht="14.1" customHeight="1">
      <c r="A32" s="243">
        <v>19</v>
      </c>
      <c r="B32" s="323" t="s">
        <v>257</v>
      </c>
      <c r="C32" s="323" t="s">
        <v>258</v>
      </c>
      <c r="D32" s="323" t="s">
        <v>254</v>
      </c>
      <c r="E32" s="323" t="s">
        <v>259</v>
      </c>
      <c r="F32" s="322"/>
      <c r="G32" s="222">
        <v>4882914</v>
      </c>
      <c r="H32" s="323" t="s">
        <v>197</v>
      </c>
      <c r="I32" s="221" t="s">
        <v>596</v>
      </c>
      <c r="J32" s="43" t="s">
        <v>593</v>
      </c>
      <c r="K32" s="43" t="s">
        <v>589</v>
      </c>
      <c r="L32" s="244" t="s">
        <v>586</v>
      </c>
      <c r="M32" s="361" t="s">
        <v>406</v>
      </c>
    </row>
    <row r="33" spans="1:14" s="50" customFormat="1" ht="14.1" customHeight="1">
      <c r="A33" s="243">
        <v>20</v>
      </c>
      <c r="B33" s="323" t="s">
        <v>257</v>
      </c>
      <c r="C33" s="323" t="s">
        <v>254</v>
      </c>
      <c r="D33" s="323" t="s">
        <v>221</v>
      </c>
      <c r="E33" s="323" t="s">
        <v>264</v>
      </c>
      <c r="F33" s="322" t="s">
        <v>265</v>
      </c>
      <c r="G33" s="222">
        <v>6133994</v>
      </c>
      <c r="H33" s="323" t="s">
        <v>197</v>
      </c>
      <c r="I33" s="221">
        <v>120391601</v>
      </c>
      <c r="J33" s="358" t="s">
        <v>584</v>
      </c>
      <c r="K33" s="43" t="s">
        <v>589</v>
      </c>
      <c r="L33" s="244" t="s">
        <v>588</v>
      </c>
      <c r="M33" s="361" t="s">
        <v>408</v>
      </c>
    </row>
    <row r="34" spans="1:14" s="50" customFormat="1" ht="14.1" customHeight="1">
      <c r="A34" s="243">
        <v>21</v>
      </c>
      <c r="B34" s="323" t="s">
        <v>15</v>
      </c>
      <c r="C34" s="323" t="s">
        <v>287</v>
      </c>
      <c r="D34" s="323" t="s">
        <v>288</v>
      </c>
      <c r="E34" s="323" t="s">
        <v>289</v>
      </c>
      <c r="F34" s="322"/>
      <c r="G34" s="222">
        <v>7277873</v>
      </c>
      <c r="H34" s="323" t="s">
        <v>290</v>
      </c>
      <c r="I34" s="363">
        <v>1170329107</v>
      </c>
      <c r="J34" s="358" t="s">
        <v>584</v>
      </c>
      <c r="K34" s="61" t="s">
        <v>587</v>
      </c>
      <c r="L34" s="351" t="s">
        <v>594</v>
      </c>
      <c r="M34" s="361" t="s">
        <v>413</v>
      </c>
    </row>
    <row r="35" spans="1:14" s="50" customFormat="1" ht="14.1" customHeight="1">
      <c r="A35" s="243">
        <v>22</v>
      </c>
      <c r="B35" s="323" t="s">
        <v>278</v>
      </c>
      <c r="C35" s="323" t="s">
        <v>291</v>
      </c>
      <c r="D35" s="323" t="s">
        <v>292</v>
      </c>
      <c r="E35" s="323" t="s">
        <v>293</v>
      </c>
      <c r="F35" s="322"/>
      <c r="G35" s="222">
        <v>6901662</v>
      </c>
      <c r="H35" s="323" t="s">
        <v>197</v>
      </c>
      <c r="I35" s="221" t="s">
        <v>583</v>
      </c>
      <c r="J35" s="358" t="s">
        <v>584</v>
      </c>
      <c r="K35" s="43" t="s">
        <v>589</v>
      </c>
      <c r="L35" s="244" t="s">
        <v>594</v>
      </c>
      <c r="M35" s="361" t="s">
        <v>414</v>
      </c>
    </row>
    <row r="36" spans="1:14" s="50" customFormat="1" ht="14.1" customHeight="1">
      <c r="A36" s="243">
        <v>23</v>
      </c>
      <c r="B36" s="323" t="s">
        <v>278</v>
      </c>
      <c r="C36" s="323" t="s">
        <v>279</v>
      </c>
      <c r="D36" s="323" t="s">
        <v>280</v>
      </c>
      <c r="E36" s="323" t="s">
        <v>281</v>
      </c>
      <c r="F36" s="322"/>
      <c r="G36" s="244">
        <v>4319305</v>
      </c>
      <c r="H36" s="323" t="s">
        <v>197</v>
      </c>
      <c r="I36" s="221">
        <v>120170997</v>
      </c>
      <c r="J36" s="358" t="s">
        <v>584</v>
      </c>
      <c r="K36" s="43" t="s">
        <v>589</v>
      </c>
      <c r="L36" s="244" t="s">
        <v>599</v>
      </c>
      <c r="M36" s="361" t="s">
        <v>411</v>
      </c>
    </row>
    <row r="37" spans="1:14" s="50" customFormat="1" ht="14.1" customHeight="1">
      <c r="A37" s="243">
        <v>24</v>
      </c>
      <c r="B37" s="323" t="s">
        <v>278</v>
      </c>
      <c r="C37" s="323" t="s">
        <v>294</v>
      </c>
      <c r="D37" s="323" t="s">
        <v>295</v>
      </c>
      <c r="E37" s="323" t="s">
        <v>285</v>
      </c>
      <c r="F37" s="322" t="s">
        <v>296</v>
      </c>
      <c r="G37" s="222">
        <v>6819455</v>
      </c>
      <c r="H37" s="323" t="s">
        <v>197</v>
      </c>
      <c r="I37" s="221">
        <v>1200432907</v>
      </c>
      <c r="J37" s="358" t="s">
        <v>584</v>
      </c>
      <c r="K37" s="43" t="s">
        <v>589</v>
      </c>
      <c r="L37" s="244" t="s">
        <v>594</v>
      </c>
      <c r="M37" s="361" t="s">
        <v>415</v>
      </c>
    </row>
    <row r="38" spans="1:14" s="50" customFormat="1" ht="14.1" customHeight="1">
      <c r="A38" s="243">
        <v>25</v>
      </c>
      <c r="B38" s="323" t="s">
        <v>282</v>
      </c>
      <c r="C38" s="323" t="s">
        <v>283</v>
      </c>
      <c r="D38" s="323" t="s">
        <v>284</v>
      </c>
      <c r="E38" s="323" t="s">
        <v>285</v>
      </c>
      <c r="F38" s="322"/>
      <c r="G38" s="222">
        <v>5509843</v>
      </c>
      <c r="H38" s="323" t="s">
        <v>286</v>
      </c>
      <c r="I38" s="221">
        <v>102827099</v>
      </c>
      <c r="J38" s="358" t="s">
        <v>584</v>
      </c>
      <c r="K38" s="43" t="s">
        <v>598</v>
      </c>
      <c r="L38" s="244" t="s">
        <v>600</v>
      </c>
      <c r="M38" s="361" t="s">
        <v>412</v>
      </c>
    </row>
    <row r="39" spans="1:14" s="50" customFormat="1" ht="14.1" customHeight="1">
      <c r="A39" s="243">
        <v>26</v>
      </c>
      <c r="B39" s="323" t="s">
        <v>15</v>
      </c>
      <c r="C39" s="323" t="s">
        <v>297</v>
      </c>
      <c r="D39" s="323" t="s">
        <v>298</v>
      </c>
      <c r="E39" s="323" t="s">
        <v>299</v>
      </c>
      <c r="F39" s="322"/>
      <c r="G39" s="222">
        <v>7018817</v>
      </c>
      <c r="H39" s="323" t="s">
        <v>203</v>
      </c>
      <c r="I39" s="357" t="s">
        <v>583</v>
      </c>
      <c r="J39" s="358" t="s">
        <v>584</v>
      </c>
      <c r="K39" s="359" t="s">
        <v>589</v>
      </c>
      <c r="L39" s="360" t="s">
        <v>591</v>
      </c>
      <c r="M39" s="361" t="s">
        <v>416</v>
      </c>
    </row>
    <row r="40" spans="1:14" s="50" customFormat="1" ht="14.1" customHeight="1">
      <c r="A40" s="243">
        <v>27</v>
      </c>
      <c r="B40" s="323" t="s">
        <v>15</v>
      </c>
      <c r="C40" s="323" t="s">
        <v>300</v>
      </c>
      <c r="D40" s="323" t="s">
        <v>301</v>
      </c>
      <c r="E40" s="323" t="s">
        <v>302</v>
      </c>
      <c r="F40" s="322" t="s">
        <v>303</v>
      </c>
      <c r="G40" s="222">
        <v>7348148</v>
      </c>
      <c r="H40" s="323" t="s">
        <v>253</v>
      </c>
      <c r="I40" s="357" t="s">
        <v>596</v>
      </c>
      <c r="J40" s="358" t="s">
        <v>584</v>
      </c>
      <c r="K40" s="359" t="s">
        <v>589</v>
      </c>
      <c r="L40" s="360" t="s">
        <v>591</v>
      </c>
      <c r="M40" s="361" t="s">
        <v>417</v>
      </c>
    </row>
    <row r="41" spans="1:14" s="50" customFormat="1" ht="14.1" customHeight="1">
      <c r="A41" s="243">
        <v>28</v>
      </c>
      <c r="B41" s="323" t="s">
        <v>318</v>
      </c>
      <c r="C41" s="323" t="s">
        <v>330</v>
      </c>
      <c r="D41" s="323" t="s">
        <v>331</v>
      </c>
      <c r="E41" s="323" t="s">
        <v>223</v>
      </c>
      <c r="F41" s="322" t="s">
        <v>311</v>
      </c>
      <c r="G41" s="222">
        <v>8068393</v>
      </c>
      <c r="H41" s="323" t="s">
        <v>238</v>
      </c>
      <c r="I41" s="221" t="s">
        <v>583</v>
      </c>
      <c r="J41" s="358" t="s">
        <v>584</v>
      </c>
      <c r="K41" s="43" t="s">
        <v>595</v>
      </c>
      <c r="L41" s="244" t="s">
        <v>586</v>
      </c>
      <c r="M41" s="361" t="s">
        <v>426</v>
      </c>
    </row>
    <row r="42" spans="1:14" s="50" customFormat="1" ht="14.1" customHeight="1">
      <c r="A42" s="243">
        <v>29</v>
      </c>
      <c r="B42" s="323" t="s">
        <v>304</v>
      </c>
      <c r="C42" s="323" t="s">
        <v>305</v>
      </c>
      <c r="D42" s="323" t="s">
        <v>306</v>
      </c>
      <c r="E42" s="323" t="s">
        <v>307</v>
      </c>
      <c r="F42" s="322"/>
      <c r="G42" s="222">
        <v>7277293</v>
      </c>
      <c r="H42" s="323" t="s">
        <v>253</v>
      </c>
      <c r="I42" s="357" t="s">
        <v>583</v>
      </c>
      <c r="J42" s="358" t="s">
        <v>584</v>
      </c>
      <c r="K42" s="359" t="s">
        <v>587</v>
      </c>
      <c r="L42" s="360" t="s">
        <v>586</v>
      </c>
      <c r="M42" s="361" t="s">
        <v>418</v>
      </c>
    </row>
    <row r="43" spans="1:14" s="50" customFormat="1" ht="14.1" customHeight="1">
      <c r="A43" s="243">
        <v>30</v>
      </c>
      <c r="B43" s="323" t="s">
        <v>318</v>
      </c>
      <c r="C43" s="323" t="s">
        <v>325</v>
      </c>
      <c r="D43" s="323" t="s">
        <v>326</v>
      </c>
      <c r="E43" s="323" t="s">
        <v>327</v>
      </c>
      <c r="F43" s="322" t="s">
        <v>328</v>
      </c>
      <c r="G43" s="222">
        <v>7060385</v>
      </c>
      <c r="H43" s="323" t="s">
        <v>197</v>
      </c>
      <c r="I43" s="221">
        <v>101167007</v>
      </c>
      <c r="J43" s="358" t="s">
        <v>584</v>
      </c>
      <c r="K43" s="43" t="s">
        <v>589</v>
      </c>
      <c r="L43" s="244" t="s">
        <v>586</v>
      </c>
      <c r="M43" s="361" t="s">
        <v>424</v>
      </c>
    </row>
    <row r="44" spans="1:14" s="50" customFormat="1" ht="14.1" customHeight="1">
      <c r="A44" s="243">
        <v>31</v>
      </c>
      <c r="B44" s="323" t="s">
        <v>318</v>
      </c>
      <c r="C44" s="323" t="s">
        <v>267</v>
      </c>
      <c r="D44" s="323" t="s">
        <v>267</v>
      </c>
      <c r="E44" s="323" t="s">
        <v>329</v>
      </c>
      <c r="F44" s="322"/>
      <c r="G44" s="222">
        <v>7872668</v>
      </c>
      <c r="H44" s="323" t="s">
        <v>192</v>
      </c>
      <c r="I44" s="221" t="s">
        <v>583</v>
      </c>
      <c r="J44" s="358" t="s">
        <v>584</v>
      </c>
      <c r="K44" s="43" t="s">
        <v>585</v>
      </c>
      <c r="L44" s="244" t="s">
        <v>586</v>
      </c>
      <c r="M44" s="361" t="s">
        <v>425</v>
      </c>
      <c r="N44" s="272"/>
    </row>
    <row r="45" spans="1:14" s="50" customFormat="1" ht="14.1" customHeight="1">
      <c r="A45" s="243">
        <v>32</v>
      </c>
      <c r="B45" s="323" t="s">
        <v>318</v>
      </c>
      <c r="C45" s="323" t="s">
        <v>321</v>
      </c>
      <c r="D45" s="323" t="s">
        <v>266</v>
      </c>
      <c r="E45" s="323" t="s">
        <v>322</v>
      </c>
      <c r="F45" s="322"/>
      <c r="G45" s="222">
        <v>6246772</v>
      </c>
      <c r="H45" s="323" t="s">
        <v>238</v>
      </c>
      <c r="I45" s="221" t="s">
        <v>596</v>
      </c>
      <c r="J45" s="358" t="s">
        <v>584</v>
      </c>
      <c r="K45" s="43" t="s">
        <v>595</v>
      </c>
      <c r="L45" s="244" t="s">
        <v>591</v>
      </c>
      <c r="M45" s="361" t="s">
        <v>422</v>
      </c>
      <c r="N45" s="268"/>
    </row>
    <row r="46" spans="1:14" s="50" customFormat="1" ht="14.1" customHeight="1">
      <c r="A46" s="243">
        <v>33</v>
      </c>
      <c r="B46" s="323" t="s">
        <v>318</v>
      </c>
      <c r="C46" s="323" t="s">
        <v>323</v>
      </c>
      <c r="D46" s="323" t="s">
        <v>305</v>
      </c>
      <c r="E46" s="323" t="s">
        <v>324</v>
      </c>
      <c r="F46" s="322" t="s">
        <v>263</v>
      </c>
      <c r="G46" s="222">
        <v>8874169</v>
      </c>
      <c r="H46" s="323" t="s">
        <v>238</v>
      </c>
      <c r="I46" s="365" t="s">
        <v>602</v>
      </c>
      <c r="J46" s="358" t="s">
        <v>584</v>
      </c>
      <c r="K46" s="43" t="s">
        <v>595</v>
      </c>
      <c r="L46" s="244" t="s">
        <v>591</v>
      </c>
      <c r="M46" s="361" t="s">
        <v>423</v>
      </c>
    </row>
    <row r="47" spans="1:14" s="50" customFormat="1" ht="14.1" customHeight="1">
      <c r="A47" s="243">
        <v>34</v>
      </c>
      <c r="B47" s="323" t="s">
        <v>318</v>
      </c>
      <c r="C47" s="323" t="s">
        <v>319</v>
      </c>
      <c r="D47" s="323" t="s">
        <v>195</v>
      </c>
      <c r="E47" s="323" t="s">
        <v>320</v>
      </c>
      <c r="F47" s="322"/>
      <c r="G47" s="222">
        <v>8107648</v>
      </c>
      <c r="H47" s="323" t="s">
        <v>238</v>
      </c>
      <c r="I47" s="221" t="s">
        <v>583</v>
      </c>
      <c r="J47" s="43" t="s">
        <v>593</v>
      </c>
      <c r="K47" s="43" t="s">
        <v>585</v>
      </c>
      <c r="L47" s="244" t="s">
        <v>591</v>
      </c>
      <c r="M47" s="361" t="s">
        <v>421</v>
      </c>
    </row>
    <row r="48" spans="1:14" s="50" customFormat="1" ht="14.1" customHeight="1">
      <c r="A48" s="243">
        <v>35</v>
      </c>
      <c r="B48" s="322" t="s">
        <v>16</v>
      </c>
      <c r="C48" s="322" t="s">
        <v>312</v>
      </c>
      <c r="D48" s="322" t="s">
        <v>313</v>
      </c>
      <c r="E48" s="322" t="s">
        <v>314</v>
      </c>
      <c r="F48" s="322" t="s">
        <v>315</v>
      </c>
      <c r="G48" s="244">
        <v>8860109</v>
      </c>
      <c r="H48" s="221" t="s">
        <v>238</v>
      </c>
      <c r="I48" s="221" t="s">
        <v>583</v>
      </c>
      <c r="J48" s="43" t="s">
        <v>584</v>
      </c>
      <c r="K48" s="43" t="s">
        <v>595</v>
      </c>
      <c r="L48" s="244" t="s">
        <v>588</v>
      </c>
      <c r="M48" s="352" t="s">
        <v>420</v>
      </c>
    </row>
    <row r="49" spans="1:16" s="50" customFormat="1" ht="14.1" customHeight="1">
      <c r="A49" s="243">
        <v>36</v>
      </c>
      <c r="B49" s="192" t="s">
        <v>308</v>
      </c>
      <c r="C49" s="192" t="s">
        <v>692</v>
      </c>
      <c r="D49" s="192" t="s">
        <v>693</v>
      </c>
      <c r="E49" s="192" t="s">
        <v>694</v>
      </c>
      <c r="F49" s="192"/>
      <c r="G49" s="340">
        <v>8862207</v>
      </c>
      <c r="H49" s="192" t="s">
        <v>238</v>
      </c>
      <c r="I49" s="221" t="s">
        <v>583</v>
      </c>
      <c r="J49" s="43" t="s">
        <v>584</v>
      </c>
      <c r="K49" s="43" t="s">
        <v>595</v>
      </c>
      <c r="L49" s="244" t="s">
        <v>586</v>
      </c>
      <c r="M49" s="387" t="s">
        <v>695</v>
      </c>
    </row>
    <row r="50" spans="1:16" s="50" customFormat="1" ht="14.1" customHeight="1">
      <c r="A50" s="243">
        <v>37</v>
      </c>
      <c r="B50" s="323" t="s">
        <v>308</v>
      </c>
      <c r="C50" s="323" t="s">
        <v>309</v>
      </c>
      <c r="D50" s="323" t="s">
        <v>255</v>
      </c>
      <c r="E50" s="323" t="s">
        <v>310</v>
      </c>
      <c r="F50" s="322" t="s">
        <v>311</v>
      </c>
      <c r="G50" s="222">
        <v>7054084</v>
      </c>
      <c r="H50" s="323" t="s">
        <v>203</v>
      </c>
      <c r="I50" s="357" t="s">
        <v>596</v>
      </c>
      <c r="J50" s="358" t="s">
        <v>584</v>
      </c>
      <c r="K50" s="359" t="s">
        <v>589</v>
      </c>
      <c r="L50" s="360" t="s">
        <v>591</v>
      </c>
      <c r="M50" s="361" t="s">
        <v>419</v>
      </c>
    </row>
    <row r="51" spans="1:16" s="50" customFormat="1" ht="14.45" customHeight="1">
      <c r="A51" s="243">
        <v>38</v>
      </c>
      <c r="B51" s="323" t="s">
        <v>308</v>
      </c>
      <c r="C51" s="323" t="s">
        <v>333</v>
      </c>
      <c r="D51" s="323" t="s">
        <v>334</v>
      </c>
      <c r="E51" s="323" t="s">
        <v>263</v>
      </c>
      <c r="F51" s="322"/>
      <c r="G51" s="222">
        <v>9412003</v>
      </c>
      <c r="H51" s="323" t="s">
        <v>192</v>
      </c>
      <c r="I51" s="221">
        <v>122014915</v>
      </c>
      <c r="J51" s="358" t="s">
        <v>584</v>
      </c>
      <c r="K51" s="43" t="s">
        <v>585</v>
      </c>
      <c r="L51" s="244" t="s">
        <v>590</v>
      </c>
      <c r="M51" s="361" t="s">
        <v>427</v>
      </c>
    </row>
    <row r="52" spans="1:16" s="50" customFormat="1" ht="14.1" customHeight="1">
      <c r="A52" s="243">
        <v>39</v>
      </c>
      <c r="B52" s="323" t="s">
        <v>308</v>
      </c>
      <c r="C52" s="323" t="s">
        <v>199</v>
      </c>
      <c r="D52" s="323" t="s">
        <v>280</v>
      </c>
      <c r="E52" s="323" t="s">
        <v>335</v>
      </c>
      <c r="F52" s="322"/>
      <c r="G52" s="222">
        <v>9077468</v>
      </c>
      <c r="H52" s="323" t="s">
        <v>197</v>
      </c>
      <c r="I52" s="221">
        <v>36707013</v>
      </c>
      <c r="J52" s="358" t="s">
        <v>584</v>
      </c>
      <c r="K52" s="43" t="s">
        <v>589</v>
      </c>
      <c r="L52" s="244" t="s">
        <v>603</v>
      </c>
      <c r="M52" s="361" t="s">
        <v>428</v>
      </c>
    </row>
    <row r="53" spans="1:16" s="50" customFormat="1" ht="14.1" customHeight="1">
      <c r="A53" s="243">
        <v>40</v>
      </c>
      <c r="B53" s="323" t="s">
        <v>332</v>
      </c>
      <c r="C53" s="323" t="s">
        <v>339</v>
      </c>
      <c r="D53" s="323" t="s">
        <v>340</v>
      </c>
      <c r="E53" s="323" t="s">
        <v>341</v>
      </c>
      <c r="F53" s="322"/>
      <c r="G53" s="222">
        <v>12948856</v>
      </c>
      <c r="H53" s="323" t="s">
        <v>238</v>
      </c>
      <c r="I53" s="221">
        <v>121880515</v>
      </c>
      <c r="J53" s="358" t="s">
        <v>584</v>
      </c>
      <c r="K53" s="43" t="s">
        <v>595</v>
      </c>
      <c r="L53" s="244" t="s">
        <v>586</v>
      </c>
      <c r="M53" s="361" t="s">
        <v>430</v>
      </c>
    </row>
    <row r="54" spans="1:16" s="50" customFormat="1" ht="13.5" customHeight="1">
      <c r="A54" s="243">
        <v>41</v>
      </c>
      <c r="B54" s="323" t="s">
        <v>332</v>
      </c>
      <c r="C54" s="323" t="s">
        <v>346</v>
      </c>
      <c r="D54" s="323" t="s">
        <v>347</v>
      </c>
      <c r="E54" s="323" t="s">
        <v>348</v>
      </c>
      <c r="F54" s="322" t="s">
        <v>349</v>
      </c>
      <c r="G54" s="222">
        <v>8378545</v>
      </c>
      <c r="H54" s="323" t="s">
        <v>197</v>
      </c>
      <c r="I54" s="221" t="s">
        <v>596</v>
      </c>
      <c r="J54" s="358" t="s">
        <v>584</v>
      </c>
      <c r="K54" s="43" t="s">
        <v>589</v>
      </c>
      <c r="L54" s="244" t="s">
        <v>586</v>
      </c>
      <c r="M54" s="361" t="s">
        <v>432</v>
      </c>
    </row>
    <row r="55" spans="1:16" s="50" customFormat="1" ht="13.5" customHeight="1">
      <c r="A55" s="243">
        <v>42</v>
      </c>
      <c r="B55" s="323" t="s">
        <v>332</v>
      </c>
      <c r="C55" s="323" t="s">
        <v>336</v>
      </c>
      <c r="D55" s="323" t="s">
        <v>337</v>
      </c>
      <c r="E55" s="323" t="s">
        <v>338</v>
      </c>
      <c r="F55" s="322"/>
      <c r="G55" s="222">
        <v>9906086</v>
      </c>
      <c r="H55" s="323" t="s">
        <v>197</v>
      </c>
      <c r="I55" s="221" t="s">
        <v>583</v>
      </c>
      <c r="J55" s="358" t="s">
        <v>584</v>
      </c>
      <c r="K55" s="43" t="s">
        <v>595</v>
      </c>
      <c r="L55" s="244" t="s">
        <v>586</v>
      </c>
      <c r="M55" s="361" t="s">
        <v>429</v>
      </c>
    </row>
    <row r="56" spans="1:16" s="50" customFormat="1" ht="13.5" customHeight="1">
      <c r="A56" s="243">
        <v>43</v>
      </c>
      <c r="B56" s="323" t="s">
        <v>332</v>
      </c>
      <c r="C56" s="323" t="s">
        <v>342</v>
      </c>
      <c r="D56" s="323" t="s">
        <v>343</v>
      </c>
      <c r="E56" s="323" t="s">
        <v>344</v>
      </c>
      <c r="F56" s="322" t="s">
        <v>345</v>
      </c>
      <c r="G56" s="222">
        <v>9771998</v>
      </c>
      <c r="H56" s="323" t="s">
        <v>238</v>
      </c>
      <c r="I56" s="221" t="s">
        <v>596</v>
      </c>
      <c r="J56" s="358" t="s">
        <v>584</v>
      </c>
      <c r="K56" s="43" t="s">
        <v>595</v>
      </c>
      <c r="L56" s="244" t="s">
        <v>586</v>
      </c>
      <c r="M56" s="361" t="s">
        <v>431</v>
      </c>
    </row>
    <row r="57" spans="1:16" s="50" customFormat="1" ht="13.5" customHeight="1">
      <c r="A57" s="243">
        <v>44</v>
      </c>
      <c r="B57" s="323" t="s">
        <v>350</v>
      </c>
      <c r="C57" s="323" t="s">
        <v>351</v>
      </c>
      <c r="D57" s="323" t="s">
        <v>352</v>
      </c>
      <c r="E57" s="323" t="s">
        <v>310</v>
      </c>
      <c r="F57" s="322" t="s">
        <v>353</v>
      </c>
      <c r="G57" s="222">
        <v>6288269</v>
      </c>
      <c r="H57" s="323" t="s">
        <v>354</v>
      </c>
      <c r="I57" s="357" t="s">
        <v>604</v>
      </c>
      <c r="J57" s="358" t="s">
        <v>584</v>
      </c>
      <c r="K57" s="359" t="s">
        <v>595</v>
      </c>
      <c r="L57" s="360" t="s">
        <v>592</v>
      </c>
      <c r="M57" s="361" t="s">
        <v>433</v>
      </c>
    </row>
    <row r="58" spans="1:16" s="50" customFormat="1" ht="13.5" customHeight="1">
      <c r="A58" s="243">
        <v>45</v>
      </c>
      <c r="B58" s="323" t="s">
        <v>350</v>
      </c>
      <c r="C58" s="323" t="s">
        <v>276</v>
      </c>
      <c r="D58" s="323" t="s">
        <v>355</v>
      </c>
      <c r="E58" s="323" t="s">
        <v>356</v>
      </c>
      <c r="F58" s="322"/>
      <c r="G58" s="222">
        <v>9734078</v>
      </c>
      <c r="H58" s="323" t="s">
        <v>354</v>
      </c>
      <c r="I58" s="357" t="s">
        <v>605</v>
      </c>
      <c r="J58" s="358" t="s">
        <v>584</v>
      </c>
      <c r="K58" s="359" t="s">
        <v>595</v>
      </c>
      <c r="L58" s="360" t="s">
        <v>591</v>
      </c>
      <c r="M58" s="361" t="s">
        <v>434</v>
      </c>
    </row>
    <row r="59" spans="1:16" s="50" customFormat="1" ht="13.5" customHeight="1">
      <c r="A59" s="243">
        <v>46</v>
      </c>
      <c r="B59" s="43" t="s">
        <v>332</v>
      </c>
      <c r="C59" s="43" t="s">
        <v>606</v>
      </c>
      <c r="D59" s="43" t="s">
        <v>358</v>
      </c>
      <c r="E59" s="43" t="s">
        <v>359</v>
      </c>
      <c r="F59" s="43"/>
      <c r="G59" s="244">
        <v>4695759</v>
      </c>
      <c r="H59" s="221" t="s">
        <v>238</v>
      </c>
      <c r="I59" s="357">
        <v>620200</v>
      </c>
      <c r="J59" s="358" t="s">
        <v>584</v>
      </c>
      <c r="K59" s="359" t="s">
        <v>595</v>
      </c>
      <c r="L59" s="360" t="s">
        <v>607</v>
      </c>
      <c r="M59" s="352" t="s">
        <v>435</v>
      </c>
    </row>
    <row r="60" spans="1:16" s="50" customFormat="1" ht="13.5" customHeight="1">
      <c r="A60" s="243">
        <v>47</v>
      </c>
      <c r="B60" s="323" t="s">
        <v>360</v>
      </c>
      <c r="C60" s="323" t="s">
        <v>361</v>
      </c>
      <c r="D60" s="323" t="s">
        <v>362</v>
      </c>
      <c r="E60" s="323" t="s">
        <v>363</v>
      </c>
      <c r="F60" s="322" t="s">
        <v>364</v>
      </c>
      <c r="G60" s="222">
        <v>1039546</v>
      </c>
      <c r="H60" s="323" t="s">
        <v>365</v>
      </c>
      <c r="I60" s="363" t="s">
        <v>583</v>
      </c>
      <c r="J60" s="358" t="s">
        <v>608</v>
      </c>
      <c r="K60" s="61" t="s">
        <v>609</v>
      </c>
      <c r="L60" s="351" t="s">
        <v>591</v>
      </c>
      <c r="M60" s="361" t="s">
        <v>436</v>
      </c>
    </row>
    <row r="62" spans="1:16" ht="12" customHeight="1">
      <c r="A62" s="49" t="s">
        <v>656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182"/>
    </row>
    <row r="63" spans="1:16" ht="12" customHeight="1">
      <c r="A63" s="84" t="s">
        <v>611</v>
      </c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186"/>
    </row>
    <row r="64" spans="1:16" ht="14.45" customHeight="1">
      <c r="A64" s="432" t="s">
        <v>689</v>
      </c>
      <c r="B64" s="433"/>
      <c r="C64" s="433"/>
      <c r="D64" s="433"/>
      <c r="E64" s="46"/>
      <c r="F64" s="47"/>
      <c r="G64" s="48"/>
      <c r="H64" s="47"/>
      <c r="I64" s="47"/>
      <c r="J64" s="47"/>
      <c r="K64" s="48"/>
      <c r="L64" s="47"/>
      <c r="M64" s="50"/>
      <c r="P64" s="11"/>
    </row>
    <row r="65" spans="1:13">
      <c r="A65" s="51"/>
      <c r="F65" s="5"/>
      <c r="G65"/>
      <c r="H65" s="42"/>
      <c r="I65"/>
      <c r="K65" s="11"/>
      <c r="L65"/>
    </row>
    <row r="66" spans="1:13">
      <c r="A66" s="51"/>
      <c r="C66" s="441" t="s">
        <v>610</v>
      </c>
      <c r="D66" s="441"/>
      <c r="E66" s="441"/>
      <c r="F66" s="11"/>
      <c r="G66" s="11"/>
      <c r="H66" s="42"/>
      <c r="I66" s="441" t="s">
        <v>690</v>
      </c>
      <c r="J66" s="441"/>
      <c r="K66" s="441"/>
      <c r="L66" s="441"/>
      <c r="M66" s="441"/>
    </row>
    <row r="67" spans="1:13">
      <c r="A67"/>
      <c r="C67" s="431" t="s">
        <v>167</v>
      </c>
      <c r="D67" s="431"/>
      <c r="E67" s="431"/>
      <c r="F67" s="11"/>
      <c r="G67" s="11"/>
      <c r="H67" s="42"/>
      <c r="I67" s="431" t="s">
        <v>691</v>
      </c>
      <c r="J67" s="431"/>
      <c r="K67" s="431"/>
      <c r="L67" s="431"/>
      <c r="M67" s="431"/>
    </row>
    <row r="68" spans="1:13">
      <c r="A68"/>
      <c r="F68" s="121"/>
      <c r="G68" s="11"/>
      <c r="H68" s="42"/>
      <c r="I68"/>
      <c r="J68" s="202"/>
      <c r="K68" s="11"/>
      <c r="L68"/>
    </row>
  </sheetData>
  <mergeCells count="12">
    <mergeCell ref="I67:M67"/>
    <mergeCell ref="B3:D3"/>
    <mergeCell ref="B4:D4"/>
    <mergeCell ref="B5:D5"/>
    <mergeCell ref="C66:E66"/>
    <mergeCell ref="C67:E67"/>
    <mergeCell ref="A7:D7"/>
    <mergeCell ref="A8:K8"/>
    <mergeCell ref="A9:K9"/>
    <mergeCell ref="A12:K12"/>
    <mergeCell ref="I66:M66"/>
    <mergeCell ref="A64:D64"/>
  </mergeCells>
  <phoneticPr fontId="30" type="noConversion"/>
  <conditionalFormatting sqref="G20">
    <cfRule type="duplicateValues" dxfId="3" priority="3"/>
  </conditionalFormatting>
  <conditionalFormatting sqref="G21">
    <cfRule type="duplicateValues" dxfId="2" priority="1"/>
  </conditionalFormatting>
  <conditionalFormatting sqref="G36">
    <cfRule type="duplicateValues" dxfId="1" priority="6"/>
  </conditionalFormatting>
  <conditionalFormatting sqref="G48">
    <cfRule type="duplicateValues" dxfId="0" priority="5"/>
  </conditionalFormatting>
  <hyperlinks>
    <hyperlink ref="M42" r:id="rId1" xr:uid="{D2671751-F546-45A7-A271-39047824C483}"/>
    <hyperlink ref="M57" r:id="rId2" xr:uid="{BDCFEED4-45A2-4B33-8C08-910630A3077B}"/>
    <hyperlink ref="M40" r:id="rId3" xr:uid="{C311B68E-2CD3-4434-A305-E36B093284C9}"/>
    <hyperlink ref="M17" r:id="rId4" xr:uid="{37FE512E-5C77-4026-A911-BCDC6DBAFBB7}"/>
    <hyperlink ref="M60" r:id="rId5" xr:uid="{0D071EB9-706C-47BF-B850-43BEB3A7A4EC}"/>
    <hyperlink ref="M34" r:id="rId6" xr:uid="{63B33E81-83FA-4FDC-B88C-3E89E74C881F}"/>
    <hyperlink ref="M25" r:id="rId7" xr:uid="{D77D7D7D-D164-4E5D-B924-B8DD1671A989}"/>
    <hyperlink ref="M26" r:id="rId8" xr:uid="{99F09578-F2DB-4FEB-834D-3C7903606366}"/>
    <hyperlink ref="M50" r:id="rId9" xr:uid="{4BECA16A-C84A-43BA-B108-0DEC70F8933A}"/>
    <hyperlink ref="M24" r:id="rId10" xr:uid="{6F0EB2D1-E73A-4E56-AA34-61BFB1842A7D}"/>
    <hyperlink ref="M39" r:id="rId11" xr:uid="{5C51497D-794B-4B89-8117-CC63B0424FE0}"/>
    <hyperlink ref="M14" r:id="rId12" xr:uid="{23FCC26A-EBEE-4224-BAFD-907813858282}"/>
    <hyperlink ref="M16" r:id="rId13" xr:uid="{A78DCE39-5423-4DA9-B05A-2CD0182156F8}"/>
    <hyperlink ref="M15" r:id="rId14" xr:uid="{759A40BE-2C5D-4595-8AF1-AB8C1CAA9201}"/>
    <hyperlink ref="M18" r:id="rId15" xr:uid="{6418AB5A-B4B3-4221-A6BA-A5FD52696EDC}"/>
    <hyperlink ref="M22" r:id="rId16" xr:uid="{F44FCE76-F7B6-4A40-9FB1-451513840C53}"/>
    <hyperlink ref="M29" r:id="rId17" xr:uid="{05B3906E-3E38-4E67-8617-84C699E973EC}"/>
    <hyperlink ref="M30" r:id="rId18" xr:uid="{CE4E9FF6-687B-48B2-B925-AA1C253C94A2}"/>
    <hyperlink ref="M31" r:id="rId19" xr:uid="{F00CE967-C201-4FDF-8197-75A02186F122}"/>
    <hyperlink ref="M32" r:id="rId20" xr:uid="{C7DBC87D-67D4-4D25-AFB2-A38D82AF3A9E}"/>
    <hyperlink ref="M33" r:id="rId21" xr:uid="{5E4F6BD1-5D7D-4719-9655-639AD67FD6EF}"/>
    <hyperlink ref="M35" r:id="rId22" xr:uid="{E401695A-C715-46D6-9C3D-E00BBA2F652A}"/>
    <hyperlink ref="M36" r:id="rId23" xr:uid="{E5F6751D-0217-4F42-9048-E6A42BBCD969}"/>
    <hyperlink ref="M37" r:id="rId24" xr:uid="{9317185A-46B4-4D2B-A9E2-923DB86F73B3}"/>
    <hyperlink ref="M38" r:id="rId25" xr:uid="{EA51B4AD-94BC-4C48-A2D6-C4B0B644451B}"/>
    <hyperlink ref="M45" r:id="rId26" display="Cristianalmendras96@" xr:uid="{D2F8768B-3175-4212-999C-B1D33C304BEF}"/>
    <hyperlink ref="M43" r:id="rId27" xr:uid="{A55677B2-AA7F-4626-A2DD-87F8D1973AC8}"/>
    <hyperlink ref="M46" r:id="rId28" xr:uid="{7C8631A7-50EF-49BF-98F6-2F90156BE83B}"/>
    <hyperlink ref="M44" r:id="rId29" xr:uid="{01D58A52-2253-4C2A-B031-28C216F1FD70}"/>
    <hyperlink ref="M47" r:id="rId30" xr:uid="{82E4D287-CA52-4F58-902F-D937AFFA8E6D}"/>
    <hyperlink ref="M41" r:id="rId31" xr:uid="{6FE8319C-91CB-4984-901E-82C39EA2AA46}"/>
    <hyperlink ref="M52" r:id="rId32" xr:uid="{EFA3D14A-77BA-4B2B-937F-C92DE72E7521}"/>
    <hyperlink ref="M51" r:id="rId33" xr:uid="{D81D7425-F204-4A44-A842-CF42D0400AF6}"/>
    <hyperlink ref="M54" r:id="rId34" xr:uid="{0FB20A15-FE53-4BCB-9B16-FCDA73E4FD6C}"/>
    <hyperlink ref="M55" r:id="rId35" xr:uid="{0239B1F4-A4AD-49CA-8C83-BFB4A038BCCB}"/>
    <hyperlink ref="M56" r:id="rId36" xr:uid="{BCF34CCD-BC95-437B-B20B-D31AAAA5CE77}"/>
    <hyperlink ref="M23" r:id="rId37" xr:uid="{E43805D5-788A-417D-9150-682B1DFF2A2D}"/>
    <hyperlink ref="M53" r:id="rId38" xr:uid="{D8F3F279-82BC-4DDC-A0F1-5DA832ED70E3}"/>
    <hyperlink ref="M59" r:id="rId39" xr:uid="{EC8A4632-5C64-4F3B-83C6-F770BFD7E010}"/>
    <hyperlink ref="M48" r:id="rId40" xr:uid="{0B76282E-3ABC-421F-9D54-1FE98F7F66C8}"/>
    <hyperlink ref="M19" r:id="rId41" xr:uid="{B5B85C4A-DD4B-4F21-B651-7134E8D57129}"/>
    <hyperlink ref="M20" r:id="rId42" xr:uid="{47EC6B1C-B585-4F3D-BDEA-E255A46CA3D9}"/>
    <hyperlink ref="M27" r:id="rId43" xr:uid="{4A9603F0-7B4E-47D5-AB9D-6F09628CE4A4}"/>
    <hyperlink ref="M28" r:id="rId44" xr:uid="{44DC48B6-D671-416E-A22C-93E3C0972FC9}"/>
    <hyperlink ref="M21" r:id="rId45" xr:uid="{2B661F7F-0C8A-48C6-9980-15C25B223A19}"/>
    <hyperlink ref="M49" r:id="rId46" xr:uid="{9DCC2820-8EF5-4FC6-A543-9C0414049D90}"/>
  </hyperlinks>
  <pageMargins left="0.70866141732283472" right="0.70866141732283472" top="0.74803149606299213" bottom="0.74803149606299213" header="0.31496062992125984" footer="0.31496062992125984"/>
  <pageSetup paperSize="256" scale="58" orientation="portrait" horizontalDpi="1200" verticalDpi="1200" r:id="rId47"/>
  <drawing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10</vt:i4>
      </vt:variant>
    </vt:vector>
  </HeadingPairs>
  <TitlesOfParts>
    <vt:vector size="28" baseType="lpstr">
      <vt:lpstr>FOR-001</vt:lpstr>
      <vt:lpstr>FOR-002</vt:lpstr>
      <vt:lpstr>FOR-003</vt:lpstr>
      <vt:lpstr>FOR-004</vt:lpstr>
      <vt:lpstr>FOR-005</vt:lpstr>
      <vt:lpstr>FOR-006</vt:lpstr>
      <vt:lpstr>FOR-007</vt:lpstr>
      <vt:lpstr>FOR-008</vt:lpstr>
      <vt:lpstr>FOR-009</vt:lpstr>
      <vt:lpstr>FOR-010</vt:lpstr>
      <vt:lpstr>FOR-011</vt:lpstr>
      <vt:lpstr>FOR-012</vt:lpstr>
      <vt:lpstr>FOR-013</vt:lpstr>
      <vt:lpstr>FOR-014</vt:lpstr>
      <vt:lpstr>FOR-015</vt:lpstr>
      <vt:lpstr>FOR-016</vt:lpstr>
      <vt:lpstr>FOR-017</vt:lpstr>
      <vt:lpstr>FOR-018</vt:lpstr>
      <vt:lpstr>'FOR-003'!Área_de_impresión</vt:lpstr>
      <vt:lpstr>'FOR-004'!Área_de_impresión</vt:lpstr>
      <vt:lpstr>'FOR-005'!Área_de_impresión</vt:lpstr>
      <vt:lpstr>'FOR-014'!Área_de_impresión</vt:lpstr>
      <vt:lpstr>'FOR-011'!Print_Area</vt:lpstr>
      <vt:lpstr>'FOR-014'!Print_Area</vt:lpstr>
      <vt:lpstr>'FOR-018'!Print_Area</vt:lpstr>
      <vt:lpstr>'FOR-011'!Print_Titles</vt:lpstr>
      <vt:lpstr>'FOR-012'!Print_Titles</vt:lpstr>
      <vt:lpstr>'FOR-018'!Print_Titles</vt:lpstr>
    </vt:vector>
  </TitlesOfParts>
  <Company>Unknown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hgf</cp:lastModifiedBy>
  <cp:lastPrinted>2024-03-21T10:24:41Z</cp:lastPrinted>
  <dcterms:created xsi:type="dcterms:W3CDTF">2019-09-18T21:03:19Z</dcterms:created>
  <dcterms:modified xsi:type="dcterms:W3CDTF">2025-12-19T01:58:43Z</dcterms:modified>
</cp:coreProperties>
</file>